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delmedigo/Desktop/"/>
    </mc:Choice>
  </mc:AlternateContent>
  <xr:revisionPtr revIDLastSave="0" documentId="8_{F401A190-96F7-0B46-AF27-8DB196708660}" xr6:coauthVersionLast="47" xr6:coauthVersionMax="47" xr10:uidLastSave="{00000000-0000-0000-0000-000000000000}"/>
  <bookViews>
    <workbookView xWindow="0" yWindow="500" windowWidth="38400" windowHeight="21100" activeTab="1" xr2:uid="{0B3C9F15-EFA0-3745-BA81-2AB94D4D30DF}"/>
  </bookViews>
  <sheets>
    <sheet name="English" sheetId="2" r:id="rId1"/>
    <sheet name="For_Fine_Tune" sheetId="4" r:id="rId2"/>
    <sheet name="Hebrew" sheetId="1" r:id="rId3"/>
  </sheets>
  <definedNames>
    <definedName name="_xlnm._FilterDatabase" localSheetId="0" hidden="1">English!$A$1:$Y$804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D2" i="2"/>
  <c r="F2" i="2"/>
  <c r="L2" i="2"/>
  <c r="Q2" i="2"/>
  <c r="D3" i="2"/>
  <c r="F3" i="2"/>
  <c r="L3" i="2"/>
  <c r="D4" i="2"/>
  <c r="F4" i="2"/>
  <c r="L4" i="2"/>
  <c r="D5" i="2"/>
  <c r="F5" i="2"/>
  <c r="L5" i="2"/>
  <c r="D6" i="2"/>
  <c r="F6" i="2"/>
  <c r="L6" i="2"/>
  <c r="D7" i="2"/>
  <c r="F7" i="2"/>
  <c r="L7" i="2"/>
  <c r="D8" i="2"/>
  <c r="F8" i="2"/>
  <c r="L8" i="2"/>
  <c r="D9" i="2"/>
  <c r="F9" i="2"/>
  <c r="L9" i="2"/>
  <c r="D10" i="2"/>
  <c r="F10" i="2"/>
  <c r="L10" i="2"/>
  <c r="D11" i="2"/>
  <c r="F11" i="2"/>
  <c r="L11" i="2"/>
  <c r="D12" i="2"/>
  <c r="F12" i="2"/>
  <c r="L12" i="2"/>
  <c r="D13" i="2"/>
  <c r="F13" i="2"/>
  <c r="L13" i="2"/>
  <c r="D14" i="2"/>
  <c r="F14" i="2"/>
  <c r="L14" i="2"/>
  <c r="D15" i="2"/>
  <c r="F15" i="2"/>
  <c r="L15" i="2"/>
  <c r="D16" i="2"/>
  <c r="F16" i="2"/>
  <c r="L16" i="2"/>
  <c r="D17" i="2"/>
  <c r="F17" i="2"/>
  <c r="L17" i="2"/>
  <c r="D18" i="2"/>
  <c r="F18" i="2"/>
  <c r="L18" i="2"/>
  <c r="D19" i="2"/>
  <c r="F19" i="2"/>
  <c r="L19" i="2"/>
  <c r="D20" i="2"/>
  <c r="F20" i="2"/>
  <c r="L20" i="2"/>
  <c r="D21" i="2"/>
  <c r="F21" i="2"/>
  <c r="L21" i="2"/>
  <c r="D22" i="2"/>
  <c r="F22" i="2"/>
  <c r="L22" i="2"/>
  <c r="D23" i="2"/>
  <c r="F23" i="2"/>
  <c r="L23" i="2"/>
  <c r="D24" i="2"/>
  <c r="F24" i="2"/>
  <c r="L24" i="2"/>
  <c r="D25" i="2"/>
  <c r="F25" i="2"/>
  <c r="L25" i="2"/>
  <c r="D26" i="2"/>
  <c r="F26" i="2"/>
  <c r="L26" i="2"/>
  <c r="D27" i="2"/>
  <c r="F27" i="2"/>
  <c r="L27" i="2"/>
  <c r="D28" i="2"/>
  <c r="F28" i="2"/>
  <c r="L28" i="2"/>
  <c r="D29" i="2"/>
  <c r="F29" i="2"/>
  <c r="L29" i="2"/>
  <c r="D30" i="2"/>
  <c r="F30" i="2"/>
  <c r="L30" i="2"/>
  <c r="D31" i="2"/>
  <c r="F31" i="2"/>
  <c r="L31" i="2"/>
  <c r="D32" i="2"/>
  <c r="F32" i="2"/>
  <c r="L32" i="2"/>
  <c r="D33" i="2"/>
  <c r="F33" i="2"/>
  <c r="L33" i="2"/>
  <c r="D34" i="2"/>
  <c r="F34" i="2"/>
  <c r="L34" i="2"/>
  <c r="D35" i="2"/>
  <c r="F35" i="2"/>
  <c r="L35" i="2"/>
  <c r="D36" i="2"/>
  <c r="F36" i="2"/>
  <c r="L36" i="2"/>
  <c r="D37" i="2"/>
  <c r="F37" i="2"/>
  <c r="L37" i="2"/>
  <c r="D38" i="2"/>
  <c r="F38" i="2"/>
  <c r="L38" i="2"/>
  <c r="D39" i="2"/>
  <c r="F39" i="2"/>
  <c r="L39" i="2"/>
  <c r="D40" i="2"/>
  <c r="F40" i="2"/>
  <c r="L40" i="2"/>
  <c r="D41" i="2"/>
  <c r="F41" i="2"/>
  <c r="L41" i="2"/>
  <c r="D42" i="2"/>
  <c r="F42" i="2"/>
  <c r="L42" i="2"/>
  <c r="D43" i="2"/>
  <c r="F43" i="2"/>
  <c r="L43" i="2"/>
  <c r="D44" i="2"/>
  <c r="F44" i="2"/>
  <c r="L44" i="2"/>
  <c r="D45" i="2"/>
  <c r="F45" i="2"/>
  <c r="L45" i="2"/>
  <c r="D46" i="2"/>
  <c r="F46" i="2"/>
  <c r="L46" i="2"/>
  <c r="D47" i="2"/>
  <c r="F47" i="2"/>
  <c r="L47" i="2"/>
  <c r="D48" i="2"/>
  <c r="F48" i="2"/>
  <c r="L48" i="2"/>
  <c r="D49" i="2"/>
  <c r="F49" i="2"/>
  <c r="L49" i="2"/>
  <c r="D50" i="2"/>
  <c r="F50" i="2"/>
  <c r="L50" i="2"/>
  <c r="D51" i="2"/>
  <c r="F51" i="2"/>
  <c r="L51" i="2"/>
  <c r="D52" i="2"/>
  <c r="F52" i="2"/>
  <c r="L52" i="2"/>
  <c r="D53" i="2"/>
  <c r="F53" i="2"/>
  <c r="L53" i="2"/>
  <c r="D54" i="2"/>
  <c r="F54" i="2"/>
  <c r="L54" i="2"/>
  <c r="D55" i="2"/>
  <c r="F55" i="2"/>
  <c r="L55" i="2"/>
  <c r="D56" i="2"/>
  <c r="F56" i="2"/>
  <c r="L56" i="2"/>
  <c r="D57" i="2"/>
  <c r="F57" i="2"/>
  <c r="L57" i="2"/>
  <c r="D58" i="2"/>
  <c r="F58" i="2"/>
  <c r="L58" i="2"/>
  <c r="D59" i="2"/>
  <c r="F59" i="2"/>
  <c r="L59" i="2"/>
  <c r="D60" i="2"/>
  <c r="F60" i="2"/>
  <c r="L60" i="2"/>
  <c r="D61" i="2"/>
  <c r="F61" i="2"/>
  <c r="L61" i="2"/>
  <c r="D62" i="2"/>
  <c r="F62" i="2"/>
  <c r="L62" i="2"/>
  <c r="D63" i="2"/>
  <c r="F63" i="2"/>
  <c r="L63" i="2"/>
  <c r="D64" i="2"/>
  <c r="F64" i="2"/>
  <c r="L64" i="2"/>
  <c r="D65" i="2"/>
  <c r="F65" i="2"/>
  <c r="L65" i="2"/>
  <c r="D66" i="2"/>
  <c r="F66" i="2"/>
  <c r="L66" i="2"/>
  <c r="D67" i="2"/>
  <c r="F67" i="2"/>
  <c r="L67" i="2"/>
  <c r="D68" i="2"/>
  <c r="F68" i="2"/>
  <c r="L68" i="2"/>
  <c r="D69" i="2"/>
  <c r="F69" i="2"/>
  <c r="L69" i="2"/>
  <c r="D70" i="2"/>
  <c r="F70" i="2"/>
  <c r="L70" i="2"/>
  <c r="D71" i="2"/>
  <c r="F71" i="2"/>
  <c r="L71" i="2"/>
  <c r="D72" i="2"/>
  <c r="F72" i="2"/>
  <c r="L72" i="2"/>
  <c r="D73" i="2"/>
  <c r="F73" i="2"/>
  <c r="L73" i="2"/>
  <c r="D74" i="2"/>
  <c r="F74" i="2"/>
  <c r="L74" i="2"/>
  <c r="D75" i="2"/>
  <c r="F75" i="2"/>
  <c r="L75" i="2"/>
  <c r="D76" i="2"/>
  <c r="F76" i="2"/>
  <c r="L76" i="2"/>
  <c r="D77" i="2"/>
  <c r="F77" i="2"/>
  <c r="L77" i="2"/>
  <c r="D78" i="2"/>
  <c r="F78" i="2"/>
  <c r="L78" i="2"/>
  <c r="D79" i="2"/>
  <c r="F79" i="2"/>
  <c r="L79" i="2"/>
  <c r="D80" i="2"/>
  <c r="F80" i="2"/>
  <c r="L80" i="2"/>
  <c r="D81" i="2"/>
  <c r="F81" i="2"/>
  <c r="L81" i="2"/>
  <c r="D82" i="2"/>
  <c r="F82" i="2"/>
  <c r="L82" i="2"/>
  <c r="D83" i="2"/>
  <c r="F83" i="2"/>
  <c r="L83" i="2"/>
  <c r="D84" i="2"/>
  <c r="F84" i="2"/>
  <c r="L84" i="2"/>
  <c r="D85" i="2"/>
  <c r="F85" i="2"/>
  <c r="L85" i="2"/>
  <c r="D86" i="2"/>
  <c r="F86" i="2"/>
  <c r="L86" i="2"/>
  <c r="D87" i="2"/>
  <c r="F87" i="2"/>
  <c r="L87" i="2"/>
  <c r="D88" i="2"/>
  <c r="F88" i="2"/>
  <c r="L88" i="2"/>
  <c r="D89" i="2"/>
  <c r="F89" i="2"/>
  <c r="L89" i="2"/>
  <c r="D90" i="2"/>
  <c r="F90" i="2"/>
  <c r="L90" i="2"/>
  <c r="D91" i="2"/>
  <c r="F91" i="2"/>
  <c r="L91" i="2"/>
  <c r="D92" i="2"/>
  <c r="F92" i="2"/>
  <c r="L92" i="2"/>
  <c r="D93" i="2"/>
  <c r="F93" i="2"/>
  <c r="L93" i="2"/>
  <c r="D94" i="2"/>
  <c r="F94" i="2"/>
  <c r="L94" i="2"/>
  <c r="D95" i="2"/>
  <c r="F95" i="2"/>
  <c r="L95" i="2"/>
  <c r="D96" i="2"/>
  <c r="F96" i="2"/>
  <c r="L96" i="2"/>
  <c r="D97" i="2"/>
  <c r="F97" i="2"/>
  <c r="L97" i="2"/>
  <c r="D98" i="2"/>
  <c r="F98" i="2"/>
  <c r="L98" i="2"/>
  <c r="D99" i="2"/>
  <c r="F99" i="2"/>
  <c r="L99" i="2"/>
  <c r="D100" i="2"/>
  <c r="F100" i="2"/>
  <c r="L100" i="2"/>
  <c r="D101" i="2"/>
  <c r="F101" i="2"/>
  <c r="L101" i="2"/>
  <c r="D102" i="2"/>
  <c r="F102" i="2"/>
  <c r="L102" i="2"/>
  <c r="D103" i="2"/>
  <c r="F103" i="2"/>
  <c r="L103" i="2"/>
  <c r="D104" i="2"/>
  <c r="F104" i="2"/>
  <c r="L104" i="2"/>
  <c r="D105" i="2"/>
  <c r="F105" i="2"/>
  <c r="L105" i="2"/>
  <c r="D106" i="2"/>
  <c r="F106" i="2"/>
  <c r="L106" i="2"/>
  <c r="D107" i="2"/>
  <c r="F107" i="2"/>
  <c r="L107" i="2"/>
  <c r="D108" i="2"/>
  <c r="F108" i="2"/>
  <c r="L108" i="2"/>
  <c r="D109" i="2"/>
  <c r="F109" i="2"/>
  <c r="L109" i="2"/>
  <c r="D110" i="2"/>
  <c r="F110" i="2"/>
  <c r="L110" i="2"/>
  <c r="D111" i="2"/>
  <c r="F111" i="2"/>
  <c r="L111" i="2"/>
  <c r="D112" i="2"/>
  <c r="F112" i="2"/>
  <c r="L112" i="2"/>
  <c r="D113" i="2"/>
  <c r="F113" i="2"/>
  <c r="L113" i="2"/>
  <c r="D114" i="2"/>
  <c r="F114" i="2"/>
  <c r="L114" i="2"/>
  <c r="D115" i="2"/>
  <c r="F115" i="2"/>
  <c r="L115" i="2"/>
  <c r="D116" i="2"/>
  <c r="F116" i="2"/>
  <c r="L116" i="2"/>
  <c r="D117" i="2"/>
  <c r="F117" i="2"/>
  <c r="L117" i="2"/>
  <c r="D118" i="2"/>
  <c r="F118" i="2"/>
  <c r="L118" i="2"/>
  <c r="D119" i="2"/>
  <c r="F119" i="2"/>
  <c r="L119" i="2"/>
  <c r="D120" i="2"/>
  <c r="F120" i="2"/>
  <c r="L120" i="2"/>
  <c r="D121" i="2"/>
  <c r="F121" i="2"/>
  <c r="L121" i="2"/>
  <c r="D122" i="2"/>
  <c r="F122" i="2"/>
  <c r="L122" i="2"/>
  <c r="D123" i="2"/>
  <c r="F123" i="2"/>
  <c r="L123" i="2"/>
  <c r="D124" i="2"/>
  <c r="F124" i="2"/>
  <c r="L124" i="2"/>
  <c r="D125" i="2"/>
  <c r="F125" i="2"/>
  <c r="L125" i="2"/>
  <c r="D126" i="2"/>
  <c r="F126" i="2"/>
  <c r="L126" i="2"/>
  <c r="D127" i="2"/>
  <c r="F127" i="2"/>
  <c r="L127" i="2"/>
  <c r="D128" i="2"/>
  <c r="F128" i="2"/>
  <c r="L128" i="2"/>
  <c r="D129" i="2"/>
  <c r="F129" i="2"/>
  <c r="L129" i="2"/>
  <c r="D130" i="2"/>
  <c r="F130" i="2"/>
  <c r="L130" i="2"/>
  <c r="D131" i="2"/>
  <c r="F131" i="2"/>
  <c r="L131" i="2"/>
  <c r="D132" i="2"/>
  <c r="F132" i="2"/>
  <c r="L132" i="2"/>
  <c r="D133" i="2"/>
  <c r="F133" i="2"/>
  <c r="L133" i="2"/>
  <c r="D134" i="2"/>
  <c r="F134" i="2"/>
  <c r="L134" i="2"/>
  <c r="D135" i="2"/>
  <c r="F135" i="2"/>
  <c r="L135" i="2"/>
  <c r="D136" i="2"/>
  <c r="F136" i="2"/>
  <c r="L136" i="2"/>
  <c r="D137" i="2"/>
  <c r="F137" i="2"/>
  <c r="L137" i="2"/>
  <c r="D138" i="2"/>
  <c r="F138" i="2"/>
  <c r="L138" i="2"/>
  <c r="D139" i="2"/>
  <c r="F139" i="2"/>
  <c r="L139" i="2"/>
  <c r="D140" i="2"/>
  <c r="F140" i="2"/>
  <c r="L140" i="2"/>
  <c r="D141" i="2"/>
  <c r="F141" i="2"/>
  <c r="L141" i="2"/>
  <c r="D142" i="2"/>
  <c r="F142" i="2"/>
  <c r="L142" i="2"/>
  <c r="D143" i="2"/>
  <c r="F143" i="2"/>
  <c r="L143" i="2"/>
  <c r="D144" i="2"/>
  <c r="F144" i="2"/>
  <c r="L144" i="2"/>
  <c r="D145" i="2"/>
  <c r="F145" i="2"/>
  <c r="L145" i="2"/>
  <c r="D146" i="2"/>
  <c r="F146" i="2"/>
  <c r="L146" i="2"/>
  <c r="D147" i="2"/>
  <c r="F147" i="2"/>
  <c r="L147" i="2"/>
  <c r="D148" i="2"/>
  <c r="F148" i="2"/>
  <c r="L148" i="2"/>
  <c r="D149" i="2"/>
  <c r="F149" i="2"/>
  <c r="L149" i="2"/>
  <c r="D150" i="2"/>
  <c r="F150" i="2"/>
  <c r="L150" i="2"/>
  <c r="D151" i="2"/>
  <c r="F151" i="2"/>
  <c r="L151" i="2"/>
  <c r="D152" i="2"/>
  <c r="F152" i="2"/>
  <c r="L152" i="2"/>
  <c r="D153" i="2"/>
  <c r="F153" i="2"/>
  <c r="L153" i="2"/>
  <c r="D154" i="2"/>
  <c r="F154" i="2"/>
  <c r="L154" i="2"/>
  <c r="D155" i="2"/>
  <c r="F155" i="2"/>
  <c r="L155" i="2"/>
  <c r="D156" i="2"/>
  <c r="F156" i="2"/>
  <c r="L156" i="2"/>
  <c r="D157" i="2"/>
  <c r="F157" i="2"/>
  <c r="L157" i="2"/>
  <c r="D158" i="2"/>
  <c r="F158" i="2"/>
  <c r="L158" i="2"/>
  <c r="D159" i="2"/>
  <c r="F159" i="2"/>
  <c r="L159" i="2"/>
  <c r="D160" i="2"/>
  <c r="F160" i="2"/>
  <c r="L160" i="2"/>
  <c r="D161" i="2"/>
  <c r="F161" i="2"/>
  <c r="L161" i="2"/>
  <c r="D162" i="2"/>
  <c r="F162" i="2"/>
  <c r="L162" i="2"/>
  <c r="D163" i="2"/>
  <c r="F163" i="2"/>
  <c r="L163" i="2"/>
  <c r="D164" i="2"/>
  <c r="F164" i="2"/>
  <c r="L164" i="2"/>
  <c r="D165" i="2"/>
  <c r="F165" i="2"/>
  <c r="L165" i="2"/>
  <c r="D166" i="2"/>
  <c r="F166" i="2"/>
  <c r="L166" i="2"/>
  <c r="D167" i="2"/>
  <c r="F167" i="2"/>
  <c r="L167" i="2"/>
  <c r="D168" i="2"/>
  <c r="F168" i="2"/>
  <c r="L168" i="2"/>
  <c r="D169" i="2"/>
  <c r="F169" i="2"/>
  <c r="L169" i="2"/>
  <c r="D170" i="2"/>
  <c r="F170" i="2"/>
  <c r="L170" i="2"/>
  <c r="D171" i="2"/>
  <c r="F171" i="2"/>
  <c r="L171" i="2"/>
  <c r="D172" i="2"/>
  <c r="F172" i="2"/>
  <c r="L172" i="2"/>
  <c r="D173" i="2"/>
  <c r="F173" i="2"/>
  <c r="L173" i="2"/>
  <c r="D174" i="2"/>
  <c r="F174" i="2"/>
  <c r="L174" i="2"/>
  <c r="D175" i="2"/>
  <c r="F175" i="2"/>
  <c r="L175" i="2"/>
  <c r="D176" i="2"/>
  <c r="F176" i="2"/>
  <c r="L176" i="2"/>
  <c r="D177" i="2"/>
  <c r="F177" i="2"/>
  <c r="L177" i="2"/>
  <c r="D178" i="2"/>
  <c r="F178" i="2"/>
  <c r="L178" i="2"/>
  <c r="D179" i="2"/>
  <c r="F179" i="2"/>
  <c r="L179" i="2"/>
  <c r="D180" i="2"/>
  <c r="F180" i="2"/>
  <c r="L180" i="2"/>
  <c r="D181" i="2"/>
  <c r="F181" i="2"/>
  <c r="L181" i="2"/>
  <c r="D182" i="2"/>
  <c r="F182" i="2"/>
  <c r="L182" i="2"/>
  <c r="D183" i="2"/>
  <c r="F183" i="2"/>
  <c r="L183" i="2"/>
  <c r="D184" i="2"/>
  <c r="F184" i="2"/>
  <c r="L184" i="2"/>
  <c r="D185" i="2"/>
  <c r="F185" i="2"/>
  <c r="L185" i="2"/>
  <c r="D186" i="2"/>
  <c r="F186" i="2"/>
  <c r="L186" i="2"/>
  <c r="D187" i="2"/>
  <c r="F187" i="2"/>
  <c r="L187" i="2"/>
  <c r="D188" i="2"/>
  <c r="F188" i="2"/>
  <c r="L188" i="2"/>
  <c r="D189" i="2"/>
  <c r="F189" i="2"/>
  <c r="L189" i="2"/>
  <c r="D190" i="2"/>
  <c r="F190" i="2"/>
  <c r="L190" i="2"/>
  <c r="D191" i="2"/>
  <c r="F191" i="2"/>
  <c r="L191" i="2"/>
  <c r="D192" i="2"/>
  <c r="F192" i="2"/>
  <c r="L192" i="2"/>
  <c r="D193" i="2"/>
  <c r="F193" i="2"/>
  <c r="L193" i="2"/>
  <c r="D194" i="2"/>
  <c r="F194" i="2"/>
  <c r="L194" i="2"/>
  <c r="D195" i="2"/>
  <c r="F195" i="2"/>
  <c r="L195" i="2"/>
  <c r="D196" i="2"/>
  <c r="F196" i="2"/>
  <c r="L196" i="2"/>
  <c r="D197" i="2"/>
  <c r="F197" i="2"/>
  <c r="L197" i="2"/>
  <c r="D198" i="2"/>
  <c r="F198" i="2"/>
  <c r="L198" i="2"/>
  <c r="D199" i="2"/>
  <c r="F199" i="2"/>
  <c r="L199" i="2"/>
  <c r="D200" i="2"/>
  <c r="F200" i="2"/>
  <c r="L200" i="2"/>
  <c r="D201" i="2"/>
  <c r="F201" i="2"/>
  <c r="L201" i="2"/>
  <c r="D202" i="2"/>
  <c r="F202" i="2"/>
  <c r="L202" i="2"/>
  <c r="D203" i="2"/>
  <c r="F203" i="2"/>
  <c r="L203" i="2"/>
  <c r="D204" i="2"/>
  <c r="F204" i="2"/>
  <c r="L204" i="2"/>
  <c r="D205" i="2"/>
  <c r="F205" i="2"/>
  <c r="L205" i="2"/>
  <c r="D206" i="2"/>
  <c r="F206" i="2"/>
  <c r="L206" i="2"/>
  <c r="D207" i="2"/>
  <c r="F207" i="2"/>
  <c r="L207" i="2"/>
  <c r="D208" i="2"/>
  <c r="F208" i="2"/>
  <c r="L208" i="2"/>
  <c r="D209" i="2"/>
  <c r="F209" i="2"/>
  <c r="L209" i="2"/>
  <c r="D210" i="2"/>
  <c r="F210" i="2"/>
  <c r="L210" i="2"/>
  <c r="D211" i="2"/>
  <c r="F211" i="2"/>
  <c r="L211" i="2"/>
  <c r="D212" i="2"/>
  <c r="F212" i="2"/>
  <c r="L212" i="2"/>
  <c r="D213" i="2"/>
  <c r="F213" i="2"/>
  <c r="L213" i="2"/>
  <c r="D214" i="2"/>
  <c r="F214" i="2"/>
  <c r="L214" i="2"/>
  <c r="D215" i="2"/>
  <c r="F215" i="2"/>
  <c r="L215" i="2"/>
  <c r="D216" i="2"/>
  <c r="F216" i="2"/>
  <c r="L216" i="2"/>
  <c r="D217" i="2"/>
  <c r="F217" i="2"/>
  <c r="L217" i="2"/>
  <c r="D218" i="2"/>
  <c r="F218" i="2"/>
  <c r="L218" i="2"/>
  <c r="D219" i="2"/>
  <c r="F219" i="2"/>
  <c r="L219" i="2"/>
  <c r="D220" i="2"/>
  <c r="F220" i="2"/>
  <c r="L220" i="2"/>
  <c r="D221" i="2"/>
  <c r="F221" i="2"/>
  <c r="L221" i="2"/>
  <c r="D222" i="2"/>
  <c r="F222" i="2"/>
  <c r="L222" i="2"/>
  <c r="D223" i="2"/>
  <c r="F223" i="2"/>
  <c r="L223" i="2"/>
  <c r="D224" i="2"/>
  <c r="F224" i="2"/>
  <c r="L224" i="2"/>
  <c r="D225" i="2"/>
  <c r="F225" i="2"/>
  <c r="L225" i="2"/>
  <c r="D226" i="2"/>
  <c r="F226" i="2"/>
  <c r="L226" i="2"/>
  <c r="D227" i="2"/>
  <c r="F227" i="2"/>
  <c r="L227" i="2"/>
  <c r="D228" i="2"/>
  <c r="F228" i="2"/>
  <c r="L228" i="2"/>
  <c r="D229" i="2"/>
  <c r="F229" i="2"/>
  <c r="L229" i="2"/>
  <c r="D230" i="2"/>
  <c r="F230" i="2"/>
  <c r="L230" i="2"/>
  <c r="D231" i="2"/>
  <c r="F231" i="2"/>
  <c r="L231" i="2"/>
  <c r="D232" i="2"/>
  <c r="F232" i="2"/>
  <c r="L232" i="2"/>
  <c r="D233" i="2"/>
  <c r="F233" i="2"/>
  <c r="L233" i="2"/>
  <c r="D234" i="2"/>
  <c r="F234" i="2"/>
  <c r="L234" i="2"/>
  <c r="D235" i="2"/>
  <c r="F235" i="2"/>
  <c r="L235" i="2"/>
  <c r="D236" i="2"/>
  <c r="F236" i="2"/>
  <c r="L236" i="2"/>
  <c r="D237" i="2"/>
  <c r="F237" i="2"/>
  <c r="L237" i="2"/>
  <c r="D238" i="2"/>
  <c r="F238" i="2"/>
  <c r="L238" i="2"/>
  <c r="D239" i="2"/>
  <c r="F239" i="2"/>
  <c r="L239" i="2"/>
  <c r="D240" i="2"/>
  <c r="F240" i="2"/>
  <c r="L240" i="2"/>
  <c r="D241" i="2"/>
  <c r="F241" i="2"/>
  <c r="L241" i="2"/>
  <c r="D242" i="2"/>
  <c r="F242" i="2"/>
  <c r="L242" i="2"/>
  <c r="D243" i="2"/>
  <c r="F243" i="2"/>
  <c r="L243" i="2"/>
  <c r="D244" i="2"/>
  <c r="F244" i="2"/>
  <c r="L244" i="2"/>
  <c r="D245" i="2"/>
  <c r="F245" i="2"/>
  <c r="L245" i="2"/>
  <c r="D246" i="2"/>
  <c r="F246" i="2"/>
  <c r="L246" i="2"/>
  <c r="D247" i="2"/>
  <c r="F247" i="2"/>
  <c r="L247" i="2"/>
  <c r="D248" i="2"/>
  <c r="F248" i="2"/>
  <c r="L248" i="2"/>
  <c r="D249" i="2"/>
  <c r="F249" i="2"/>
  <c r="L249" i="2"/>
  <c r="D250" i="2"/>
  <c r="F250" i="2"/>
  <c r="L250" i="2"/>
  <c r="D251" i="2"/>
  <c r="F251" i="2"/>
  <c r="L251" i="2"/>
  <c r="D252" i="2"/>
  <c r="F252" i="2"/>
  <c r="L252" i="2"/>
  <c r="D253" i="2"/>
  <c r="F253" i="2"/>
  <c r="L253" i="2"/>
  <c r="D254" i="2"/>
  <c r="F254" i="2"/>
  <c r="L254" i="2"/>
  <c r="D255" i="2"/>
  <c r="F255" i="2"/>
  <c r="L255" i="2"/>
  <c r="D256" i="2"/>
  <c r="F256" i="2"/>
  <c r="L256" i="2"/>
  <c r="D257" i="2"/>
  <c r="F257" i="2"/>
  <c r="L257" i="2"/>
  <c r="D258" i="2"/>
  <c r="F258" i="2"/>
  <c r="L258" i="2"/>
  <c r="D259" i="2"/>
  <c r="F259" i="2"/>
  <c r="L259" i="2"/>
  <c r="D260" i="2"/>
  <c r="F260" i="2"/>
  <c r="L260" i="2"/>
  <c r="D261" i="2"/>
  <c r="F261" i="2"/>
  <c r="L261" i="2"/>
  <c r="D262" i="2"/>
  <c r="F262" i="2"/>
  <c r="L262" i="2"/>
  <c r="D263" i="2"/>
  <c r="F263" i="2"/>
  <c r="L263" i="2"/>
  <c r="D264" i="2"/>
  <c r="F264" i="2"/>
  <c r="L264" i="2"/>
  <c r="D265" i="2"/>
  <c r="F265" i="2"/>
  <c r="L265" i="2"/>
  <c r="D266" i="2"/>
  <c r="F266" i="2"/>
  <c r="L266" i="2"/>
  <c r="D267" i="2"/>
  <c r="F267" i="2"/>
  <c r="L267" i="2"/>
  <c r="D268" i="2"/>
  <c r="F268" i="2"/>
  <c r="L268" i="2"/>
  <c r="D269" i="2"/>
  <c r="F269" i="2"/>
  <c r="L269" i="2"/>
  <c r="D270" i="2"/>
  <c r="F270" i="2"/>
  <c r="L270" i="2"/>
  <c r="D271" i="2"/>
  <c r="F271" i="2"/>
  <c r="L271" i="2"/>
  <c r="D272" i="2"/>
  <c r="F272" i="2"/>
  <c r="L272" i="2"/>
  <c r="D273" i="2"/>
  <c r="F273" i="2"/>
  <c r="L273" i="2"/>
  <c r="D274" i="2"/>
  <c r="F274" i="2"/>
  <c r="L274" i="2"/>
  <c r="D275" i="2"/>
  <c r="F275" i="2"/>
  <c r="L275" i="2"/>
  <c r="D276" i="2"/>
  <c r="F276" i="2"/>
  <c r="L276" i="2"/>
  <c r="D277" i="2"/>
  <c r="F277" i="2"/>
  <c r="L277" i="2"/>
  <c r="D278" i="2"/>
  <c r="F278" i="2"/>
  <c r="L278" i="2"/>
  <c r="D279" i="2"/>
  <c r="F279" i="2"/>
  <c r="L279" i="2"/>
  <c r="D280" i="2"/>
  <c r="F280" i="2"/>
  <c r="L280" i="2"/>
  <c r="D281" i="2"/>
  <c r="F281" i="2"/>
  <c r="L281" i="2"/>
  <c r="D282" i="2"/>
  <c r="F282" i="2"/>
  <c r="L282" i="2"/>
  <c r="D283" i="2"/>
  <c r="F283" i="2"/>
  <c r="L283" i="2"/>
  <c r="D284" i="2"/>
  <c r="F284" i="2"/>
  <c r="L284" i="2"/>
  <c r="D285" i="2"/>
  <c r="F285" i="2"/>
  <c r="L285" i="2"/>
  <c r="D286" i="2"/>
  <c r="F286" i="2"/>
  <c r="L286" i="2"/>
  <c r="D287" i="2"/>
  <c r="F287" i="2"/>
  <c r="L287" i="2"/>
  <c r="D288" i="2"/>
  <c r="F288" i="2"/>
  <c r="L288" i="2"/>
  <c r="D289" i="2"/>
  <c r="F289" i="2"/>
  <c r="L289" i="2"/>
  <c r="D290" i="2"/>
  <c r="F290" i="2"/>
  <c r="L290" i="2"/>
  <c r="D291" i="2"/>
  <c r="F291" i="2"/>
  <c r="L291" i="2"/>
  <c r="D292" i="2"/>
  <c r="F292" i="2"/>
  <c r="L292" i="2"/>
  <c r="D293" i="2"/>
  <c r="F293" i="2"/>
  <c r="L293" i="2"/>
  <c r="D294" i="2"/>
  <c r="F294" i="2"/>
  <c r="L294" i="2"/>
  <c r="D295" i="2"/>
  <c r="F295" i="2"/>
  <c r="L295" i="2"/>
  <c r="D296" i="2"/>
  <c r="F296" i="2"/>
  <c r="L296" i="2"/>
  <c r="D297" i="2"/>
  <c r="F297" i="2"/>
  <c r="L297" i="2"/>
  <c r="D298" i="2"/>
  <c r="F298" i="2"/>
  <c r="L298" i="2"/>
  <c r="D299" i="2"/>
  <c r="F299" i="2"/>
  <c r="L299" i="2"/>
  <c r="D300" i="2"/>
  <c r="F300" i="2"/>
  <c r="L300" i="2"/>
  <c r="D301" i="2"/>
  <c r="F301" i="2"/>
  <c r="L301" i="2"/>
  <c r="D302" i="2"/>
  <c r="F302" i="2"/>
  <c r="L302" i="2"/>
  <c r="D303" i="2"/>
  <c r="F303" i="2"/>
  <c r="L303" i="2"/>
  <c r="D304" i="2"/>
  <c r="F304" i="2"/>
  <c r="L304" i="2"/>
  <c r="D305" i="2"/>
  <c r="F305" i="2"/>
  <c r="L305" i="2"/>
  <c r="D306" i="2"/>
  <c r="F306" i="2"/>
  <c r="L306" i="2"/>
  <c r="D307" i="2"/>
  <c r="F307" i="2"/>
  <c r="L307" i="2"/>
  <c r="D308" i="2"/>
  <c r="F308" i="2"/>
  <c r="L308" i="2"/>
  <c r="D309" i="2"/>
  <c r="F309" i="2"/>
  <c r="L309" i="2"/>
  <c r="D310" i="2"/>
  <c r="F310" i="2"/>
  <c r="L310" i="2"/>
  <c r="D311" i="2"/>
  <c r="F311" i="2"/>
  <c r="L311" i="2"/>
  <c r="D312" i="2"/>
  <c r="F312" i="2"/>
  <c r="L312" i="2"/>
  <c r="D313" i="2"/>
  <c r="F313" i="2"/>
  <c r="L313" i="2"/>
  <c r="D314" i="2"/>
  <c r="F314" i="2"/>
  <c r="L314" i="2"/>
  <c r="D315" i="2"/>
  <c r="F315" i="2"/>
  <c r="L315" i="2"/>
  <c r="D316" i="2"/>
  <c r="F316" i="2"/>
  <c r="L316" i="2"/>
  <c r="D317" i="2"/>
  <c r="F317" i="2"/>
  <c r="L317" i="2"/>
  <c r="D318" i="2"/>
  <c r="F318" i="2"/>
  <c r="L318" i="2"/>
  <c r="D319" i="2"/>
  <c r="F319" i="2"/>
  <c r="L319" i="2"/>
  <c r="D320" i="2"/>
  <c r="F320" i="2"/>
  <c r="L320" i="2"/>
  <c r="D321" i="2"/>
  <c r="F321" i="2"/>
  <c r="L321" i="2"/>
  <c r="D322" i="2"/>
  <c r="F322" i="2"/>
  <c r="L322" i="2"/>
  <c r="D323" i="2"/>
  <c r="F323" i="2"/>
  <c r="L323" i="2"/>
  <c r="D324" i="2"/>
  <c r="F324" i="2"/>
  <c r="L324" i="2"/>
  <c r="D325" i="2"/>
  <c r="F325" i="2"/>
  <c r="L325" i="2"/>
  <c r="D326" i="2"/>
  <c r="F326" i="2"/>
  <c r="L326" i="2"/>
  <c r="D327" i="2"/>
  <c r="F327" i="2"/>
  <c r="L327" i="2"/>
  <c r="D328" i="2"/>
  <c r="F328" i="2"/>
  <c r="L328" i="2"/>
  <c r="D329" i="2"/>
  <c r="F329" i="2"/>
  <c r="L329" i="2"/>
  <c r="D330" i="2"/>
  <c r="F330" i="2"/>
  <c r="L330" i="2"/>
  <c r="D331" i="2"/>
  <c r="F331" i="2"/>
  <c r="L331" i="2"/>
  <c r="D332" i="2"/>
  <c r="F332" i="2"/>
  <c r="L332" i="2"/>
  <c r="D333" i="2"/>
  <c r="F333" i="2"/>
  <c r="L333" i="2"/>
  <c r="D334" i="2"/>
  <c r="F334" i="2"/>
  <c r="L334" i="2"/>
  <c r="D335" i="2"/>
  <c r="F335" i="2"/>
  <c r="L335" i="2"/>
  <c r="D336" i="2"/>
  <c r="F336" i="2"/>
  <c r="L336" i="2"/>
  <c r="D337" i="2"/>
  <c r="F337" i="2"/>
  <c r="L337" i="2"/>
  <c r="D338" i="2"/>
  <c r="F338" i="2"/>
  <c r="L338" i="2"/>
  <c r="D339" i="2"/>
  <c r="F339" i="2"/>
  <c r="L339" i="2"/>
  <c r="D340" i="2"/>
  <c r="F340" i="2"/>
  <c r="L340" i="2"/>
  <c r="D341" i="2"/>
  <c r="F341" i="2"/>
  <c r="L341" i="2"/>
  <c r="D342" i="2"/>
  <c r="F342" i="2"/>
  <c r="L342" i="2"/>
  <c r="D343" i="2"/>
  <c r="F343" i="2"/>
  <c r="L343" i="2"/>
  <c r="D344" i="2"/>
  <c r="F344" i="2"/>
  <c r="L344" i="2"/>
  <c r="D345" i="2"/>
  <c r="F345" i="2"/>
  <c r="L345" i="2"/>
  <c r="D346" i="2"/>
  <c r="F346" i="2"/>
  <c r="L346" i="2"/>
  <c r="D347" i="2"/>
  <c r="F347" i="2"/>
  <c r="L347" i="2"/>
  <c r="D348" i="2"/>
  <c r="F348" i="2"/>
  <c r="L348" i="2"/>
  <c r="D349" i="2"/>
  <c r="F349" i="2"/>
  <c r="L349" i="2"/>
  <c r="D350" i="2"/>
  <c r="F350" i="2"/>
  <c r="L350" i="2"/>
  <c r="D351" i="2"/>
  <c r="F351" i="2"/>
  <c r="L351" i="2"/>
  <c r="D352" i="2"/>
  <c r="F352" i="2"/>
  <c r="L352" i="2"/>
  <c r="D353" i="2"/>
  <c r="F353" i="2"/>
  <c r="L353" i="2"/>
  <c r="D354" i="2"/>
  <c r="F354" i="2"/>
  <c r="L354" i="2"/>
  <c r="D355" i="2"/>
  <c r="F355" i="2"/>
  <c r="L355" i="2"/>
  <c r="D356" i="2"/>
  <c r="F356" i="2"/>
  <c r="L356" i="2"/>
  <c r="D357" i="2"/>
  <c r="F357" i="2"/>
  <c r="L357" i="2"/>
  <c r="D358" i="2"/>
  <c r="F358" i="2"/>
  <c r="L358" i="2"/>
  <c r="D359" i="2"/>
  <c r="F359" i="2"/>
  <c r="L359" i="2"/>
  <c r="D360" i="2"/>
  <c r="F360" i="2"/>
  <c r="L360" i="2"/>
  <c r="D361" i="2"/>
  <c r="F361" i="2"/>
  <c r="L361" i="2"/>
  <c r="D362" i="2"/>
  <c r="F362" i="2"/>
  <c r="L362" i="2"/>
  <c r="D363" i="2"/>
  <c r="F363" i="2"/>
  <c r="L363" i="2"/>
  <c r="D364" i="2"/>
  <c r="F364" i="2"/>
  <c r="L364" i="2"/>
  <c r="D365" i="2"/>
  <c r="F365" i="2"/>
  <c r="L365" i="2"/>
  <c r="D366" i="2"/>
  <c r="F366" i="2"/>
  <c r="L366" i="2"/>
  <c r="D367" i="2"/>
  <c r="F367" i="2"/>
  <c r="L367" i="2"/>
  <c r="D368" i="2"/>
  <c r="F368" i="2"/>
  <c r="L368" i="2"/>
  <c r="D369" i="2"/>
  <c r="F369" i="2"/>
  <c r="L369" i="2"/>
  <c r="D370" i="2"/>
  <c r="F370" i="2"/>
  <c r="L370" i="2"/>
  <c r="D371" i="2"/>
  <c r="F371" i="2"/>
  <c r="L371" i="2"/>
  <c r="D372" i="2"/>
  <c r="F372" i="2"/>
  <c r="L372" i="2"/>
  <c r="D373" i="2"/>
  <c r="F373" i="2"/>
  <c r="L373" i="2"/>
  <c r="D374" i="2"/>
  <c r="F374" i="2"/>
  <c r="L374" i="2"/>
  <c r="D375" i="2"/>
  <c r="F375" i="2"/>
  <c r="L375" i="2"/>
  <c r="D376" i="2"/>
  <c r="F376" i="2"/>
  <c r="L376" i="2"/>
  <c r="D377" i="2"/>
  <c r="F377" i="2"/>
  <c r="L377" i="2"/>
  <c r="D378" i="2"/>
  <c r="F378" i="2"/>
  <c r="L378" i="2"/>
  <c r="D379" i="2"/>
  <c r="F379" i="2"/>
  <c r="L379" i="2"/>
  <c r="D380" i="2"/>
  <c r="F380" i="2"/>
  <c r="L380" i="2"/>
  <c r="D381" i="2"/>
  <c r="F381" i="2"/>
  <c r="L381" i="2"/>
  <c r="D382" i="2"/>
  <c r="F382" i="2"/>
  <c r="L382" i="2"/>
  <c r="D383" i="2"/>
  <c r="F383" i="2"/>
  <c r="L383" i="2"/>
  <c r="D384" i="2"/>
  <c r="F384" i="2"/>
  <c r="L384" i="2"/>
  <c r="D385" i="2"/>
  <c r="F385" i="2"/>
  <c r="L385" i="2"/>
  <c r="D386" i="2"/>
  <c r="F386" i="2"/>
  <c r="L386" i="2"/>
  <c r="D387" i="2"/>
  <c r="F387" i="2"/>
  <c r="L387" i="2"/>
  <c r="D388" i="2"/>
  <c r="F388" i="2"/>
  <c r="L388" i="2"/>
  <c r="D389" i="2"/>
  <c r="F389" i="2"/>
  <c r="L389" i="2"/>
  <c r="D390" i="2"/>
  <c r="F390" i="2"/>
  <c r="L390" i="2"/>
  <c r="D391" i="2"/>
  <c r="F391" i="2"/>
  <c r="L391" i="2"/>
  <c r="D392" i="2"/>
  <c r="F392" i="2"/>
  <c r="L392" i="2"/>
  <c r="D393" i="2"/>
  <c r="F393" i="2"/>
  <c r="L393" i="2"/>
  <c r="D394" i="2"/>
  <c r="F394" i="2"/>
  <c r="L394" i="2"/>
  <c r="D395" i="2"/>
  <c r="F395" i="2"/>
  <c r="L395" i="2"/>
  <c r="D396" i="2"/>
  <c r="F396" i="2"/>
  <c r="L396" i="2"/>
  <c r="D397" i="2"/>
  <c r="F397" i="2"/>
  <c r="L397" i="2"/>
  <c r="D398" i="2"/>
  <c r="F398" i="2"/>
  <c r="L398" i="2"/>
  <c r="D399" i="2"/>
  <c r="F399" i="2"/>
  <c r="L399" i="2"/>
  <c r="D400" i="2"/>
  <c r="F400" i="2"/>
  <c r="L400" i="2"/>
  <c r="D401" i="2"/>
  <c r="F401" i="2"/>
  <c r="L401" i="2"/>
  <c r="D402" i="2"/>
  <c r="F402" i="2"/>
  <c r="L402" i="2"/>
  <c r="D403" i="2"/>
  <c r="F403" i="2"/>
  <c r="L403" i="2"/>
  <c r="D404" i="2"/>
  <c r="F404" i="2"/>
  <c r="L404" i="2"/>
  <c r="D405" i="2"/>
  <c r="F405" i="2"/>
  <c r="L405" i="2"/>
  <c r="D406" i="2"/>
  <c r="F406" i="2"/>
  <c r="L406" i="2"/>
  <c r="D407" i="2"/>
  <c r="F407" i="2"/>
  <c r="L407" i="2"/>
  <c r="D408" i="2"/>
  <c r="F408" i="2"/>
  <c r="L408" i="2"/>
  <c r="D409" i="2"/>
  <c r="F409" i="2"/>
  <c r="L409" i="2"/>
  <c r="D410" i="2"/>
  <c r="F410" i="2"/>
  <c r="L410" i="2"/>
  <c r="D411" i="2"/>
  <c r="F411" i="2"/>
  <c r="L411" i="2"/>
  <c r="D412" i="2"/>
  <c r="F412" i="2"/>
  <c r="L412" i="2"/>
  <c r="D413" i="2"/>
  <c r="F413" i="2"/>
  <c r="L413" i="2"/>
  <c r="D414" i="2"/>
  <c r="F414" i="2"/>
  <c r="L414" i="2"/>
  <c r="D415" i="2"/>
  <c r="F415" i="2"/>
  <c r="L415" i="2"/>
  <c r="D416" i="2"/>
  <c r="F416" i="2"/>
  <c r="L416" i="2"/>
  <c r="D417" i="2"/>
  <c r="F417" i="2"/>
  <c r="L417" i="2"/>
  <c r="D418" i="2"/>
  <c r="F418" i="2"/>
  <c r="L418" i="2"/>
  <c r="D419" i="2"/>
  <c r="F419" i="2"/>
  <c r="L419" i="2"/>
  <c r="D420" i="2"/>
  <c r="F420" i="2"/>
  <c r="L420" i="2"/>
  <c r="D421" i="2"/>
  <c r="F421" i="2"/>
  <c r="L421" i="2"/>
  <c r="D422" i="2"/>
  <c r="F422" i="2"/>
  <c r="L422" i="2"/>
  <c r="D423" i="2"/>
  <c r="F423" i="2"/>
  <c r="L423" i="2"/>
  <c r="D424" i="2"/>
  <c r="F424" i="2"/>
  <c r="L424" i="2"/>
  <c r="D425" i="2"/>
  <c r="F425" i="2"/>
  <c r="L425" i="2"/>
  <c r="D426" i="2"/>
  <c r="F426" i="2"/>
  <c r="L426" i="2"/>
  <c r="D427" i="2"/>
  <c r="F427" i="2"/>
  <c r="L427" i="2"/>
  <c r="D428" i="2"/>
  <c r="F428" i="2"/>
  <c r="L428" i="2"/>
  <c r="D429" i="2"/>
  <c r="F429" i="2"/>
  <c r="L429" i="2"/>
  <c r="D430" i="2"/>
  <c r="F430" i="2"/>
  <c r="L430" i="2"/>
  <c r="D431" i="2"/>
  <c r="F431" i="2"/>
  <c r="L431" i="2"/>
  <c r="D432" i="2"/>
  <c r="F432" i="2"/>
  <c r="L432" i="2"/>
  <c r="D433" i="2"/>
  <c r="F433" i="2"/>
  <c r="L433" i="2"/>
  <c r="D434" i="2"/>
  <c r="F434" i="2"/>
  <c r="L434" i="2"/>
  <c r="D435" i="2"/>
  <c r="F435" i="2"/>
  <c r="L435" i="2"/>
  <c r="D436" i="2"/>
  <c r="F436" i="2"/>
  <c r="L436" i="2"/>
  <c r="D437" i="2"/>
  <c r="F437" i="2"/>
  <c r="L437" i="2"/>
  <c r="D438" i="2"/>
  <c r="F438" i="2"/>
  <c r="L438" i="2"/>
  <c r="D439" i="2"/>
  <c r="F439" i="2"/>
  <c r="L439" i="2"/>
  <c r="D440" i="2"/>
  <c r="F440" i="2"/>
  <c r="L440" i="2"/>
  <c r="D441" i="2"/>
  <c r="F441" i="2"/>
  <c r="L441" i="2"/>
  <c r="D442" i="2"/>
  <c r="F442" i="2"/>
  <c r="L442" i="2"/>
  <c r="D443" i="2"/>
  <c r="F443" i="2"/>
  <c r="L443" i="2"/>
  <c r="D444" i="2"/>
  <c r="F444" i="2"/>
  <c r="L444" i="2"/>
  <c r="D445" i="2"/>
  <c r="F445" i="2"/>
  <c r="L445" i="2"/>
  <c r="D446" i="2"/>
  <c r="F446" i="2"/>
  <c r="L446" i="2"/>
  <c r="D447" i="2"/>
  <c r="F447" i="2"/>
  <c r="L447" i="2"/>
  <c r="D448" i="2"/>
  <c r="F448" i="2"/>
  <c r="L448" i="2"/>
  <c r="D449" i="2"/>
  <c r="F449" i="2"/>
  <c r="L449" i="2"/>
  <c r="D450" i="2"/>
  <c r="F450" i="2"/>
  <c r="L450" i="2"/>
  <c r="D451" i="2"/>
  <c r="F451" i="2"/>
  <c r="L451" i="2"/>
  <c r="D452" i="2"/>
  <c r="F452" i="2"/>
  <c r="L452" i="2"/>
  <c r="D453" i="2"/>
  <c r="F453" i="2"/>
  <c r="L453" i="2"/>
  <c r="D454" i="2"/>
  <c r="F454" i="2"/>
  <c r="L454" i="2"/>
  <c r="D455" i="2"/>
  <c r="F455" i="2"/>
  <c r="L455" i="2"/>
  <c r="D456" i="2"/>
  <c r="F456" i="2"/>
  <c r="L456" i="2"/>
  <c r="D457" i="2"/>
  <c r="F457" i="2"/>
  <c r="L457" i="2"/>
  <c r="D458" i="2"/>
  <c r="F458" i="2"/>
  <c r="L458" i="2"/>
  <c r="D459" i="2"/>
  <c r="F459" i="2"/>
  <c r="L459" i="2"/>
  <c r="D460" i="2"/>
  <c r="F460" i="2"/>
  <c r="L460" i="2"/>
  <c r="D461" i="2"/>
  <c r="F461" i="2"/>
  <c r="L461" i="2"/>
  <c r="D462" i="2"/>
  <c r="F462" i="2"/>
  <c r="L462" i="2"/>
  <c r="D463" i="2"/>
  <c r="F463" i="2"/>
  <c r="L463" i="2"/>
  <c r="D464" i="2"/>
  <c r="F464" i="2"/>
  <c r="L464" i="2"/>
  <c r="D465" i="2"/>
  <c r="F465" i="2"/>
  <c r="L465" i="2"/>
  <c r="D466" i="2"/>
  <c r="F466" i="2"/>
  <c r="L466" i="2"/>
  <c r="D467" i="2"/>
  <c r="F467" i="2"/>
  <c r="L467" i="2"/>
  <c r="D468" i="2"/>
  <c r="F468" i="2"/>
  <c r="L468" i="2"/>
  <c r="D469" i="2"/>
  <c r="F469" i="2"/>
  <c r="L469" i="2"/>
  <c r="D470" i="2"/>
  <c r="F470" i="2"/>
  <c r="L470" i="2"/>
  <c r="D471" i="2"/>
  <c r="F471" i="2"/>
  <c r="L471" i="2"/>
  <c r="D472" i="2"/>
  <c r="F472" i="2"/>
  <c r="L472" i="2"/>
  <c r="D473" i="2"/>
  <c r="F473" i="2"/>
  <c r="L473" i="2"/>
  <c r="D474" i="2"/>
  <c r="F474" i="2"/>
  <c r="L474" i="2"/>
  <c r="D475" i="2"/>
  <c r="F475" i="2"/>
  <c r="L475" i="2"/>
  <c r="D476" i="2"/>
  <c r="F476" i="2"/>
  <c r="L476" i="2"/>
  <c r="D477" i="2"/>
  <c r="F477" i="2"/>
  <c r="L477" i="2"/>
  <c r="D478" i="2"/>
  <c r="F478" i="2"/>
  <c r="L478" i="2"/>
  <c r="D479" i="2"/>
  <c r="F479" i="2"/>
  <c r="L479" i="2"/>
  <c r="D480" i="2"/>
  <c r="F480" i="2"/>
  <c r="L480" i="2"/>
  <c r="D481" i="2"/>
  <c r="F481" i="2"/>
  <c r="L481" i="2"/>
  <c r="D482" i="2"/>
  <c r="F482" i="2"/>
  <c r="L482" i="2"/>
  <c r="D483" i="2"/>
  <c r="F483" i="2"/>
  <c r="L483" i="2"/>
  <c r="D484" i="2"/>
  <c r="F484" i="2"/>
  <c r="L484" i="2"/>
  <c r="D485" i="2"/>
  <c r="F485" i="2"/>
  <c r="L485" i="2"/>
  <c r="D486" i="2"/>
  <c r="F486" i="2"/>
  <c r="L486" i="2"/>
  <c r="D487" i="2"/>
  <c r="F487" i="2"/>
  <c r="L487" i="2"/>
  <c r="D488" i="2"/>
  <c r="F488" i="2"/>
  <c r="L488" i="2"/>
  <c r="D489" i="2"/>
  <c r="F489" i="2"/>
  <c r="L489" i="2"/>
  <c r="D490" i="2"/>
  <c r="F490" i="2"/>
  <c r="L490" i="2"/>
  <c r="D491" i="2"/>
  <c r="F491" i="2"/>
  <c r="L491" i="2"/>
  <c r="D492" i="2"/>
  <c r="F492" i="2"/>
  <c r="L492" i="2"/>
  <c r="D493" i="2"/>
  <c r="F493" i="2"/>
  <c r="L493" i="2"/>
  <c r="D494" i="2"/>
  <c r="F494" i="2"/>
  <c r="L494" i="2"/>
  <c r="D495" i="2"/>
  <c r="F495" i="2"/>
  <c r="L495" i="2"/>
  <c r="D496" i="2"/>
  <c r="F496" i="2"/>
  <c r="L496" i="2"/>
  <c r="D497" i="2"/>
  <c r="F497" i="2"/>
  <c r="L497" i="2"/>
  <c r="D498" i="2"/>
  <c r="F498" i="2"/>
  <c r="L498" i="2"/>
  <c r="D499" i="2"/>
  <c r="F499" i="2"/>
  <c r="L499" i="2"/>
  <c r="D500" i="2"/>
  <c r="F500" i="2"/>
  <c r="L500" i="2"/>
  <c r="D501" i="2"/>
  <c r="F501" i="2"/>
  <c r="L501" i="2"/>
  <c r="D502" i="2"/>
  <c r="F502" i="2"/>
  <c r="L502" i="2"/>
  <c r="D503" i="2"/>
  <c r="F503" i="2"/>
  <c r="L503" i="2"/>
  <c r="D504" i="2"/>
  <c r="F504" i="2"/>
  <c r="L504" i="2"/>
  <c r="D505" i="2"/>
  <c r="F505" i="2"/>
  <c r="L505" i="2"/>
  <c r="D506" i="2"/>
  <c r="F506" i="2"/>
  <c r="L506" i="2"/>
  <c r="D507" i="2"/>
  <c r="F507" i="2"/>
  <c r="L507" i="2"/>
  <c r="D508" i="2"/>
  <c r="F508" i="2"/>
  <c r="L508" i="2"/>
  <c r="D509" i="2"/>
  <c r="F509" i="2"/>
  <c r="L509" i="2"/>
  <c r="D510" i="2"/>
  <c r="F510" i="2"/>
  <c r="L510" i="2"/>
  <c r="D511" i="2"/>
  <c r="F511" i="2"/>
  <c r="L511" i="2"/>
  <c r="D512" i="2"/>
  <c r="F512" i="2"/>
  <c r="L512" i="2"/>
  <c r="D513" i="2"/>
  <c r="F513" i="2"/>
  <c r="L513" i="2"/>
  <c r="D514" i="2"/>
  <c r="F514" i="2"/>
  <c r="L514" i="2"/>
  <c r="D515" i="2"/>
  <c r="F515" i="2"/>
  <c r="L515" i="2"/>
  <c r="D516" i="2"/>
  <c r="F516" i="2"/>
  <c r="L516" i="2"/>
  <c r="D517" i="2"/>
  <c r="F517" i="2"/>
  <c r="L517" i="2"/>
  <c r="D518" i="2"/>
  <c r="F518" i="2"/>
  <c r="L518" i="2"/>
  <c r="D519" i="2"/>
  <c r="F519" i="2"/>
  <c r="L519" i="2"/>
  <c r="D520" i="2"/>
  <c r="F520" i="2"/>
  <c r="L520" i="2"/>
  <c r="D521" i="2"/>
  <c r="F521" i="2"/>
  <c r="L521" i="2"/>
  <c r="D522" i="2"/>
  <c r="F522" i="2"/>
  <c r="L522" i="2"/>
  <c r="D523" i="2"/>
  <c r="F523" i="2"/>
  <c r="L523" i="2"/>
  <c r="D524" i="2"/>
  <c r="F524" i="2"/>
  <c r="L524" i="2"/>
  <c r="D525" i="2"/>
  <c r="F525" i="2"/>
  <c r="L525" i="2"/>
  <c r="D526" i="2"/>
  <c r="F526" i="2"/>
  <c r="L526" i="2"/>
  <c r="D527" i="2"/>
  <c r="F527" i="2"/>
  <c r="L527" i="2"/>
  <c r="D528" i="2"/>
  <c r="F528" i="2"/>
  <c r="L528" i="2"/>
  <c r="D529" i="2"/>
  <c r="F529" i="2"/>
  <c r="L529" i="2"/>
  <c r="D530" i="2"/>
  <c r="F530" i="2"/>
  <c r="L530" i="2"/>
  <c r="D531" i="2"/>
  <c r="F531" i="2"/>
  <c r="L531" i="2"/>
  <c r="D532" i="2"/>
  <c r="F532" i="2"/>
  <c r="L532" i="2"/>
  <c r="D533" i="2"/>
  <c r="F533" i="2"/>
  <c r="L533" i="2"/>
  <c r="D534" i="2"/>
  <c r="F534" i="2"/>
  <c r="L534" i="2"/>
  <c r="D535" i="2"/>
  <c r="F535" i="2"/>
  <c r="L535" i="2"/>
  <c r="D536" i="2"/>
  <c r="F536" i="2"/>
  <c r="L536" i="2"/>
  <c r="D537" i="2"/>
  <c r="F537" i="2"/>
  <c r="L537" i="2"/>
  <c r="D538" i="2"/>
  <c r="F538" i="2"/>
  <c r="L538" i="2"/>
  <c r="D539" i="2"/>
  <c r="F539" i="2"/>
  <c r="L539" i="2"/>
  <c r="D540" i="2"/>
  <c r="F540" i="2"/>
  <c r="L540" i="2"/>
  <c r="D541" i="2"/>
  <c r="F541" i="2"/>
  <c r="L541" i="2"/>
  <c r="D542" i="2"/>
  <c r="F542" i="2"/>
  <c r="L542" i="2"/>
  <c r="D543" i="2"/>
  <c r="F543" i="2"/>
  <c r="L543" i="2"/>
  <c r="D544" i="2"/>
  <c r="F544" i="2"/>
  <c r="L544" i="2"/>
  <c r="D545" i="2"/>
  <c r="F545" i="2"/>
  <c r="L545" i="2"/>
  <c r="D546" i="2"/>
  <c r="F546" i="2"/>
  <c r="L546" i="2"/>
  <c r="D547" i="2"/>
  <c r="F547" i="2"/>
  <c r="L547" i="2"/>
  <c r="D548" i="2"/>
  <c r="F548" i="2"/>
  <c r="L548" i="2"/>
  <c r="D549" i="2"/>
  <c r="F549" i="2"/>
  <c r="L549" i="2"/>
  <c r="D550" i="2"/>
  <c r="F550" i="2"/>
  <c r="L550" i="2"/>
  <c r="D551" i="2"/>
  <c r="F551" i="2"/>
  <c r="L551" i="2"/>
  <c r="D552" i="2"/>
  <c r="F552" i="2"/>
  <c r="L552" i="2"/>
  <c r="D553" i="2"/>
  <c r="F553" i="2"/>
  <c r="L553" i="2"/>
  <c r="D554" i="2"/>
  <c r="F554" i="2"/>
  <c r="L554" i="2"/>
  <c r="D555" i="2"/>
  <c r="F555" i="2"/>
  <c r="L555" i="2"/>
  <c r="D556" i="2"/>
  <c r="F556" i="2"/>
  <c r="L556" i="2"/>
  <c r="D557" i="2"/>
  <c r="F557" i="2"/>
  <c r="L557" i="2"/>
  <c r="D558" i="2"/>
  <c r="F558" i="2"/>
  <c r="L558" i="2"/>
  <c r="D559" i="2"/>
  <c r="F559" i="2"/>
  <c r="L559" i="2"/>
  <c r="D560" i="2"/>
  <c r="F560" i="2"/>
  <c r="L560" i="2"/>
  <c r="D561" i="2"/>
  <c r="F561" i="2"/>
  <c r="L561" i="2"/>
  <c r="D562" i="2"/>
  <c r="F562" i="2"/>
  <c r="L562" i="2"/>
  <c r="D563" i="2"/>
  <c r="F563" i="2"/>
  <c r="L563" i="2"/>
  <c r="D564" i="2"/>
  <c r="F564" i="2"/>
  <c r="L564" i="2"/>
  <c r="D565" i="2"/>
  <c r="F565" i="2"/>
  <c r="L565" i="2"/>
  <c r="D566" i="2"/>
  <c r="F566" i="2"/>
  <c r="L566" i="2"/>
  <c r="D567" i="2"/>
  <c r="F567" i="2"/>
  <c r="L567" i="2"/>
  <c r="D568" i="2"/>
  <c r="F568" i="2"/>
  <c r="L568" i="2"/>
  <c r="D569" i="2"/>
  <c r="F569" i="2"/>
  <c r="L569" i="2"/>
  <c r="D570" i="2"/>
  <c r="F570" i="2"/>
  <c r="L570" i="2"/>
  <c r="D571" i="2"/>
  <c r="F571" i="2"/>
  <c r="L571" i="2"/>
  <c r="D572" i="2"/>
  <c r="F572" i="2"/>
  <c r="L572" i="2"/>
  <c r="D573" i="2"/>
  <c r="F573" i="2"/>
  <c r="L573" i="2"/>
  <c r="D574" i="2"/>
  <c r="F574" i="2"/>
  <c r="L574" i="2"/>
  <c r="D575" i="2"/>
  <c r="F575" i="2"/>
  <c r="L575" i="2"/>
  <c r="D576" i="2"/>
  <c r="F576" i="2"/>
  <c r="L576" i="2"/>
  <c r="D577" i="2"/>
  <c r="F577" i="2"/>
  <c r="L577" i="2"/>
  <c r="D578" i="2"/>
  <c r="F578" i="2"/>
  <c r="L578" i="2"/>
  <c r="D579" i="2"/>
  <c r="F579" i="2"/>
  <c r="L579" i="2"/>
  <c r="D580" i="2"/>
  <c r="F580" i="2"/>
  <c r="L580" i="2"/>
  <c r="D581" i="2"/>
  <c r="F581" i="2"/>
  <c r="L581" i="2"/>
  <c r="D582" i="2"/>
  <c r="F582" i="2"/>
  <c r="L582" i="2"/>
  <c r="D583" i="2"/>
  <c r="F583" i="2"/>
  <c r="L583" i="2"/>
  <c r="D584" i="2"/>
  <c r="F584" i="2"/>
  <c r="L584" i="2"/>
  <c r="D585" i="2"/>
  <c r="F585" i="2"/>
  <c r="L585" i="2"/>
  <c r="D586" i="2"/>
  <c r="F586" i="2"/>
  <c r="L586" i="2"/>
  <c r="D587" i="2"/>
  <c r="F587" i="2"/>
  <c r="L587" i="2"/>
  <c r="D588" i="2"/>
  <c r="F588" i="2"/>
  <c r="L588" i="2"/>
  <c r="D589" i="2"/>
  <c r="F589" i="2"/>
  <c r="L589" i="2"/>
  <c r="D590" i="2"/>
  <c r="F590" i="2"/>
  <c r="L590" i="2"/>
  <c r="D591" i="2"/>
  <c r="F591" i="2"/>
  <c r="L591" i="2"/>
  <c r="D592" i="2"/>
  <c r="F592" i="2"/>
  <c r="L592" i="2"/>
  <c r="D593" i="2"/>
  <c r="F593" i="2"/>
  <c r="L593" i="2"/>
  <c r="D594" i="2"/>
  <c r="F594" i="2"/>
  <c r="L594" i="2"/>
  <c r="D595" i="2"/>
  <c r="F595" i="2"/>
  <c r="L595" i="2"/>
  <c r="D596" i="2"/>
  <c r="F596" i="2"/>
  <c r="L596" i="2"/>
  <c r="D597" i="2"/>
  <c r="F597" i="2"/>
  <c r="L597" i="2"/>
  <c r="D598" i="2"/>
  <c r="F598" i="2"/>
  <c r="L598" i="2"/>
  <c r="D599" i="2"/>
  <c r="F599" i="2"/>
  <c r="L599" i="2"/>
  <c r="D600" i="2"/>
  <c r="F600" i="2"/>
  <c r="L600" i="2"/>
  <c r="D601" i="2"/>
  <c r="F601" i="2"/>
  <c r="L601" i="2"/>
  <c r="D602" i="2"/>
  <c r="F602" i="2"/>
  <c r="L602" i="2"/>
  <c r="D603" i="2"/>
  <c r="F603" i="2"/>
  <c r="L603" i="2"/>
  <c r="D604" i="2"/>
  <c r="F604" i="2"/>
  <c r="L604" i="2"/>
  <c r="D605" i="2"/>
  <c r="F605" i="2"/>
  <c r="L605" i="2"/>
  <c r="D606" i="2"/>
  <c r="F606" i="2"/>
  <c r="L606" i="2"/>
  <c r="D607" i="2"/>
  <c r="F607" i="2"/>
  <c r="L607" i="2"/>
  <c r="D608" i="2"/>
  <c r="F608" i="2"/>
  <c r="L608" i="2"/>
  <c r="D609" i="2"/>
  <c r="F609" i="2"/>
  <c r="L609" i="2"/>
  <c r="D610" i="2"/>
  <c r="F610" i="2"/>
  <c r="L610" i="2"/>
  <c r="D611" i="2"/>
  <c r="F611" i="2"/>
  <c r="L611" i="2"/>
  <c r="D612" i="2"/>
  <c r="F612" i="2"/>
  <c r="L612" i="2"/>
  <c r="D613" i="2"/>
  <c r="F613" i="2"/>
  <c r="L613" i="2"/>
  <c r="D614" i="2"/>
  <c r="F614" i="2"/>
  <c r="L614" i="2"/>
  <c r="D615" i="2"/>
  <c r="F615" i="2"/>
  <c r="L615" i="2"/>
  <c r="D616" i="2"/>
  <c r="F616" i="2"/>
  <c r="L616" i="2"/>
  <c r="D617" i="2"/>
  <c r="F617" i="2"/>
  <c r="L617" i="2"/>
  <c r="D618" i="2"/>
  <c r="F618" i="2"/>
  <c r="L618" i="2"/>
  <c r="D619" i="2"/>
  <c r="F619" i="2"/>
  <c r="L619" i="2"/>
  <c r="D620" i="2"/>
  <c r="F620" i="2"/>
  <c r="L620" i="2"/>
  <c r="D621" i="2"/>
  <c r="F621" i="2"/>
  <c r="L621" i="2"/>
  <c r="D622" i="2"/>
  <c r="F622" i="2"/>
  <c r="L622" i="2"/>
  <c r="D623" i="2"/>
  <c r="F623" i="2"/>
  <c r="L623" i="2"/>
  <c r="D624" i="2"/>
  <c r="F624" i="2"/>
  <c r="L624" i="2"/>
  <c r="D625" i="2"/>
  <c r="F625" i="2"/>
  <c r="L625" i="2"/>
  <c r="D626" i="2"/>
  <c r="F626" i="2"/>
  <c r="L626" i="2"/>
  <c r="D627" i="2"/>
  <c r="F627" i="2"/>
  <c r="L627" i="2"/>
  <c r="D628" i="2"/>
  <c r="F628" i="2"/>
  <c r="L628" i="2"/>
  <c r="D629" i="2"/>
  <c r="F629" i="2"/>
  <c r="L629" i="2"/>
  <c r="D630" i="2"/>
  <c r="F630" i="2"/>
  <c r="L630" i="2"/>
  <c r="D631" i="2"/>
  <c r="F631" i="2"/>
  <c r="L631" i="2"/>
  <c r="D632" i="2"/>
  <c r="F632" i="2"/>
  <c r="L632" i="2"/>
  <c r="D633" i="2"/>
  <c r="F633" i="2"/>
  <c r="L633" i="2"/>
  <c r="D634" i="2"/>
  <c r="F634" i="2"/>
  <c r="L634" i="2"/>
  <c r="D635" i="2"/>
  <c r="F635" i="2"/>
  <c r="L635" i="2"/>
  <c r="D636" i="2"/>
  <c r="F636" i="2"/>
  <c r="L636" i="2"/>
  <c r="D637" i="2"/>
  <c r="F637" i="2"/>
  <c r="L637" i="2"/>
  <c r="D638" i="2"/>
  <c r="F638" i="2"/>
  <c r="L638" i="2"/>
  <c r="D639" i="2"/>
  <c r="F639" i="2"/>
  <c r="L639" i="2"/>
  <c r="D640" i="2"/>
  <c r="F640" i="2"/>
  <c r="L640" i="2"/>
  <c r="D641" i="2"/>
  <c r="F641" i="2"/>
  <c r="L641" i="2"/>
  <c r="D642" i="2"/>
  <c r="F642" i="2"/>
  <c r="L642" i="2"/>
  <c r="D643" i="2"/>
  <c r="F643" i="2"/>
  <c r="L643" i="2"/>
  <c r="D644" i="2"/>
  <c r="F644" i="2"/>
  <c r="L644" i="2"/>
  <c r="D645" i="2"/>
  <c r="F645" i="2"/>
  <c r="L645" i="2"/>
  <c r="D646" i="2"/>
  <c r="F646" i="2"/>
  <c r="L646" i="2"/>
  <c r="D647" i="2"/>
  <c r="F647" i="2"/>
  <c r="L647" i="2"/>
  <c r="D648" i="2"/>
  <c r="F648" i="2"/>
  <c r="L648" i="2"/>
  <c r="D649" i="2"/>
  <c r="F649" i="2"/>
  <c r="L649" i="2"/>
  <c r="D650" i="2"/>
  <c r="F650" i="2"/>
  <c r="L650" i="2"/>
  <c r="D651" i="2"/>
  <c r="F651" i="2"/>
  <c r="L651" i="2"/>
  <c r="D652" i="2"/>
  <c r="F652" i="2"/>
  <c r="L652" i="2"/>
  <c r="D653" i="2"/>
  <c r="F653" i="2"/>
  <c r="L653" i="2"/>
  <c r="D654" i="2"/>
  <c r="F654" i="2"/>
  <c r="L654" i="2"/>
  <c r="D655" i="2"/>
  <c r="F655" i="2"/>
  <c r="L655" i="2"/>
  <c r="D656" i="2"/>
  <c r="F656" i="2"/>
  <c r="L656" i="2"/>
  <c r="D657" i="2"/>
  <c r="F657" i="2"/>
  <c r="L657" i="2"/>
  <c r="D658" i="2"/>
  <c r="F658" i="2"/>
  <c r="L658" i="2"/>
  <c r="D659" i="2"/>
  <c r="F659" i="2"/>
  <c r="L659" i="2"/>
  <c r="D660" i="2"/>
  <c r="F660" i="2"/>
  <c r="L660" i="2"/>
  <c r="D661" i="2"/>
  <c r="F661" i="2"/>
  <c r="L661" i="2"/>
  <c r="D662" i="2"/>
  <c r="F662" i="2"/>
  <c r="L662" i="2"/>
  <c r="D663" i="2"/>
  <c r="F663" i="2"/>
  <c r="L663" i="2"/>
  <c r="D664" i="2"/>
  <c r="F664" i="2"/>
  <c r="L664" i="2"/>
  <c r="D665" i="2"/>
  <c r="F665" i="2"/>
  <c r="L665" i="2"/>
  <c r="D666" i="2"/>
  <c r="F666" i="2"/>
  <c r="L666" i="2"/>
  <c r="D667" i="2"/>
  <c r="F667" i="2"/>
  <c r="L667" i="2"/>
  <c r="D668" i="2"/>
  <c r="F668" i="2"/>
  <c r="L668" i="2"/>
  <c r="D669" i="2"/>
  <c r="F669" i="2"/>
  <c r="L669" i="2"/>
  <c r="D670" i="2"/>
  <c r="F670" i="2"/>
  <c r="L670" i="2"/>
  <c r="D671" i="2"/>
  <c r="F671" i="2"/>
  <c r="L671" i="2"/>
  <c r="D672" i="2"/>
  <c r="F672" i="2"/>
  <c r="L672" i="2"/>
  <c r="D673" i="2"/>
  <c r="F673" i="2"/>
  <c r="L673" i="2"/>
  <c r="D674" i="2"/>
  <c r="F674" i="2"/>
  <c r="L674" i="2"/>
  <c r="D675" i="2"/>
  <c r="F675" i="2"/>
  <c r="L675" i="2"/>
  <c r="D676" i="2"/>
  <c r="F676" i="2"/>
  <c r="L676" i="2"/>
  <c r="D677" i="2"/>
  <c r="F677" i="2"/>
  <c r="L677" i="2"/>
  <c r="D678" i="2"/>
  <c r="F678" i="2"/>
  <c r="L678" i="2"/>
  <c r="D679" i="2"/>
  <c r="F679" i="2"/>
  <c r="L679" i="2"/>
  <c r="D680" i="2"/>
  <c r="F680" i="2"/>
  <c r="L680" i="2"/>
  <c r="D681" i="2"/>
  <c r="F681" i="2"/>
  <c r="L681" i="2"/>
  <c r="D682" i="2"/>
  <c r="F682" i="2"/>
  <c r="L682" i="2"/>
  <c r="D683" i="2"/>
  <c r="F683" i="2"/>
  <c r="L683" i="2"/>
  <c r="D684" i="2"/>
  <c r="F684" i="2"/>
  <c r="L684" i="2"/>
  <c r="D685" i="2"/>
  <c r="F685" i="2"/>
  <c r="L685" i="2"/>
  <c r="D686" i="2"/>
  <c r="F686" i="2"/>
  <c r="L686" i="2"/>
  <c r="D687" i="2"/>
  <c r="F687" i="2"/>
  <c r="L687" i="2"/>
  <c r="D688" i="2"/>
  <c r="F688" i="2"/>
  <c r="L688" i="2"/>
  <c r="D689" i="2"/>
  <c r="F689" i="2"/>
  <c r="L689" i="2"/>
  <c r="D690" i="2"/>
  <c r="F690" i="2"/>
  <c r="L690" i="2"/>
  <c r="D691" i="2"/>
  <c r="F691" i="2"/>
  <c r="L691" i="2"/>
  <c r="D692" i="2"/>
  <c r="F692" i="2"/>
  <c r="L692" i="2"/>
  <c r="D693" i="2"/>
  <c r="F693" i="2"/>
  <c r="L693" i="2"/>
  <c r="D694" i="2"/>
  <c r="F694" i="2"/>
  <c r="L694" i="2"/>
  <c r="D695" i="2"/>
  <c r="F695" i="2"/>
  <c r="L695" i="2"/>
  <c r="D696" i="2"/>
  <c r="F696" i="2"/>
  <c r="L696" i="2"/>
  <c r="D697" i="2"/>
  <c r="F697" i="2"/>
  <c r="L697" i="2"/>
  <c r="D698" i="2"/>
  <c r="F698" i="2"/>
  <c r="L698" i="2"/>
  <c r="D699" i="2"/>
  <c r="F699" i="2"/>
  <c r="L699" i="2"/>
  <c r="D700" i="2"/>
  <c r="F700" i="2"/>
  <c r="L700" i="2"/>
  <c r="D701" i="2"/>
  <c r="F701" i="2"/>
  <c r="L701" i="2"/>
  <c r="D702" i="2"/>
  <c r="F702" i="2"/>
  <c r="L702" i="2"/>
  <c r="D703" i="2"/>
  <c r="F703" i="2"/>
  <c r="L703" i="2"/>
  <c r="D704" i="2"/>
  <c r="F704" i="2"/>
  <c r="L704" i="2"/>
  <c r="D705" i="2"/>
  <c r="F705" i="2"/>
  <c r="L705" i="2"/>
  <c r="D706" i="2"/>
  <c r="F706" i="2"/>
  <c r="L706" i="2"/>
  <c r="D707" i="2"/>
  <c r="F707" i="2"/>
  <c r="L707" i="2"/>
  <c r="D708" i="2"/>
  <c r="F708" i="2"/>
  <c r="L708" i="2"/>
  <c r="D709" i="2"/>
  <c r="F709" i="2"/>
  <c r="L709" i="2"/>
  <c r="D710" i="2"/>
  <c r="F710" i="2"/>
  <c r="L710" i="2"/>
  <c r="D711" i="2"/>
  <c r="F711" i="2"/>
  <c r="L711" i="2"/>
  <c r="D712" i="2"/>
  <c r="F712" i="2"/>
  <c r="L712" i="2"/>
  <c r="D713" i="2"/>
  <c r="F713" i="2"/>
  <c r="L713" i="2"/>
  <c r="D714" i="2"/>
  <c r="F714" i="2"/>
  <c r="L714" i="2"/>
  <c r="D715" i="2"/>
  <c r="F715" i="2"/>
  <c r="L715" i="2"/>
  <c r="D716" i="2"/>
  <c r="F716" i="2"/>
  <c r="L716" i="2"/>
  <c r="D717" i="2"/>
  <c r="F717" i="2"/>
  <c r="L717" i="2"/>
  <c r="D718" i="2"/>
  <c r="F718" i="2"/>
  <c r="L718" i="2"/>
  <c r="D719" i="2"/>
  <c r="F719" i="2"/>
  <c r="L719" i="2"/>
  <c r="D720" i="2"/>
  <c r="F720" i="2"/>
  <c r="L720" i="2"/>
  <c r="D721" i="2"/>
  <c r="F721" i="2"/>
  <c r="L721" i="2"/>
  <c r="D722" i="2"/>
  <c r="F722" i="2"/>
  <c r="L722" i="2"/>
  <c r="D723" i="2"/>
  <c r="F723" i="2"/>
  <c r="L723" i="2"/>
  <c r="D724" i="2"/>
  <c r="F724" i="2"/>
  <c r="L724" i="2"/>
  <c r="D725" i="2"/>
  <c r="F725" i="2"/>
  <c r="L725" i="2"/>
  <c r="D726" i="2"/>
  <c r="F726" i="2"/>
  <c r="L726" i="2"/>
  <c r="D727" i="2"/>
  <c r="F727" i="2"/>
  <c r="L727" i="2"/>
  <c r="D728" i="2"/>
  <c r="F728" i="2"/>
  <c r="L728" i="2"/>
  <c r="D729" i="2"/>
  <c r="F729" i="2"/>
  <c r="L729" i="2"/>
  <c r="D730" i="2"/>
  <c r="F730" i="2"/>
  <c r="L730" i="2"/>
  <c r="D731" i="2"/>
  <c r="F731" i="2"/>
  <c r="L731" i="2"/>
  <c r="D732" i="2"/>
  <c r="F732" i="2"/>
  <c r="L732" i="2"/>
  <c r="D733" i="2"/>
  <c r="F733" i="2"/>
  <c r="L733" i="2"/>
  <c r="D734" i="2"/>
  <c r="F734" i="2"/>
  <c r="L734" i="2"/>
  <c r="D735" i="2"/>
  <c r="F735" i="2"/>
  <c r="L735" i="2"/>
  <c r="D736" i="2"/>
  <c r="F736" i="2"/>
  <c r="L736" i="2"/>
  <c r="D737" i="2"/>
  <c r="F737" i="2"/>
  <c r="L737" i="2"/>
  <c r="D738" i="2"/>
  <c r="F738" i="2"/>
  <c r="L738" i="2"/>
  <c r="D739" i="2"/>
  <c r="F739" i="2"/>
  <c r="L739" i="2"/>
  <c r="D740" i="2"/>
  <c r="F740" i="2"/>
  <c r="L740" i="2"/>
  <c r="D741" i="2"/>
  <c r="F741" i="2"/>
  <c r="L741" i="2"/>
  <c r="D742" i="2"/>
  <c r="F742" i="2"/>
  <c r="L742" i="2"/>
  <c r="D743" i="2"/>
  <c r="F743" i="2"/>
  <c r="L743" i="2"/>
  <c r="D744" i="2"/>
  <c r="F744" i="2"/>
  <c r="L744" i="2"/>
  <c r="D745" i="2"/>
  <c r="F745" i="2"/>
  <c r="L745" i="2"/>
  <c r="D746" i="2"/>
  <c r="F746" i="2"/>
  <c r="L746" i="2"/>
  <c r="D747" i="2"/>
  <c r="F747" i="2"/>
  <c r="L747" i="2"/>
  <c r="D748" i="2"/>
  <c r="F748" i="2"/>
  <c r="L748" i="2"/>
  <c r="D749" i="2"/>
  <c r="F749" i="2"/>
  <c r="L749" i="2"/>
  <c r="D750" i="2"/>
  <c r="F750" i="2"/>
  <c r="L750" i="2"/>
  <c r="D751" i="2"/>
  <c r="F751" i="2"/>
  <c r="L751" i="2"/>
  <c r="D752" i="2"/>
  <c r="F752" i="2"/>
  <c r="L752" i="2"/>
  <c r="D753" i="2"/>
  <c r="F753" i="2"/>
  <c r="L753" i="2"/>
  <c r="D754" i="2"/>
  <c r="F754" i="2"/>
  <c r="L754" i="2"/>
  <c r="D755" i="2"/>
  <c r="F755" i="2"/>
  <c r="L755" i="2"/>
  <c r="D756" i="2"/>
  <c r="F756" i="2"/>
  <c r="L756" i="2"/>
  <c r="D757" i="2"/>
  <c r="F757" i="2"/>
  <c r="L757" i="2"/>
  <c r="D758" i="2"/>
  <c r="F758" i="2"/>
  <c r="L758" i="2"/>
  <c r="D759" i="2"/>
  <c r="F759" i="2"/>
  <c r="L759" i="2"/>
  <c r="D760" i="2"/>
  <c r="F760" i="2"/>
  <c r="L760" i="2"/>
  <c r="D761" i="2"/>
  <c r="F761" i="2"/>
  <c r="L761" i="2"/>
  <c r="D762" i="2"/>
  <c r="F762" i="2"/>
  <c r="L762" i="2"/>
  <c r="D763" i="2"/>
  <c r="F763" i="2"/>
  <c r="L763" i="2"/>
  <c r="D764" i="2"/>
  <c r="F764" i="2"/>
  <c r="L764" i="2"/>
  <c r="D765" i="2"/>
  <c r="F765" i="2"/>
  <c r="L765" i="2"/>
  <c r="D766" i="2"/>
  <c r="F766" i="2"/>
  <c r="L766" i="2"/>
  <c r="D767" i="2"/>
  <c r="F767" i="2"/>
  <c r="L767" i="2"/>
  <c r="D768" i="2"/>
  <c r="F768" i="2"/>
  <c r="L768" i="2"/>
  <c r="D769" i="2"/>
  <c r="F769" i="2"/>
  <c r="L769" i="2"/>
  <c r="D770" i="2"/>
  <c r="F770" i="2"/>
  <c r="L770" i="2"/>
  <c r="D771" i="2"/>
  <c r="F771" i="2"/>
  <c r="L771" i="2"/>
  <c r="D772" i="2"/>
  <c r="F772" i="2"/>
  <c r="L772" i="2"/>
  <c r="D773" i="2"/>
  <c r="F773" i="2"/>
  <c r="L773" i="2"/>
  <c r="D774" i="2"/>
  <c r="F774" i="2"/>
  <c r="L774" i="2"/>
  <c r="D775" i="2"/>
  <c r="F775" i="2"/>
  <c r="L775" i="2"/>
  <c r="D776" i="2"/>
  <c r="F776" i="2"/>
  <c r="L776" i="2"/>
  <c r="D777" i="2"/>
  <c r="F777" i="2"/>
  <c r="L777" i="2"/>
  <c r="D778" i="2"/>
  <c r="F778" i="2"/>
  <c r="L778" i="2"/>
  <c r="D779" i="2"/>
  <c r="F779" i="2"/>
  <c r="L779" i="2"/>
  <c r="D780" i="2"/>
  <c r="F780" i="2"/>
  <c r="L780" i="2"/>
  <c r="D781" i="2"/>
  <c r="F781" i="2"/>
  <c r="L781" i="2"/>
  <c r="D782" i="2"/>
  <c r="F782" i="2"/>
  <c r="L782" i="2"/>
  <c r="D783" i="2"/>
  <c r="F783" i="2"/>
  <c r="L783" i="2"/>
  <c r="D784" i="2"/>
  <c r="F784" i="2"/>
  <c r="L784" i="2"/>
  <c r="D785" i="2"/>
  <c r="F785" i="2"/>
  <c r="L785" i="2"/>
  <c r="D786" i="2"/>
  <c r="F786" i="2"/>
  <c r="L786" i="2"/>
  <c r="D787" i="2"/>
  <c r="F787" i="2"/>
  <c r="L787" i="2"/>
  <c r="D788" i="2"/>
  <c r="F788" i="2"/>
  <c r="L788" i="2"/>
  <c r="D789" i="2"/>
  <c r="F789" i="2"/>
  <c r="L789" i="2"/>
  <c r="D790" i="2"/>
  <c r="F790" i="2"/>
  <c r="L790" i="2"/>
  <c r="D791" i="2"/>
  <c r="F791" i="2"/>
  <c r="L791" i="2"/>
  <c r="D792" i="2"/>
  <c r="F792" i="2"/>
  <c r="L792" i="2"/>
  <c r="D793" i="2"/>
  <c r="F793" i="2"/>
  <c r="L793" i="2"/>
  <c r="D794" i="2"/>
  <c r="F794" i="2"/>
  <c r="L794" i="2"/>
  <c r="D795" i="2"/>
  <c r="F795" i="2"/>
  <c r="L795" i="2"/>
  <c r="D796" i="2"/>
  <c r="F796" i="2"/>
  <c r="L796" i="2"/>
  <c r="D797" i="2"/>
  <c r="F797" i="2"/>
  <c r="L797" i="2"/>
  <c r="D798" i="2"/>
  <c r="F798" i="2"/>
  <c r="L798" i="2"/>
  <c r="D799" i="2"/>
  <c r="F799" i="2"/>
  <c r="L799" i="2"/>
  <c r="D800" i="2"/>
  <c r="F800" i="2"/>
  <c r="L800" i="2"/>
  <c r="D801" i="2"/>
  <c r="F801" i="2"/>
  <c r="L801" i="2"/>
  <c r="D802" i="2"/>
  <c r="F802" i="2"/>
  <c r="L802" i="2"/>
  <c r="D803" i="2"/>
  <c r="F803" i="2"/>
  <c r="L803" i="2"/>
  <c r="D804" i="2"/>
  <c r="F804" i="2"/>
  <c r="L804" i="2"/>
</calcChain>
</file>

<file path=xl/sharedStrings.xml><?xml version="1.0" encoding="utf-8"?>
<sst xmlns="http://schemas.openxmlformats.org/spreadsheetml/2006/main" count="34934" uniqueCount="9191">
  <si>
    <t>Number</t>
  </si>
  <si>
    <t>Link</t>
  </si>
  <si>
    <t>Title</t>
  </si>
  <si>
    <t>Description*</t>
  </si>
  <si>
    <t>published Date</t>
  </si>
  <si>
    <t>Event date from</t>
  </si>
  <si>
    <t>Event date to</t>
  </si>
  <si>
    <t>Platform</t>
  </si>
  <si>
    <t>Author</t>
  </si>
  <si>
    <t>Source</t>
  </si>
  <si>
    <t>Reference</t>
  </si>
  <si>
    <t>Language</t>
  </si>
  <si>
    <t>Location</t>
  </si>
  <si>
    <t>Type</t>
  </si>
  <si>
    <t>Media</t>
  </si>
  <si>
    <t>Theme (tag)</t>
  </si>
  <si>
    <t>Places &amp; Organizations (tag)</t>
  </si>
  <si>
    <t>Locations (tag)</t>
  </si>
  <si>
    <t>Figures (tag)</t>
  </si>
  <si>
    <t>https://www.undp.org/press-releases/new-un-report-impacts-war-have-set-back-development-gaza-much-69-years</t>
  </si>
  <si>
    <t>UNDP Report says development in Gaza went back by 69 years</t>
  </si>
  <si>
    <t>A new UN report highlights the severe impacts of war on Gaza's development, projecting a rise in poverty and a significant contraction in GDP and employment in the State of Palestine.</t>
  </si>
  <si>
    <t>October 22, 2024</t>
  </si>
  <si>
    <t>UNDP (UN Development Programme)</t>
  </si>
  <si>
    <t>United Nations Development Programme</t>
  </si>
  <si>
    <t>https://www.undp.org/arab-states/publications/gaza-war-expected-socio-economic-impacts-state-palestine-october-2024</t>
  </si>
  <si>
    <t>English</t>
  </si>
  <si>
    <t>Gaza Strip</t>
  </si>
  <si>
    <t>Official Report</t>
  </si>
  <si>
    <t>Text</t>
  </si>
  <si>
    <t>Economy, Humanitarian Aid, Blockade, Reconstruction</t>
  </si>
  <si>
    <t>https://www.haaretz.co.il/opinions/2024-12-22/ty-article-opinion/.premium/00000193-ea47-d35c-a79f-fae7bf390000</t>
  </si>
  <si>
    <t>Brigadier General Vach's Worldview is Known. Nonetheless, He was Charged with Commanding a Sensitive Area</t>
  </si>
  <si>
    <t>The opinion piece discusses the military actions in Gaza and the controversial decisions made by Brigadier General Yehuda Vach, despite the sensitivity of the situation.</t>
  </si>
  <si>
    <t>December 22, 2024</t>
  </si>
  <si>
    <t>August 7, 2024</t>
  </si>
  <si>
    <t>Haaretz</t>
  </si>
  <si>
    <t>Yagil Levi</t>
  </si>
  <si>
    <t>https://www.haaretz.co.il/news/magazine/2024-12-18/ty-article-magazine/.premium/00000193-d01a-dcf9-afbb-deff388f0000</t>
  </si>
  <si>
    <t>Hebrew</t>
  </si>
  <si>
    <t>Netzarim Corridor</t>
  </si>
  <si>
    <t>Opinion</t>
  </si>
  <si>
    <t>Ethnic Cleansing, Rules of Engagement, Religious Right</t>
  </si>
  <si>
    <t>IDF (Israel Defense Forces)</t>
  </si>
  <si>
    <t>https://reliefweb.int/report/occupied-palestinian-territory/israels-assault-foundations-international-law-must-have-consequences-un-experts</t>
  </si>
  <si>
    <t>UN: Israel must have consequnces for attacking humanitarian law</t>
  </si>
  <si>
    <t>UN experts condemn Israel's violations of international law in the occupied Palestinian territory and call for accountability for crimes against humanity and war crimes.</t>
  </si>
  <si>
    <t>December 30, 2024</t>
  </si>
  <si>
    <t>ReliefWeb</t>
  </si>
  <si>
    <t>https://www.ohchr.org/en/press-releases/2024/12/israels-assault-foundations-international-law-must-have-consequences-un?sub-site=HRC</t>
  </si>
  <si>
    <t>Murder, Torture, Forced Displacement, Sexual Violence</t>
  </si>
  <si>
    <t>Kamal Adwan Hospital</t>
  </si>
  <si>
    <t>https://www.idi.org.il/articles/57946</t>
  </si>
  <si>
    <t>Poll - 57.5% of Israeli Public Support Complete Hostage Deal in Return for End of War (Jan 2025)</t>
  </si>
  <si>
    <t>A survey conducted in December 2024 by the Israeli Democracy Institute shows public support for a comprehensive deal to release all captives in exchange for ending the war, with varying opinions across political spectrums.</t>
  </si>
  <si>
    <t>January 15, 2025</t>
  </si>
  <si>
    <t>January 8, 2025</t>
  </si>
  <si>
    <t>The Israel Democracy Institute</t>
  </si>
  <si>
    <t>Prof. Tamar Herman, Dr. Lior Yohanani, Yaron Kaplan, Inna Orly Sapojnikov</t>
  </si>
  <si>
    <t>https://dataisrael.idi.org.il</t>
  </si>
  <si>
    <t>Israel</t>
  </si>
  <si>
    <t>Analysis</t>
  </si>
  <si>
    <t>Hostage Deal, Ceasefire, Public Opinion, Israeli Society</t>
  </si>
  <si>
    <t>https://www.mekomit.co.il/%d7%9c%d7%94%d7%a8%d7%95%d7%a1-%d7%90%d7%aa-%d7%94%d7%a9%d7%9c%d7%99%d7%97-%d7%9b%d7%9a-%d7%94%d7%97%d7%a8%d7%99%d7%91%d7%94-%d7%99%d7%a9%d7%a8%d7%90%d7%9c-%d7%90%d7%aa-%d7%9e%d7%aa%d7%a7%d7%a0%d7%99/</t>
  </si>
  <si>
    <t>Israel's destruction of journalistic infrastructure in Gaza</t>
  </si>
  <si>
    <t>Israel's destruction of media facilities in Gaza, as investigated by Forbidden Stories, highlights the challenges faced by journalists in reporting from the region.</t>
  </si>
  <si>
    <t>June 26, 2024</t>
  </si>
  <si>
    <t>October 7, 2023</t>
  </si>
  <si>
    <t>June 25, 2024</t>
  </si>
  <si>
    <t>Mekomit</t>
  </si>
  <si>
    <t>Léa Peruchon</t>
  </si>
  <si>
    <t>Gaza City</t>
  </si>
  <si>
    <t>Journalistic report</t>
  </si>
  <si>
    <t>Media, Civilians, Air Strike, Rules of Engagement, Journalists, War Crimes</t>
  </si>
  <si>
    <t>https://www.haaretz.co.il/news/magazine/2024-06-25/ty-article-magazine/.premium/00000190-4ac5-da42-a1ba-7fef27c50000</t>
  </si>
  <si>
    <t>IDF reserve soldiers refusing to serve further tell their stories</t>
  </si>
  <si>
    <t>Three reserve soldiers explain why they will refuse to serve in Gaza, even if they will face consequences.</t>
  </si>
  <si>
    <t>May 31, 2024</t>
  </si>
  <si>
    <t>Liza Rozovsky</t>
  </si>
  <si>
    <t>War Crimes, Rules of Engagement, Ground Operation, Hostage Deal</t>
  </si>
  <si>
    <t>https://zeteo.com/p/the-myth-of-human-shields-israel-gaza</t>
  </si>
  <si>
    <t>The Myth of Gaza's civilian population serving as human shields for Hamas</t>
  </si>
  <si>
    <t>The article debunks the 'human shields' claim used by Israel in Gaza conflicts, highlighting the impact on civilians and the misuse of the term by the Israeli military.</t>
  </si>
  <si>
    <t>September 30, 2024</t>
  </si>
  <si>
    <t>Zeteo</t>
  </si>
  <si>
    <t>Muhammad Shehada</t>
  </si>
  <si>
    <t>Civilians, Rules of Engagement, Air Strike, Collective Punishment</t>
  </si>
  <si>
    <t>https://www.gazahealthcareletters.org/usa-letter-oct-2-2024</t>
  </si>
  <si>
    <t>Letter to US President Biden and Vice President Harris from 99 American physicians who volunteered in Gaza</t>
  </si>
  <si>
    <t>American medical professionals who served in Gaza write an open letter to President Biden and Vice President Harris, urging for immediate action to prevent further catastrophe in Gaza and Israel.</t>
  </si>
  <si>
    <t>October 2, 2024</t>
  </si>
  <si>
    <t>Gaza Healthcare Letters</t>
  </si>
  <si>
    <t>American Medical Professionals who Served in Gaza</t>
  </si>
  <si>
    <t>Open letter</t>
  </si>
  <si>
    <t>Civilians, Hospital, Public Health, Torture</t>
  </si>
  <si>
    <t>United States</t>
  </si>
  <si>
    <t>Joe Biden, Kamala Harris</t>
  </si>
  <si>
    <t>https://www.haaretz.co.il/news/politics/2024-10-30/ty-article-magazine/.premium/00000192-de9d-d7b5-af97-ff9d2d0d0000</t>
  </si>
  <si>
    <t>100 dead in IDF attempt to kill a spotter</t>
  </si>
  <si>
    <t>Residents and rescue workers search for survivors in a collapsed five-story building in Beit Lahia, northern Gaza Strip, following an explosion that occurred the previous morning.</t>
  </si>
  <si>
    <t>October 30, 2024</t>
  </si>
  <si>
    <t>October 29, 2024</t>
  </si>
  <si>
    <t>Jack Khoury</t>
  </si>
  <si>
    <t>Beit Lahia</t>
  </si>
  <si>
    <t>Air Strike, Civilians</t>
  </si>
  <si>
    <t>Beit Lahiya</t>
  </si>
  <si>
    <t>https://www.theguardian.com/world/article/2024/jul/19/israel-gaza-war-polio-sewage-samples</t>
  </si>
  <si>
    <t>Polio virus found in Gaza sewage</t>
  </si>
  <si>
    <t>Highly infectious poliovirus found in Gaza sewage samples, putting thousands at risk of contracting the disease due to poor sanitation and infrastructure conditions.</t>
  </si>
  <si>
    <t>July 19, 2024</t>
  </si>
  <si>
    <t>The Guardian</t>
  </si>
  <si>
    <t>Agence France-Presse</t>
  </si>
  <si>
    <t>Water, Public Health</t>
  </si>
  <si>
    <t>Central Gaza Strip</t>
  </si>
  <si>
    <t>https://www.thenationalnews.com/news/mena/2024/06/21/israel-gaza-city-municipality-garage/</t>
  </si>
  <si>
    <t>Israel killed water/environment engineer &amp; municipality officials working to restore water supply in Gaza</t>
  </si>
  <si>
    <t>An Israeli airstrike on a Gaza City municipal building kills at least five workers, including four preparing to restore drinking water wells, leading to significant destruction and impacting essential services in the war-torn enclave.</t>
  </si>
  <si>
    <t>June 21, 2024</t>
  </si>
  <si>
    <t>The National</t>
  </si>
  <si>
    <t>Nagham Mohanna</t>
  </si>
  <si>
    <t>Air Strike, Civilians, Water</t>
  </si>
  <si>
    <t>https://www.globaltimes.cn/page/202411/1322528.shtml</t>
  </si>
  <si>
    <t>Gazans boycott local markets due to exhorbitant food prices</t>
  </si>
  <si>
    <t>Markets in Gaza are empty as locals boycott due to soaring prices amid the conflict with Israel, leading to protests and accusations of price manipulation by traders.</t>
  </si>
  <si>
    <t>November 6, 2024</t>
  </si>
  <si>
    <t>November 5, 2024</t>
  </si>
  <si>
    <t>Global Times</t>
  </si>
  <si>
    <t>Xinhua</t>
  </si>
  <si>
    <t>Central Gaza; Southern Gaza</t>
  </si>
  <si>
    <t>Food, Humanitarian Aid</t>
  </si>
  <si>
    <t>https://amp.cnn.com/cnn/2024/11/29/middleeast/gaza-bakery-crush-palestinians-killed-intl-latam</t>
  </si>
  <si>
    <t>3 Palestinians crushed to death in line to get food</t>
  </si>
  <si>
    <t>Three Palestinians, including two children and a woman, were crushed to death outside a bakery in Gaza amid a worsening food crisis in the enclave.</t>
  </si>
  <si>
    <t>November 30 ,2024</t>
  </si>
  <si>
    <t>November 29, 2024</t>
  </si>
  <si>
    <t>CNN</t>
  </si>
  <si>
    <t>Abeer Salman; Mohammad Al Sawalhi; Ibrahim Dahman; Mitchell McCluskey</t>
  </si>
  <si>
    <t>Central Gaza</t>
  </si>
  <si>
    <t>Humanitarian Aid, Food, Civilians</t>
  </si>
  <si>
    <t>https://thebaffler.com/latest/running-amok-turfah</t>
  </si>
  <si>
    <t>Dehumanizing social media posts by Israeli soldiers in Gaza</t>
  </si>
  <si>
    <t>The content discusses various disturbing behaviors exhibited by Israeli soldiers in Gaza, including destruction, looting, and disrespectful actions towards Palestinians.</t>
  </si>
  <si>
    <t>June 18, 2024</t>
  </si>
  <si>
    <t>The Baffler</t>
  </si>
  <si>
    <t>Mary Turfah</t>
  </si>
  <si>
    <t>Vandalism</t>
  </si>
  <si>
    <t>https://www.haaretz.com/israel-news/2024-09-03/ty-article/.premium/israeli-army-reservists-assault-gazan-truck-drivers-working-for-aid-organizations/00000191-b71d-d13c-a39b-bf9d24710000</t>
  </si>
  <si>
    <t>Israeli army reservist assault Gazan truck drivers working for aid organizations</t>
  </si>
  <si>
    <t>Israeli army reservists assaulted Gazan truck drivers working for aid organizations, despite being cleared by Israel's security services.</t>
  </si>
  <si>
    <t>September 3, 2024</t>
  </si>
  <si>
    <t>Yaniv Kubovich</t>
  </si>
  <si>
    <t>Kerem Shalom Crossing</t>
  </si>
  <si>
    <t>Humanitarian Aid, Civilians</t>
  </si>
  <si>
    <t>https://www.themarker.com/news/education/2024-09-30/ty-article/00000192-41e6-d07b-aff3-57e6401a0000</t>
  </si>
  <si>
    <t>Israeli Ministry of Education Directorate of Religious Education calls for schools to celebrate killing of Hezbollah leader Hassan Nasrallah</t>
  </si>
  <si>
    <t>The Ministry of Education instructed religious state schools to hold dances and send food packages to students following the killing of Hezbollah leader Hassan Nasrallah, sparking debates within the religious community.</t>
  </si>
  <si>
    <t>September 29, 2024</t>
  </si>
  <si>
    <t>The Marker</t>
  </si>
  <si>
    <t>Lior Dattel</t>
  </si>
  <si>
    <t>Israeli Society</t>
  </si>
  <si>
    <t>Hassan Nasrallah</t>
  </si>
  <si>
    <t>https://www.haaretz.co.il/news/law/2024-09-23/ty-article/.premium/00000192-1b6b-d342-ab9f-df6b2b790000</t>
  </si>
  <si>
    <t>Deputy Mayor of Jerusalem interrogated under suspicion of inciting to violence and terrorism</t>
  </si>
  <si>
    <t>Jerusalem's Deputy Mayor, Aryeh King, is under investigation for incitement to violence and terrorism after posting against the UN - Law and Crime</t>
  </si>
  <si>
    <t>September 23, 2024</t>
  </si>
  <si>
    <t>Yael Freidson</t>
  </si>
  <si>
    <t>Terrorism</t>
  </si>
  <si>
    <t>Israeli Police, UNRWA (The UN Relief and Works Agency for Palestine Refugees)</t>
  </si>
  <si>
    <t>Jerusalem</t>
  </si>
  <si>
    <t>https://www.nytimes.com/2024/10/14/world/middleeast/israel-gaza-military-human-shields.html</t>
  </si>
  <si>
    <t>Israeli Army uses Palestinian civilians as human shields in Gaza</t>
  </si>
  <si>
    <t>Israeli soldiers have been accused of using Palestinians as human shields in Gaza, forcing them to carry out dangerous tasks, as reported by The New York Times.</t>
  </si>
  <si>
    <t>October 14, 2024</t>
  </si>
  <si>
    <t>The New York Times</t>
  </si>
  <si>
    <t>Natan Odenheimer; Bilal Shbair; Patrick Kingsley</t>
  </si>
  <si>
    <t>Ground Operation, Civilians</t>
  </si>
  <si>
    <t>https://www.haaretz.co.il/news/magazine/2024-06-28/ty-article-magazine/.premium/00000190-5aa7-de5e-abd0-fbf704260000</t>
  </si>
  <si>
    <t>A night with an IDF ghost unit that has been fighting in the Gaza Strip for eight months</t>
  </si>
  <si>
    <t>An article about a night with the IDF's Re'phaim unit, which has been fighting in the Gaza Strip for eight months.</t>
  </si>
  <si>
    <t>June 28,2024</t>
  </si>
  <si>
    <t>Hostages</t>
  </si>
  <si>
    <t>https://www.haaretz.co.il/news/politics/2024-10-16/ty-article/.premium/00000192-94aa-d9c2-a7f3-9cae337a0000</t>
  </si>
  <si>
    <t>An invitation from Likud for an event in the Gaza border area was distributed under the title 'Preparing to settle in the Gaza region</t>
  </si>
  <si>
    <t>The Likud party has issued an invitation for an event in the Gaza envelope titled 'Preparing to settle in the Gaza Strip' with the participation of several Likud Knesset members.</t>
  </si>
  <si>
    <t>October 16,2024</t>
  </si>
  <si>
    <t>Noa Spigel</t>
  </si>
  <si>
    <t>Western Negev (Otef)</t>
  </si>
  <si>
    <t>Israeli Society, Settlements</t>
  </si>
  <si>
    <t>Benny Gantz, Benjamin Netanyahu</t>
  </si>
  <si>
    <t>https://www.mekomit.co.il/ps/141796/</t>
  </si>
  <si>
    <t>The children of Gaza have started the school year amid destruction, loss, and uncertainty</t>
  </si>
  <si>
    <t>Children in Gaza begin the school year amidst destruction and uncertainty, facing challenges in accessing education due to ongoing attacks and war aftermath.</t>
  </si>
  <si>
    <t>October 31, 2024</t>
  </si>
  <si>
    <t>Rawida Kamal Amar;Ivtisam Mahdi</t>
  </si>
  <si>
    <t>https://www.ochaopt.org/content/reported-impact-snapshot-gaza-strip-29-october-2024</t>
  </si>
  <si>
    <t>Scholasticide</t>
  </si>
  <si>
    <t>https://www.kan.org.il/content/kan-news/defense/827036/</t>
  </si>
  <si>
    <t>With the help of soldiers: This is how the right-wing activist managed to enter Netzarim</t>
  </si>
  <si>
    <t>Israeli Right-wing settler activist Daniella Weiss enlisted the help of military forces stationed in and around the Gaza Strip to enter the territory despite it being declared a closed military zone. Weiss did so in preparation for establishing Jewish settlements in the Gaza Strip.</t>
  </si>
  <si>
    <t>November 21, 2024</t>
  </si>
  <si>
    <t>November 13, 2024</t>
  </si>
  <si>
    <t>Kan 11</t>
  </si>
  <si>
    <t>Avi Amit</t>
  </si>
  <si>
    <t>Religious Right, Settlements</t>
  </si>
  <si>
    <t>https://www.haaretz.co.il/news/politics/2025-01-18/ty-article/00000194-784f-d739-a9b6-78ff31ab0000</t>
  </si>
  <si>
    <t>Israel has committed to allowing reconstruction work in the Gaza Strip at the beginning of the first phase of the deal</t>
  </si>
  <si>
    <t>Israel committed to allowing infrastructure rehabilitation works in the Gaza Strip at the beginning of the first stage of the agreement, amidst the release of captives and ceasefire negotiations.</t>
  </si>
  <si>
    <t>January 18, 2025</t>
  </si>
  <si>
    <t>Yaniv Kubovich, Yehonatan Lis</t>
  </si>
  <si>
    <t>North Gaza Strip</t>
  </si>
  <si>
    <t>Hostage Deal, Reconstruction, Ceasefire</t>
  </si>
  <si>
    <t>Qatar</t>
  </si>
  <si>
    <t>North Gaza</t>
  </si>
  <si>
    <t>https://www.nytimes.com/2024/11/19/world/middleeast/israel-5-million-dollars-hostage.html</t>
  </si>
  <si>
    <t>Netanyahu Offers $5 Million for Each Hostage Freed in Gaza</t>
  </si>
  <si>
    <t>Israeli Prime Minister Netanyahu offers $5 million for each hostage freed in Gaza as part of efforts to secure their release amidst stalled cease-fire talks.</t>
  </si>
  <si>
    <t>November 19, 2024</t>
  </si>
  <si>
    <t>Efrat Livni</t>
  </si>
  <si>
    <t>Hostage Deal, Hostages</t>
  </si>
  <si>
    <t>Benjamin Netanyahu, Yoav Gallant</t>
  </si>
  <si>
    <t>https://www.ha-makom.co.il/idf-droppings/</t>
  </si>
  <si>
    <t>Silent and suppressed refusal: Active-duty soldiers are no longer willing to keep fighting</t>
  </si>
  <si>
    <t>Israeli soldiers in the Nahal Brigade express reluctance to continue fighting in Gaza due to mental and emotional strain, leading to a phenomenon of quiet refusal to engage in combat.</t>
  </si>
  <si>
    <t>October 15, 2024</t>
  </si>
  <si>
    <t>Ha-Makom</t>
  </si>
  <si>
    <t>Revital Hovel</t>
  </si>
  <si>
    <t>https://www.haaretz.co.il/news/politics/2024-08-02/ty-article/.premium/00000191-1442-db7e-a99d-1edabb590000</t>
  </si>
  <si>
    <t>Senior negotiator: Security officials believe that Netanyahu is not interested in advancing a deal</t>
  </si>
  <si>
    <t>Senior member of the negotiation team states that security system heads believe Netanyahu is not interested in advancing a deal.</t>
  </si>
  <si>
    <t>August 02, 2024</t>
  </si>
  <si>
    <t>Michael Houzertov, Yehonatan Lis, Bar Peleg</t>
  </si>
  <si>
    <t>Hostage Deal</t>
  </si>
  <si>
    <t>Shin Bet</t>
  </si>
  <si>
    <t>Netzarim Corridor, Philadelphi Corridor</t>
  </si>
  <si>
    <t>Ronen Bar, Benjamin Netanyahu</t>
  </si>
  <si>
    <t>https://www.haaretz.co.il/news/politics/2025-01-19/ty-article/.premium/00000194-7d23-de1b-a9bd-7d67f9790000</t>
  </si>
  <si>
    <t>The IDF and Shin Bet retrieved from the Gaza Strip the body of soldier Oron Shaul, who was killed in Operation Protective Edge in 2014</t>
  </si>
  <si>
    <t>IDF and Shin Bet extracted the body of soldier Oron Shaul, who was killed in Operation Protective Edge in 2014, from the Gaza Strip.</t>
  </si>
  <si>
    <t>January 19, 2025</t>
  </si>
  <si>
    <t>Michael Houzertov, Adi Hashmonai, Bar Peleg</t>
  </si>
  <si>
    <t>https://www.haaretz.co.il/gallery/media/2024-08-19/ty-article/.premium/00000191-69da-d12a-a3b5-7dff33f80000</t>
  </si>
  <si>
    <t>The Srugim website published an article supporting Jewish terrorism against Palestinians</t>
  </si>
  <si>
    <t>The news website Srugim published an article expressing support for Jewish terrorism against Palestinians.</t>
  </si>
  <si>
    <t>August 19 2024</t>
  </si>
  <si>
    <t>Ido David Cohen</t>
  </si>
  <si>
    <t>West Bank</t>
  </si>
  <si>
    <t>Religious Right</t>
  </si>
  <si>
    <t>West Bank, Zaytun Neighborhood</t>
  </si>
  <si>
    <t>https://www.haaretz.co.il/magazine/2024-10-10/ty-article-magazine/.highlight/00000192-70ab-d292-a392-78bfa8210000?utm_source=App_Share&amp;utm_medium=Android_Native&amp;utm_campaign=Share</t>
  </si>
  <si>
    <t>Netanyahu's government is not just allowing Jewish terrorism in the West Bank—it is funding it. Investigation</t>
  </si>
  <si>
    <t>An investigation into the funding of Jewish terrorism in the West Bank by the Netanyahu government.</t>
  </si>
  <si>
    <t>October 10, 2024</t>
  </si>
  <si>
    <t>Hilo Glazer, Hafar Sheizaf</t>
  </si>
  <si>
    <t>Israeli Government</t>
  </si>
  <si>
    <t>https://www.ynet.co.il/news/article/bkldluke1e#autoplay</t>
  </si>
  <si>
    <t>During a visit to the Civil Administration, Smotrich said he is working to shut it down: 'I spoke with Netanyahu'</t>
  </si>
  <si>
    <t>Bezalel Smotrich, Minister of Treasury and Minister of Security, is working towards closing the Israeli Civil Administration in the West Bank, as part of a move to annex the territory to Israel de-facto.</t>
  </si>
  <si>
    <t>December 5, 2024</t>
  </si>
  <si>
    <t>Ynet</t>
  </si>
  <si>
    <t>Elisha Ben-kimon</t>
  </si>
  <si>
    <t>Religious Right, Annexation</t>
  </si>
  <si>
    <t>Bezalel Smotritch</t>
  </si>
  <si>
    <t>https://www.haaretz.co.il/news/politics/2025-01-09/ty-article/.premium/00000194-45b1-db19-abdd-6db7c86d0000</t>
  </si>
  <si>
    <t>Ben Gvir demands that the police prioritize the demolition of illegal buildings that house families</t>
  </si>
  <si>
    <t>Minister Itamar Ben Gvir intervenes in the police enforcement policy regarding the demolition of illegal buildings housing families.</t>
  </si>
  <si>
    <t>January 9, 2025</t>
  </si>
  <si>
    <t>Josh Breiner</t>
  </si>
  <si>
    <t>Negev</t>
  </si>
  <si>
    <t>Israeli Police</t>
  </si>
  <si>
    <t>Itamar Ben-Gvir</t>
  </si>
  <si>
    <t>https://www.haaretz.co.il/news/politics/2024-10-30/ty-article/.premium/00000192-d9c2-d605-a3b2-dfc702430000</t>
  </si>
  <si>
    <t>In the Shuafat refugee camp, residents do not believe that the authorities will take over UNRWA's role</t>
  </si>
  <si>
    <t>The article discusses the living conditions in the Shuafat refugee camp, managed by the UN agency UNRWA, and the potential legal implications of a recent law passed in the Knesset.</t>
  </si>
  <si>
    <t>Nir Hasson</t>
  </si>
  <si>
    <t>East Jerusalem</t>
  </si>
  <si>
    <t>UN (United Nations)</t>
  </si>
  <si>
    <t>https://www.haaretz.co.il/news/politi/2024-11-13/ty-article/.premium/00000193-24ee-d76b-afd7-a7ff70930000</t>
  </si>
  <si>
    <t>Approved in a preliminary vote: The police will be able to access a computer or personal phone without the owner's knowledge</t>
  </si>
  <si>
    <t>The Knesset approved a controversial bill allowing police officers to access personal computers or phones without the owner's knowledge, sparking opposition concerns about the legality of the process.</t>
  </si>
  <si>
    <t>Noa Shpigel</t>
  </si>
  <si>
    <t>Civilians</t>
  </si>
  <si>
    <t>https://www.lemonde.fr/en/les-decodeurs/article/2024/10/13/why-the-gaza-health-ministry-s-death-count-is-considered-reliable_6729264_8.html</t>
  </si>
  <si>
    <t>Study on MoH death toll being accurate</t>
  </si>
  <si>
    <t>The article discusses the reliability of the death count provided by the Gaza Health Ministry during the Israel-Gaza conflict, detailing the methodology used and the challenges faced in accurately reporting casualties.</t>
  </si>
  <si>
    <t>October 13, 2024</t>
  </si>
  <si>
    <t>Le Monde</t>
  </si>
  <si>
    <t>Assma Maad</t>
  </si>
  <si>
    <t>Hamas, Gaza Health Ministry, IDF (Israel Defense Forces)</t>
  </si>
  <si>
    <t>https://www.haaretz.co.il/news/law/2024-12-17/ty-article/00000193-d466-d4ec-a5d3-f57f62f00000</t>
  </si>
  <si>
    <t>Israeli activists detained for painting a road in Jerusalem a year and a half ago</t>
  </si>
  <si>
    <t>Two activists were detained for investigation on suspicion of painting a road in Jerusalem in protest over police brutality over a year ago.</t>
  </si>
  <si>
    <t>December 17, 2024</t>
  </si>
  <si>
    <t>Bar Peleg</t>
  </si>
  <si>
    <t>Israeli Society, Vandalism, Protest (Israel)</t>
  </si>
  <si>
    <t>https://www.nytimes.com/2024/07/25/us/politics/harris-biden-netanyahu-meeting-israel.html?campaign_id=9&amp;emc=edit_nn_20240726&amp;instance_id=129819&amp;nl=the-morning&amp;regi_id=70279552&amp;segment_id=173210&amp;smid=url-share&amp;te=1&amp;user_id=2e28080c4831073bd853a843a6df3aec</t>
  </si>
  <si>
    <t>Harris Offers Support for Israel but Calls Out Palestinians’ Plight After Talk With Netanyahu</t>
  </si>
  <si>
    <t>Vice President Kamala Harris expresses support for Israel's right to defend itself but also highlights the suffering of Palestinians during a meeting with Prime Minister Benjamin Netanyahu.</t>
  </si>
  <si>
    <t>July 25, 2024</t>
  </si>
  <si>
    <t>Peter Baker</t>
  </si>
  <si>
    <t>Civilians, Hostages, Forced Displacement, Starvation</t>
  </si>
  <si>
    <t>Benjamin Netanyahu, Kamala Harris, Joe Biden</t>
  </si>
  <si>
    <t>https://www.wsj.com/world/middle-east/once-hamass-sworn-enemy-mohammed-dahlan-rises-as-a-postwar-strongman-f64676b1?ref=forever-wars.com</t>
  </si>
  <si>
    <t>Some U.S., Israeli and Arab officials see Palestinian Mohammed Dahlan as a viable leader of an interim security force</t>
  </si>
  <si>
    <t>As part of discussions on the so-called "day after" in Gaza, U.S., Arab, and Israeli officials have proposed that Mohammed Dahlan, formerly head of the Palestinian Authority's security forces, be charged with security in the Gaza Strip, once the war is over.</t>
  </si>
  <si>
    <t>The Wall Street Journal</t>
  </si>
  <si>
    <t>Summer Said, Fatima AbdulKarim, and Stephen Kalin</t>
  </si>
  <si>
    <t>Hamas, United States</t>
  </si>
  <si>
    <t>https://time.com/7008717/benjamin-netanyahu-interview/</t>
  </si>
  <si>
    <t>Bibi at war: Benjamin Netanyahu on Israel's historic crisis and his own</t>
  </si>
  <si>
    <t>Benjamin Netanyahu's leadership during a time of conflict and criticism, with a focus on Israel's security challenges and international relations.</t>
  </si>
  <si>
    <t>August 8, 2024</t>
  </si>
  <si>
    <t>Time</t>
  </si>
  <si>
    <t>Eric Cortellessa</t>
  </si>
  <si>
    <t>Israeli Society, Hostages, Ground Operation, Ceasefire, Protest (International), Protest (Israel)</t>
  </si>
  <si>
    <t>Hamas, IDF (Israel Defense Forces)</t>
  </si>
  <si>
    <t>Benjamin Netanyahu, Antony Blinken</t>
  </si>
  <si>
    <t>https://www.theatlantic.com/international/archive/2024/09/israel-gaza-war-biden-netanyahu-peace-negotiations/679581/</t>
  </si>
  <si>
    <t>Inside the year-long American effort to release the hostages, end the fighting in Gaza, and bring peace to the Middle East</t>
  </si>
  <si>
    <t>The article discusses the American effort to broker peace in the Middle East, focusing on the Biden administration's involvement during a conflict between Israel and Hamas.</t>
  </si>
  <si>
    <t>September 25, 2024</t>
  </si>
  <si>
    <t>The Atlantic</t>
  </si>
  <si>
    <t>Franklin Foer</t>
  </si>
  <si>
    <t>Hostages, Iron Dome, Air Strike</t>
  </si>
  <si>
    <t>Benny Gantz, Benjamin Netanyahu, Antony Blinken, Joe Biden, Yoav Gallant, Hassan Nasrallah, Yahya Al-Sinwar, Mohammed bin Salman Al Saud</t>
  </si>
  <si>
    <t>https://www.mekomit.co.il/ps/143011/</t>
  </si>
  <si>
    <t>In the besieged Beit Lahia, rotting bodies are scattered among the ruins</t>
  </si>
  <si>
    <t>The article describes the dire situation in Beit Lahia, Gaza, where residents face continuous Israeli bombardment, food and water shortages, and deteriorating living conditions.</t>
  </si>
  <si>
    <t>December 1, 2024</t>
  </si>
  <si>
    <t>Ibrahim Mohammad</t>
  </si>
  <si>
    <t>Urbicide, Hospital, Forced Displacement, Air Strike</t>
  </si>
  <si>
    <t>https://www.dropsitenews.com/p/death-march-from-beit-lahia</t>
  </si>
  <si>
    <t>Death march from Beit Lahia</t>
  </si>
  <si>
    <t>Hossam Shabat reports on Israel's mass expulsion campaign in Beit Lahia, Gaza, forcing thousands of Palestinians to flee under heavy artillery shelling and gunfire.</t>
  </si>
  <si>
    <t>Drop Site News</t>
  </si>
  <si>
    <t>Hossam Shabat</t>
  </si>
  <si>
    <t>Civilians, Journalists, Forced Displacement, Blockade, Ground Operation, Air Strike</t>
  </si>
  <si>
    <t>North Gaza, Kamal Adwan Hospital , The Indonesian Hospital, Jabaliya, Beit Lahiya</t>
  </si>
  <si>
    <t>https://www.haaretz.co.il/news/politics/2024-12-24/ty-article/00000193-f900-d10a-a797-fb6bab660000</t>
  </si>
  <si>
    <t>IDF attacks on hospitals late Dec</t>
  </si>
  <si>
    <t>Reports from Palestinian sources indicate that the Israeli military is intensifying attacks on hospitals in the northern Gaza Strip, forcibly evacuating patients and causing damage.</t>
  </si>
  <si>
    <t>December 24, 2024</t>
  </si>
  <si>
    <t>Rawan Suleiman, Jack Khoury</t>
  </si>
  <si>
    <t>Hospital, Air Strike</t>
  </si>
  <si>
    <t>Kamal Adwan Hospital, The Indonesian Hospital, Gaza City</t>
  </si>
  <si>
    <t>https://www.israelhayom.com/2025/01/02/knesset-committee-pushes-for-controversial-generals-plan-in-gaza/</t>
  </si>
  <si>
    <t>Controversial 'Generals' Plan' in northern Gaza picks up steam</t>
  </si>
  <si>
    <t>Members of the Knesset Foreign Affairs and Defense Committee demand that the Israeli Ministry of Defence implement the so-called "Generals' Plan," which includes the forced evacuation of civilians and the deprivation of energy, food, and water, in northern Gaza.</t>
  </si>
  <si>
    <t>January 2, 2025</t>
  </si>
  <si>
    <t>Israel Hayom</t>
  </si>
  <si>
    <t>Shirit Avitan Cohen</t>
  </si>
  <si>
    <t>Civilians, Food, Forced Displacement, Water</t>
  </si>
  <si>
    <t>https://www.ynet.co.il/news/article/bkcljlrdyx#autoplay</t>
  </si>
  <si>
    <t>Harvard and antisemitism - recompensation</t>
  </si>
  <si>
    <t>Harvard University has reached a settlement with Jewish students and the Brandeis Center for Human Rights over allegations of failing to address campus antisemitism. The agreement includes compensation, adopting IHRA's antisemitism definition, and establishing partnerships with Israeli universities.</t>
  </si>
  <si>
    <t>January 22, 2025</t>
  </si>
  <si>
    <t>Daniel Adelson</t>
  </si>
  <si>
    <t>Antisemitism, Academia</t>
  </si>
  <si>
    <t>USA</t>
  </si>
  <si>
    <t>https://www.nytimes.com/2024/12/22/us/gaza-war-campuses-middle-ground.html?unlocked_article_code=1.jU4.Vrl4.tuL9laa9sjOB</t>
  </si>
  <si>
    <t>College students and faculty members are seeking space for nuanced perspectives on the Israel-Hamas war on deeply divided campuses</t>
  </si>
  <si>
    <t>The article discusses efforts by college students and faculty to create space for nuanced perspectives on the Israel-Hamas war amidst campus divisions.</t>
  </si>
  <si>
    <t>Sharon Otterman</t>
  </si>
  <si>
    <t>Public Opinion, Academia, Protest (International)</t>
  </si>
  <si>
    <t>https://www.makorrishon.co.il/news/808697/</t>
  </si>
  <si>
    <t>Professor from Tel Aviv University accused Israel of war crimes</t>
  </si>
  <si>
    <t>CAMERA On Campus, an organization monitoring speech on university campuses in the US and Israel, clandestinely recorded a student-organized conversation about the situation in Gaza with Israeli Professor Idan Landau at Tel Aviv University and provided the right-wing newspaper Makor Rishon with the recordings, claiming that Prof. Landau baselessly accused Israel of war crimes in Gaza.</t>
  </si>
  <si>
    <t>January 14, 2025</t>
  </si>
  <si>
    <t>December 19, 2024</t>
  </si>
  <si>
    <t>Makor Rishon</t>
  </si>
  <si>
    <t>Avigail Zait</t>
  </si>
  <si>
    <t>Crimes Against Humanity, Academia</t>
  </si>
  <si>
    <t>https://13tv.co.il/item/news/domestic/crime-and-justice/c8nmb-904430163/</t>
  </si>
  <si>
    <t>70 people admitted they pretended to be October 7 victims</t>
  </si>
  <si>
    <t>Dozens of suspects are being investigated for falsely claiming to be victims of a massacre at the 'Supernova Sukkot Gathering' (Nova) festival near Kibbutz Re'im and Gaza border communities on October 7th. Investigators suspect fraudulent claims of trauma and are considering filing charges against them.</t>
  </si>
  <si>
    <t>Reshet 13</t>
  </si>
  <si>
    <t>Eli Senior, Aviad Glickman</t>
  </si>
  <si>
    <t>https://www.insidehighered.com/news/faculty-issues/academic-freedom/2025/01/05/aha-convention-attendees-oppose-scholasticide-gaza</t>
  </si>
  <si>
    <t>Historians Condemn ‘Scholasticide’ in Gaza at Conference</t>
  </si>
  <si>
    <t>American Historical Association members at the annual conference vote to oppose 'scholasticide' in Gaza and U.S. funding of Israel's war, calling for a permanent ceasefire and support for Gaza's educational infrastructure.</t>
  </si>
  <si>
    <t>January 5, 2025</t>
  </si>
  <si>
    <t>Inside Higher Ed</t>
  </si>
  <si>
    <t>Ryan Quinn</t>
  </si>
  <si>
    <t>Scholasticide, Academia, Education, Schools</t>
  </si>
  <si>
    <t>UN (United Nations), IDF (Israel Defense Forces)</t>
  </si>
  <si>
    <t>https://www.haaretz.co.il/news/magazine/2024-12-17/ty-article-magazine/.premium/00000193-cf48-dcad-adfb-efeac1eb0000</t>
  </si>
  <si>
    <t>An ally of Ben Gvir and a criminal suspect: It turns out that the dominant figure in the police is the Commissioner of the Israel Prison Service</t>
  </si>
  <si>
    <t>A drama unfolds in the office of the Minister of National Security, Itamar Ben Gvir, involving a refusal by a police commander to accompany him to the Temple Mount, revealing power struggles within the police force.</t>
  </si>
  <si>
    <t>Israeli Police, Israeli Prison</t>
  </si>
  <si>
    <t>Kobi Yaakobi</t>
  </si>
  <si>
    <t>https://x.com/IamIbrahim21/status/1797521016702550496</t>
  </si>
  <si>
    <t>Family forced by conditions to move from tent and seek refuge in rental apartment</t>
  </si>
  <si>
    <t>Family forced to seek accommodation in a burned rental unit after displacement for 1200 NIS ($330), since they cannot tolerate the conditions in the so-called safe areas.</t>
  </si>
  <si>
    <t>June 3, 2024</t>
  </si>
  <si>
    <t>X</t>
  </si>
  <si>
    <t>Ibrahim Massri (@IamIbrahim21)</t>
  </si>
  <si>
    <t>Khan Younis</t>
  </si>
  <si>
    <t>Post</t>
  </si>
  <si>
    <t>Text, Photo</t>
  </si>
  <si>
    <t>Forced Displacement, Disease, Testimony</t>
  </si>
  <si>
    <t>https://x.com/JalalAK_jojo/status/1797296916763418747</t>
  </si>
  <si>
    <t>Footage of IDF drone attack on Gaza</t>
  </si>
  <si>
    <t>Drone attack on Gaza recorded by IDF soldiers. The drone was downed and its footage was broadcast on Al Jazeera</t>
  </si>
  <si>
    <t>June 2, 2024</t>
  </si>
  <si>
    <t>May 27, 2024</t>
  </si>
  <si>
    <t>Jalal (@JalalAK_jojo)</t>
  </si>
  <si>
    <t>Video, Text</t>
  </si>
  <si>
    <t>Bombing, Air Strike, Drone / Quadcopter</t>
  </si>
  <si>
    <t>https://x.com/KhaledYousry22/status/1798729352412319874</t>
  </si>
  <si>
    <t>Itamar Ben-Gvir declares intent to resettle Gaza and clear it of Palestinians</t>
  </si>
  <si>
    <t>Itamar Ben-Gvir declares intent to clear Gaza of Palestinians, in order to occupy it and establish settlements.</t>
  </si>
  <si>
    <t>June 6, 2024</t>
  </si>
  <si>
    <t>Khaled Yousry (@KhaledYousry22)</t>
  </si>
  <si>
    <t>English, Arabic</t>
  </si>
  <si>
    <t>Text, Video</t>
  </si>
  <si>
    <t>Ethnic Cleansing, Incitement to Genocide, Annexation, Forced Displacement, Settlements</t>
  </si>
  <si>
    <t>https://x.com/N12News/status/1798769743119167566</t>
  </si>
  <si>
    <t>Bezalel Smotrich calls for return to Gush Katif</t>
  </si>
  <si>
    <t>Bezalel Smotrich calls for return to Gush Katif in a ceremony at Merkaz HaTora veHaAretz.</t>
  </si>
  <si>
    <t>N12 news (@N12News)</t>
  </si>
  <si>
    <t>Religious Right, Ethnic Cleansing, Forced Displacement, Settlements, Annexation</t>
  </si>
  <si>
    <t>Israeli Government, IDF (Israel Defense Forces)</t>
  </si>
  <si>
    <t>https://x.com/YehudaShaul/status/1737112308672016760</t>
  </si>
  <si>
    <t>Incitement to racism at events for IDF soldiers</t>
  </si>
  <si>
    <t>A 19-tweet thread that includes several cases of artists appearing before IDF troops strengthen existing trends of racism and extremism. Increased calls for restablishment of settlements in Gaza. The thread also includes additional examples of racism and dehumanizaiton, as well as hoping to hit innocent people in Gaza.</t>
  </si>
  <si>
    <t>December 19, 2023</t>
  </si>
  <si>
    <t>Yehuda Shaul (@YehudaShaul)</t>
  </si>
  <si>
    <t>English, Hebrew</t>
  </si>
  <si>
    <t>Annexation, Incitement to Genocide, Racism, Abuse, Humiliation, Israeli Soldier Movies, Jewish Settlements in Gaza</t>
  </si>
  <si>
    <t>https://x.com/abierkhatib/status/1793720981607071831</t>
  </si>
  <si>
    <t>IDF soldier filmed vandalizing school property in Gaza</t>
  </si>
  <si>
    <t>Israeli soldier filming himself in an elementary school smashing certificates honouring talented students in Gaza, while also declaring the intention to return to Gush Katif and resettle Gaza.</t>
  </si>
  <si>
    <t>May 23, 2024</t>
  </si>
  <si>
    <t>Abier (@abierkhatib)</t>
  </si>
  <si>
    <t>Education, Abuse, Scholasticide, Children, Israeli Soldier Movies, Vandalism, Schools, Jewish Settlements in Gaza</t>
  </si>
  <si>
    <t>https://x.com/marcowenjones/status/1795063041513402446</t>
  </si>
  <si>
    <t>Confusion regarding IDF's messaging on safe zones in Gaza</t>
  </si>
  <si>
    <t>IDF maps of "safe zones" in Gaza are imprecise, with animations expanding areas and creating confusion for civilians. Marc Owen Jones highlights inconsistencies and unclear boundaries.</t>
  </si>
  <si>
    <t>May 22, 2024</t>
  </si>
  <si>
    <t>Marc Owen Jones (@marcowenjones)</t>
  </si>
  <si>
    <t>Rafah</t>
  </si>
  <si>
    <t>Forced Displacement, Air Strike, Warning</t>
  </si>
  <si>
    <t>Avichay Adraee</t>
  </si>
  <si>
    <t>https://x.com/moshebs11/status/1766830282219372906</t>
  </si>
  <si>
    <t>Bringing a torah scroll to Nezarim Corridor</t>
  </si>
  <si>
    <t>IDF soldiers singing and dancing as they bring a Torah scroll to Nezarim Corridor, Gaza.</t>
  </si>
  <si>
    <t>March 10, 2024</t>
  </si>
  <si>
    <t>Moshe ben Shitrit (@moshebs11)</t>
  </si>
  <si>
    <t>Religious Right, Israeli Soldier Movies</t>
  </si>
  <si>
    <t>https://x.com/ytirawi/status/1794113236708573451</t>
  </si>
  <si>
    <t>IDF soldier details destruction of Khuza'a (Khirbat Akhzaya) as revenge, as a part of "Oz and Nir" Operation</t>
  </si>
  <si>
    <t>IDF soldier describes his part in destroying the village of Khuza'a (Khirbat Akhzaya) in Gaza, as a revenge for Oct. 7. The post claims to expose genocidal operation "Oz and Nir".</t>
  </si>
  <si>
    <t>May 25, 2024</t>
  </si>
  <si>
    <t>January 8, 2024</t>
  </si>
  <si>
    <t>Younis Tirawi (@ytirawi)</t>
  </si>
  <si>
    <t>Khuza'a</t>
  </si>
  <si>
    <t>Photo, Text</t>
  </si>
  <si>
    <t>Collective Punishment, Domicide, Incitement to Genocide, Urbicide, Genocide, Bombing, Israeli Soldier Testimonies, Destruction</t>
  </si>
  <si>
    <t>Gaza Strip, Khuza'a</t>
  </si>
  <si>
    <t>https://x.com/ytirawi/status/1795129920902873557</t>
  </si>
  <si>
    <t>IDF using hospital as mililtary base</t>
  </si>
  <si>
    <t>IDF soldiers relax on hospital beds at Noura Kaabi Dialysis Hospital in the Jabalia Refugee camp. Smiles and good cheer abound.</t>
  </si>
  <si>
    <t>Jabaliya</t>
  </si>
  <si>
    <t>Hospital, Israeli Soldier Photos</t>
  </si>
  <si>
    <t>https://twitter.com/Bar_ShemUr/status/1757852992215056477</t>
  </si>
  <si>
    <t>Likud spokesman warns hostage families against calling for elections</t>
  </si>
  <si>
    <t>Likud spokesman Guy Levi met with families of Israeli hostages, urging them to oppose new elections and warning that the political fallout would be far worse than before October 7. Several attendees described his remarks as a direct threat.</t>
  </si>
  <si>
    <t>February 14, 2024</t>
  </si>
  <si>
    <t>January 30, 2024</t>
  </si>
  <si>
    <t>Bar Shem-Ur (@Bar_ShemUr)</t>
  </si>
  <si>
    <t>Hatzinor</t>
  </si>
  <si>
    <t>https://x.com/Bar_ShemUr/status/1757863600578777418</t>
  </si>
  <si>
    <t>Abuse, Hostages, Hostage Deal, Journalistic Report</t>
  </si>
  <si>
    <t>Israeli Government, Hostages and Missing Families Forum</t>
  </si>
  <si>
    <t>https://twitter.com/Uvda_tweet/status/1778496650798833931</t>
  </si>
  <si>
    <t>Testimonies from negotiators on the condition of hostages</t>
  </si>
  <si>
    <t>A television documentary presenting accounts from individuals involved in recent negotiations for the return of Israeli hostages. The testimonies provide insight into the deteriorating conditions of the hostages and the urgency surrounding the negotiations.</t>
  </si>
  <si>
    <t>April 11, 2024</t>
  </si>
  <si>
    <t>Uvda with Ilana Dayan (@Uvda_tweet)</t>
  </si>
  <si>
    <t>Captivity Conditions, Civilians, Hostage Deal, Hostages, Journalistic Report, Interview, Israeli Negotiation Team</t>
  </si>
  <si>
    <t>Hamas, Shin Bet, Mossad</t>
  </si>
  <si>
    <t>https://twitter.com/_selftitled_/status/1784272179817041951</t>
  </si>
  <si>
    <t>Interview with adviser to Qatari Prime Minister: Hostage deal repeatedly blocked at final stages</t>
  </si>
  <si>
    <t>Qatari official stated that "every time a [hostage] deal was near, it was blocked."</t>
  </si>
  <si>
    <t>April 27, 2024</t>
  </si>
  <si>
    <t>Sof (@selftitled)</t>
  </si>
  <si>
    <t>Captivity Conditions, Ceasefire</t>
  </si>
  <si>
    <t>Mossad, Qatar, Shin Bet, Israeli Government</t>
  </si>
  <si>
    <t>https://x.com/ireallyhateyou/status/1802435990251848148</t>
  </si>
  <si>
    <t>Moshe Feiglin's statement on the need to conquer Gaza</t>
  </si>
  <si>
    <t>Moshe Feiglin asserts that Israel cannot tolerate the existence of a single "Islamo-Nazi" if it is to survive. "It's us or them" with explicit reference to Hitler's declaration against the Jews.</t>
  </si>
  <si>
    <t>June 16, 2024</t>
  </si>
  <si>
    <t>B.M. (@ireallyhateyou)</t>
  </si>
  <si>
    <t>Keshet 12</t>
  </si>
  <si>
    <t>Hebrew, English</t>
  </si>
  <si>
    <t>Religious Right, Incitement to Genocide, Collective Punishment, Interview, Jewish Settlements in Gaza</t>
  </si>
  <si>
    <t>Moshe Feiglin</t>
  </si>
  <si>
    <t>https://x.com/ytirawi/status/1798462630736396472</t>
  </si>
  <si>
    <t>IDF soldier speaks on "Oz and Nir" Operation in Khuza'a (Khirbat Akhzaya)</t>
  </si>
  <si>
    <t>Interview with IDF soldier regarding the destruction of Khuza'a (Khirbat Akhzaya), as a part of "Oz and Nir" Operation. The town of 13,000 Palestinians was completely destroyed.</t>
  </si>
  <si>
    <t>https://x.com/ytirawi</t>
  </si>
  <si>
    <t>Text, Audio</t>
  </si>
  <si>
    <t>Forced Displacement, Domicide, Journalistic Report, Israeli Soldier Testimonies, Urbicide, Interview</t>
  </si>
  <si>
    <t>Gaza Strip, Khan Younis, Khuza'a</t>
  </si>
  <si>
    <t>https://twitter.com/tomashinyu3/status/1747651031737979233</t>
  </si>
  <si>
    <t>Confusion regarding cause of death of hostages Sherman, Beizer and Toledano</t>
  </si>
  <si>
    <t>Survey of possible causes of death of three hostages-soldiers following IDF Spokesperson statement that they may have been suffocated or poisoned. The writer speculates whether the IDF may have intentionally killed the hostages and states as part of a policy of abandoning or killing the remaining hostages and if so, what the implications will be for Israel society.</t>
  </si>
  <si>
    <t>January 17, 2024</t>
  </si>
  <si>
    <t>Tomer Sharon (@tomashinyu3)</t>
  </si>
  <si>
    <t>Hostages, Hostage Deal, Hannibal Directive</t>
  </si>
  <si>
    <t>Israeli Government, Hamas, IDF (Israel Defense Forces)</t>
  </si>
  <si>
    <t>https://twitter.com/josh_hammer/status/1711185635229282605</t>
  </si>
  <si>
    <t>The events of Saturday, October 7 are indescribable</t>
  </si>
  <si>
    <t>The author, Senior Editor-at-large of Newsweek at the time, describes his views about the causes of October 7 essentially arguing that there can be no peaceful solution. Prescribing instead a forced removal of "identifiable" civilian population from Gaza to Egypt, razing of infrastructure, Eradication of all Hamas members and infrastructure, re-annexation, installment of puppet regime. Blaming democratic US administrations and officials.</t>
  </si>
  <si>
    <t>October 9, 2023</t>
  </si>
  <si>
    <t>October 9, 2024</t>
  </si>
  <si>
    <t>Josh Hammer (@josh_hammer)</t>
  </si>
  <si>
    <t>Ethnic Cleansing, Religious Right, Annexation, Forced Displacement, Civilians, Collective Punishment, Incitement to Genocide, Hostages, Opinion, Demolition, Infrastructure, Conspiracy theories</t>
  </si>
  <si>
    <t>Egypt, Mossad, Hamas, Iran, Shin Bet, Hezbollah, United States, Qatar, IDF (Israel Defense Forces)</t>
  </si>
  <si>
    <t>Joe Biden, Benjamin Netanyahu, Almog Boker</t>
  </si>
  <si>
    <t>https://twitter.com/kann_news/status/1770492431990956343</t>
  </si>
  <si>
    <t>Is there starvation in Gaza as claimed by WFO?</t>
  </si>
  <si>
    <t>Shaul Amsterdamsky in interview with Nurit Yohanan, Palestinian affairs correspondent at Kan who analyzes World Food Organization figures regarding starvation/malnutrition figures in Gaza following the publication of the World Food Programme's Integrated Food Security Phase Classification report. Yohanan judges the WFP figures to be largely accurate.</t>
  </si>
  <si>
    <t>March 20,2024</t>
  </si>
  <si>
    <t>March 18, 2024</t>
  </si>
  <si>
    <t>Kann News (@kann_news)</t>
  </si>
  <si>
    <t>https://www.wfp.org/news/famine-imminent-northern-gaza-new-report-warns</t>
  </si>
  <si>
    <t>Starvation, Analysis, Food</t>
  </si>
  <si>
    <t>World Food Programme, UN (United Nations), UNRWA (The UN Relief and Works Agency for Palestine Refugees)</t>
  </si>
  <si>
    <t>https://twitter.com/ofercass/status/1783896320933036133</t>
  </si>
  <si>
    <t>Police invade Hadash party HQ in Nazareth before the 1 May demonstration</t>
  </si>
  <si>
    <t>Police search and vandalize artwork for the May 1st parade in Hadash party's club in Nazareth. Two people detained.</t>
  </si>
  <si>
    <t>April 26, 2024</t>
  </si>
  <si>
    <t>Ofer Cassif (@ofercass)</t>
  </si>
  <si>
    <t>Abuse, Palestinian Citizens of Israel, Vandalism, Limiting Free Speech</t>
  </si>
  <si>
    <t>https://twitter.com/petersavodnik/status/1778620648551829969</t>
  </si>
  <si>
    <t>Pro-Israel campaign to discredit the Gaza Health Ministry's data</t>
  </si>
  <si>
    <t>A report attempting to cast doubt on the Ministry of Health's claim, arguing that that Israel has killed "only" 22,000 and not 30,000 Gazans by April 2024. Allegedly this would put the ratio of combatants to non-combatants at 1:1.</t>
  </si>
  <si>
    <t>April 6, 2024</t>
  </si>
  <si>
    <t>Peter Savodnik (@petersavodnik)</t>
  </si>
  <si>
    <t>https://www.fdd.org/analysis/2024/04/09/hamas-run-gaza-health-ministry-admits-to-flaws-in-casualty-data/</t>
  </si>
  <si>
    <t>Journalistic report, Civilians, Genocide, Doubting the Gaza death toll, Gaza death toll</t>
  </si>
  <si>
    <t>Gaza Health Ministry, Hamas, Foundation for the Defense of Democracies, IDF (Israel Defense Forces)</t>
  </si>
  <si>
    <t>https://twitter.com/CensoredMen/status/1765773664325075354</t>
  </si>
  <si>
    <t>Popular Israeli Telegram channel mocks Palestinian child who died of starvation.</t>
  </si>
  <si>
    <t>An Israeli Telegram account published a mocking poster, presenting the deceased Palestinian child with cerebral palsy, Yazan al-Kafarneh, as an alien.</t>
  </si>
  <si>
    <t>March 7, 2024</t>
  </si>
  <si>
    <t>March 4, 2024</t>
  </si>
  <si>
    <t>Censored Men (@CensoredMen)</t>
  </si>
  <si>
    <t>Dehumanization, Humiliation, Children, Starvation, Social Media</t>
  </si>
  <si>
    <t>https://twitter.com/EmilioMorenatti/status/1759669676810904020</t>
  </si>
  <si>
    <t>IDF soldiers smile as they take a selfie against a backdrop of the ruins of Gaza.</t>
  </si>
  <si>
    <t>IDF female soldiers posed and smiled for a selfie photo among the ruins of destroyed Gazan homes.</t>
  </si>
  <si>
    <t>February 19, 2024</t>
  </si>
  <si>
    <t>Emilio Morenatti (@EmilioMorenatti)</t>
  </si>
  <si>
    <t>Israeli Society, Abuse, Destruction, Dehumanization</t>
  </si>
  <si>
    <t>https://twitter.com/GLZRadio/status/1773260052683469178</t>
  </si>
  <si>
    <t>Ex-IDF official calls to resettle Gaza on Israeli radio.</t>
  </si>
  <si>
    <t>Mordechai (Moti) Almoz, former IDF general and head of the Israeli Civil Administration, advocates resettling Gaza, accusing Palestinians of constant aggression and labeling them as "human animals."</t>
  </si>
  <si>
    <t>March 28, 2024</t>
  </si>
  <si>
    <t>GLZRadio (@GLZRadio)</t>
  </si>
  <si>
    <t>Settlements, War Crimes, Religious Right, Dehumanization, Disengagement (2005)</t>
  </si>
  <si>
    <t>https://twitter.com/GLZRadio/status/1779764062433284213</t>
  </si>
  <si>
    <t>Smotrich describes Gazan civilians as Nazis and calls for imposing military rule in Gaza.</t>
  </si>
  <si>
    <t>Finance Minister Bezalel Smotrich asserts that all Gazan civilians ("2 million people") are Nazis "who want to butcher, rape and kill any Jew", arguing that Israel should govern Gaza rather than any local civilian authority.</t>
  </si>
  <si>
    <t>April 15, 2024</t>
  </si>
  <si>
    <t>Dehumanization, Annexation, Religious Right</t>
  </si>
  <si>
    <t>https://twitter.com/LensVeritatis/status/1774998396501373207</t>
  </si>
  <si>
    <t>Soldiers, mostly shirtless, dance while mocking Gazan detainees and ridiculing Palestinian Dabke.</t>
  </si>
  <si>
    <t>Dozens of IDF soldiers staged a mocking display, with one standing atop a bulldozer bucket dressed in white overalls as worn by Gazan detainees, while others joined in by imitating and ridiculing the traditional Palestinian Dabke dance.</t>
  </si>
  <si>
    <t>April 2, 2024</t>
  </si>
  <si>
    <t>Dr Lens Veritatis (@LensVeritatis)</t>
  </si>
  <si>
    <t>Israeli Society, Humiliation, Dehumanization, Destruction</t>
  </si>
  <si>
    <t>https://twitter.com/MacaesBruno/status/1787573947690819907</t>
  </si>
  <si>
    <t>Senior Likud official calls for indiscriminate killing of civilians in Rafah.</t>
  </si>
  <si>
    <t>Shimon Boker, Deputy Chairman of the World Likud, in an interview to Ofira Asayag and Chaim Levinson, Channel 12: "We need to crack down on them(...) We should have entered Rafah already yesterday(...) There are no uninvolved people there. We need to go in and kill, and kill, and kill."</t>
  </si>
  <si>
    <t>May 6,2024</t>
  </si>
  <si>
    <t>Bruno Macaes (@MacaesBruno)</t>
  </si>
  <si>
    <t>Civilians, Collective Punishment, Dehumanization, Ethnic Cleansing, Incitement to Genocide, Israeli Society, Media</t>
  </si>
  <si>
    <t>Rafah, Israel</t>
  </si>
  <si>
    <t>Shimon Boker</t>
  </si>
  <si>
    <t>https://twitter.com/ytirawi/status/1774836624280473643</t>
  </si>
  <si>
    <t>A defamation attempt against Palestinian journalist Younis Tirawi</t>
  </si>
  <si>
    <t>Tirawi was approached by a journallist from 13 News claiming that he, Tirawi, does not meet journalistic standards in his posts about IDF soldiers in Gaza.</t>
  </si>
  <si>
    <t>April 1, 2024</t>
  </si>
  <si>
    <t>Journalistic Report, Journalists, Limiting Free Speech, Social Media</t>
  </si>
  <si>
    <t>https://x.com/AssalRad/status/1799543857539108962</t>
  </si>
  <si>
    <t>World coverage of Israel's rescue of four live hostages does not refer to hundreds of Palestinians killed in the event</t>
  </si>
  <si>
    <t>Quoted reports regarding IDF operation to rescue 4 live hostages; none note the 200+ Palestinians killed during that event.</t>
  </si>
  <si>
    <t>June 8, 2024</t>
  </si>
  <si>
    <t>Assal Rad (@AssalRad)</t>
  </si>
  <si>
    <t>Hostages, Civilians, Ground Operation, Media, Media bias</t>
  </si>
  <si>
    <t>https://x.com/Morpheus1099/status/1799407973791645979</t>
  </si>
  <si>
    <t>Channel 13 journalist: Order exists to withhold Gaza bombing footage from Israeli public</t>
  </si>
  <si>
    <t>Hila Elroi on Channel 13 news admits that there exists an order not to expose Israelis to the results of Israel's bombing of Gaza.</t>
  </si>
  <si>
    <t>Facism has won 2024 (@morpheus1099)</t>
  </si>
  <si>
    <t>Media, Communication Blackout, Destruction, Propaganda, Censorship, Limiting Free Speech</t>
  </si>
  <si>
    <t>https://x.com/rafaelshimunov/status/1795813951940202938</t>
  </si>
  <si>
    <t>Arrest of Palestinian Citizen in Israel after social media post expressing solidarity and sorrow following Rafah strike</t>
  </si>
  <si>
    <t>A Palestinian citizen of Israel was arrested following a social media post expressing solidarity with civilians in Gaza after the Rafah tent camp strike. Footage shows police arresting the woman, tying her hands with a ziptie, blindfolding her, and leading her from the police vehicle.</t>
  </si>
  <si>
    <t>May 29 2024</t>
  </si>
  <si>
    <t>May 29, 2024</t>
  </si>
  <si>
    <t>Rafael Shimunov (@rafaelshimunov)</t>
  </si>
  <si>
    <t>Hebrew, Arabic</t>
  </si>
  <si>
    <t>Majd al-Krum</t>
  </si>
  <si>
    <t>Palestinian Citizens of Israel, Social Media, Civilians, Limiting Free Speech, Abuse</t>
  </si>
  <si>
    <t>https://x.com/AMokhallalati/status/1849082736402632878</t>
  </si>
  <si>
    <t>Testimony from Kamal Adwan Hospital amid heavy bombardment</t>
  </si>
  <si>
    <t>Orthopedic surgeon Dr. Mohammed Obeid, working with Doctors Without Borders, describes the dire humanitarian and medical crisis at Kamal Adwan Hospital in northern Gaza in a recorded testimony from October 22. He details the ongoing bombardment, overwhelmed facilities, and inability to treat many of the injured. (Dr. Obeid was later arrested by the IDF.)</t>
  </si>
  <si>
    <t>October 23, 2024</t>
  </si>
  <si>
    <t>Ahmed El Mokhallati (@AMokhallalati)</t>
  </si>
  <si>
    <t>https://www.youtube.com/watch?v=qEp2wv7wNdU</t>
  </si>
  <si>
    <t>Public Health, Healthcare Workers, Hospital, Bombing, Testimony, Air Strike, Blockade</t>
  </si>
  <si>
    <t>IDF (Israel Defense Forces), MSF - Médecins Sans Frontières (Doctors Without Borders)</t>
  </si>
  <si>
    <t>Kamal Adwan Hospital, North Gaza, Beit Lahiya</t>
  </si>
  <si>
    <t>https://x.com/AbujomaaGaza/status/1846483876014703073</t>
  </si>
  <si>
    <t>IDF detonates buildings in Jabaliya camp</t>
  </si>
  <si>
    <t>IDF plants explosives in heart of Jabalyia camp, destroying tens of homes, many of them inhabited.</t>
  </si>
  <si>
    <t>October 16, 2024</t>
  </si>
  <si>
    <t>Motasem Dalloul (@abujoummaaGaza)</t>
  </si>
  <si>
    <t>Civilians, Destruction, Demolition, Explosives</t>
  </si>
  <si>
    <t>North Gaza, Gaza Strip, Jabaliya</t>
  </si>
  <si>
    <t>https://x.com/AbujomaaGaza/status/1849732808333287510</t>
  </si>
  <si>
    <t>Updates on IDF attacks on Gaza October 25, 2024</t>
  </si>
  <si>
    <t>Update on attacks throughout Gaza resulting in over 200 deaths of civilians. Paramedics and civil defence personnel required to surrender to IDF. Israeli forces reportedly surrounded Kamal Adwan Hospital and struck its oxygen plant leading to the deaths of patients in critical condition.</t>
  </si>
  <si>
    <t>October 25, 2024</t>
  </si>
  <si>
    <t>October 24, 2024</t>
  </si>
  <si>
    <t>Kamal Adwan Hospital, Beit Lahiya, Jabalia, Khan Yunis</t>
  </si>
  <si>
    <t>Hospital, Forced Displacement, Children, Journalistic Report, Air Strike, Public Health, Bombing, Ground Operation</t>
  </si>
  <si>
    <t>Gaza Health Ministry, IDF (Israel Defense Forces)</t>
  </si>
  <si>
    <t>North Gaza, Khan Younis, The Indonesian Hospital, Kamal Adwan Hospital, Beit Lahiya, Jabaliya</t>
  </si>
  <si>
    <t>Dr Hussam Abu Safiya</t>
  </si>
  <si>
    <t>https://x.com/AbujomaaGaza/status/1853847622236418257</t>
  </si>
  <si>
    <t>61 killed in IDF attacks on Gaza since morning</t>
  </si>
  <si>
    <t>Medical sources report that 61 killed in IDF attacks - 46 of them in Jabaliya, Beit Hanoun, and Beit Lahiya in northern Gaza.</t>
  </si>
  <si>
    <t>Jabaliya, Beit Hamoun, Beit Lahiya</t>
  </si>
  <si>
    <t>Air Strike, Bombing, Civilians, Journalistic Report</t>
  </si>
  <si>
    <t>North Gaza, Beit Lahiya, Khan Younis, Jabaliya</t>
  </si>
  <si>
    <t>https://x.com/AbujomaaGaza/status/1854253562190090316</t>
  </si>
  <si>
    <t>A Gazan journalist describes how he is living</t>
  </si>
  <si>
    <t>This the fifth location where the writer has taken shelter with his family and remaining siblings in dire conditions</t>
  </si>
  <si>
    <t>Children, Civilians, Water, Food, Forced Displacement, Sanitation, Genocide, Electricity, Humanitarian Crisis, Testimony, Destruction</t>
  </si>
  <si>
    <t>https://x.com/AbujomaaGaza/status/1855212378335391870</t>
  </si>
  <si>
    <t>Crisis at Kamal Adwan Hospital during the late 2024 military operation in North Gaza</t>
  </si>
  <si>
    <t>Dr Hussam abu Safieh reports on desperate medical crisis at Kamal Adwan hospital in wake of IDF incursion</t>
  </si>
  <si>
    <t>November 9, 2024</t>
  </si>
  <si>
    <t>Arabic</t>
  </si>
  <si>
    <t>Civilians, Disease, Public Health, Healthcare Workers, Hospital, Medicine, Testimony</t>
  </si>
  <si>
    <t>https://x.com/AbujomaaGaza/status/1859190079702405379</t>
  </si>
  <si>
    <t>Report from Dr Hussam abu Safieh re deaths at Kamal Adwan hospital</t>
  </si>
  <si>
    <t>Dr Hussam abu Safieh reports that during the 24 hours between November 19-20 one person died of dehydration and the hospital received 17 cases of dehydration and malnutrition among children.</t>
  </si>
  <si>
    <t>November 20, 2024</t>
  </si>
  <si>
    <t>Public Health, Healthcare Workers, Journalistic report, Children, Civilians, Testimony, Malnutrition, Water</t>
  </si>
  <si>
    <t>Gaza Health Ministry</t>
  </si>
  <si>
    <t>Kamal Adwan Hospital, North Gaza</t>
  </si>
  <si>
    <t>https://twitter.com/RamAbdu/status/1749971465422745729</t>
  </si>
  <si>
    <t>Footage shows Israeli forces killing a Palestinian carrying a white flag.</t>
  </si>
  <si>
    <t>A Palestinian journalist documented the killing of 51-year-old Ramzi Abu Sahlool in the Mawasi area, on January 22, 2024. The incident occurred after residents were forced to flee from a zone previously declared safe by the Israeli military. Abu Sahlool, holding a white flag, was attempting to evacuate his family when he was shot and killed by Israeli forces.</t>
  </si>
  <si>
    <t>January 24, 2024</t>
  </si>
  <si>
    <t>January 22, 2024</t>
  </si>
  <si>
    <t>Ramy Abdu (@RamAbdu)</t>
  </si>
  <si>
    <t>ITV News</t>
  </si>
  <si>
    <t>Al Mawasi</t>
  </si>
  <si>
    <t>Civilians, Murder, Rules of Engagement, War Crimes, Journalistic Report, Shooting</t>
  </si>
  <si>
    <t>Gaza Strip, Al Mawasi</t>
  </si>
  <si>
    <t>https://twitter.com/RamAbdu/status/1764759225241129162</t>
  </si>
  <si>
    <t>IDF soldiers mock blindfolded Palestinian detainees</t>
  </si>
  <si>
    <t>Female IDF soldiers shared a video showing blindfolded Palestinian detainees kneeling, while mocking them and accusing them of being "Islamic Jihad" or "Nukhba" members. They also ridiculed a detainee who urinated in his pants.</t>
  </si>
  <si>
    <t>Abuse, Captivity Conditions, Civilians, Collective Punishment, Dehumanization, Humiliation, Israeli Society, Torture, Social Media, Detention Center, Detainees</t>
  </si>
  <si>
    <t>https://twitter.com/RamAbdu/status/1780281723424547297</t>
  </si>
  <si>
    <t>Palestinian child tortured in IDF detention</t>
  </si>
  <si>
    <t>A Palestinian child, recently released from Israeli detention, testifies that he has been beaten with iron bars, stripped naked, subjected to relentless torture, and denied sleep.</t>
  </si>
  <si>
    <t>April 16, 2024</t>
  </si>
  <si>
    <t>Abuse, Captivity Conditions, Children, Civilians, Collective Punishment, Humiliation, Torture, Testimony, Detention Center, War Crimes, Detainees</t>
  </si>
  <si>
    <t>Israeli Prison</t>
  </si>
  <si>
    <t>https://twitter.com/RamAbdu/status/1781018819961454697</t>
  </si>
  <si>
    <t>Two Palestinians die in detention; thousands forcibly disappeared.</t>
  </si>
  <si>
    <t>Two detainees from Gaza have died in Israeli detention centers while being interrogated. Thousands of Palestinians have been forcibly disappeared with their fate unknown, amid frequent reports of dozens being killed inside Israeli prisons.</t>
  </si>
  <si>
    <t>April 18, 2024</t>
  </si>
  <si>
    <t>https://www.kan.org.il/content/kan-news/defense/739774/#:~:text=%D7%A9%D7%A0%D7%99%20%D7%A2%D7%A6%D7%95%D7%A8%D7%99%D7%9D%20%D7%A2%D7%96%D7%AA%D7%99%D7%9D%20%D7%9E%D7%AA%D7%95%20%D7%91%D7%93%D7%A8%D7%9A%20%D7%9C%D7%9E%D7%AA%D7%A7%D7%9F%20%D7%9B%D7%9C%D7%99%D7%90%D7%94%20%D7%91%D7%99%D7%A9%D7%A8%D7%90%D7%9C%3B%20%D7%9C%D7%95%D7%97%D7%9E%D7%99%D7%9D%20%D7%9E%D7%99%D7%97%D7%99%D7%93%D7%94%20%D7%9E%D7%99%D7%95%D7%97%D7%93%D7%AA%20%D7%A0%D7%97%D7%A7%D7%A8%D7%95,-%D7%A9%D7%A0%D7%99%20%D7%A2%D7%A6%D7%95%D7%A8%D7%99%D7%9D%20%D7%A2%D7%96%D7%AA%D7%99%D7%9D&amp;text=%D7%94%D7%9E%D7%A9%D7%98%D7%A8%D7%94%20%D7%94%D7%A6%D7%91%D7%90%D7%99%D7%AA%20%D7%94%D7%97%D7%95%D7%A7%D7%A8%D7%AA%20%D7%94%D7%97%D7%9C%D7%94%20%D7%91%D7%99%D7%9E%D7%99%D7%9D,%D7%97%D7%9E%D7%99%D7%A9%D7%99)%20%D7%91%D7%97%D7%93%D7%A9%D7%95%D7%AA%20%D7%94%D7%A2%D7%A8%D7%91%20%D7%91%D7%9B%D7%90%D7%9F%2011.</t>
  </si>
  <si>
    <t>Captivity Conditions, Detention Center, Detainees</t>
  </si>
  <si>
    <t>https://twitter.com/RamAbdu/status/1785074198844453223</t>
  </si>
  <si>
    <t>Israeli soldiers take photographs while wearing Palestinian women's clothes in Gaza home</t>
  </si>
  <si>
    <t>While over 10,000 women are reported killed, IDF soldiers dress in displaced Palestinian women's clothing and take photos.</t>
  </si>
  <si>
    <t>April 30, 2024</t>
  </si>
  <si>
    <t>Women, War Crimes, Social Media, Sexual Violence, Humiliation, Civilians</t>
  </si>
  <si>
    <t>https://twitter.com/RamAbdu/status/1785941575157067916</t>
  </si>
  <si>
    <t>Palestinian detainee recounts physical and mental abuse by IDF</t>
  </si>
  <si>
    <t>Jamal al-Eissawi, a Palestinian recently released from IDF detention, recounts enduring relentless abuse, including humiliation, the stripping of dignity, beatings with iron rods, dog attacks, and various other forms of extreme torture and harassment.</t>
  </si>
  <si>
    <t>May 2, 2024</t>
  </si>
  <si>
    <t>Abuse, Captivity Conditions, Civilians, Humiliation, Torture, Testimony, Detention Center, Detainees</t>
  </si>
  <si>
    <t>https://twitter.com/AlonLeeGreen/status/1787892635186712737</t>
  </si>
  <si>
    <t>IDF tank drives into Gaza signs and fires indiscriminately at the Rafah Crossing to Egypt</t>
  </si>
  <si>
    <t>IDF soldiers drive a tank into the Gaza sign near the arrivals building in the Rafah Crossing from Egypt, drive into a "I ❤️ Gaza" sign nearby, and record themselves firing indiscriminately from a tank at civilian structures in Gaza City.</t>
  </si>
  <si>
    <t>Alon-Lee Green (@AlonLeeGreen)</t>
  </si>
  <si>
    <t>Collective Punishment, Vandalism, Abuse, Infrastructure, Indiscriminate Shooting, Destruction, Israeli Soldier Movies</t>
  </si>
  <si>
    <t>https://twitter.com/ireallyhateyou/status/1780222143445205191</t>
  </si>
  <si>
    <t>A man wears a "May your village burn" t-shirt in Mishmar HaSharon</t>
  </si>
  <si>
    <t>A picture taken by Haaretz journalist Niv Hadas documents a young man wearing a t-shirt bearing the slogan "may your village burn" in Mishmar HaSharon, at a place where many Arabs work. The man appears to belong to the religious right.</t>
  </si>
  <si>
    <t>https://x.com/NivHadas/status/1780156825351905721</t>
  </si>
  <si>
    <t>Mishmar HaSharon</t>
  </si>
  <si>
    <t>Photo</t>
  </si>
  <si>
    <t>Israeli Society, Incitement to Violence, Religious Right</t>
  </si>
  <si>
    <t>https://twitter.com/ireallyhateyou/status/1781995666593456397</t>
  </si>
  <si>
    <t>Israel's Finance Minister Bezalel Smotrich interviews on Galatz stating that all Gazans are Nazis</t>
  </si>
  <si>
    <t>Israel's Finance Minister Bezalel Smotrich claims that all 2 million Gazans are Nazis "who want to slaughter, rape and murder every Jew". He adds that Israel must occupy Gaza until Hamas is defeated and replaced.</t>
  </si>
  <si>
    <t>April 21, 2024</t>
  </si>
  <si>
    <t>Galey Tzahal</t>
  </si>
  <si>
    <t>Audio</t>
  </si>
  <si>
    <t>Interview, Opinion, Collective Punishment, Dehumanization, Media</t>
  </si>
  <si>
    <t>Gaza Strip, Israel</t>
  </si>
  <si>
    <t>https://twitter.com/tparsi/status/1774872023098888465</t>
  </si>
  <si>
    <t>A survey of Israel's systematic violations of international humanitarian law</t>
  </si>
  <si>
    <t>Israel is breaking long-standing rules of war by attacking protected places like embassies and hospitals, blocking aid deliveries, and allegedly using starvation as a weapon - actions that may count as war crimes. These aren't accidental violations, but seem to be part of a deliberate attempt to ignore or change international laws, which is also backed by the US government.</t>
  </si>
  <si>
    <t>Trita Parsi (@tparsi)</t>
  </si>
  <si>
    <t>Humanitarian Law, War Crimes, Analysis</t>
  </si>
  <si>
    <t>United States, Israeli Government</t>
  </si>
  <si>
    <t>Joe Biden, Benjamin Netanyahu</t>
  </si>
  <si>
    <t>https://x.com/AssalRad/status/1850360530730709105</t>
  </si>
  <si>
    <t>Different UN officials warn of Gaza's annihilation but U.S. looks away</t>
  </si>
  <si>
    <t>UN agencies warn of catastrophic humanitarian crisis in Gaza, with reports of mass starvation, indiscriminate attacks, and potential ethnic erasure—while the U.S. ignores their pleas, undermining its own claims to uphold international law.</t>
  </si>
  <si>
    <t>October 27, 2024</t>
  </si>
  <si>
    <t>Ceasefire, Humanitarian Law, War Crimes</t>
  </si>
  <si>
    <t>United States, Israeli Government, UN (United Nations), UNICEF (United Nations Children's Fund), OCHA (UN Office for the Coordination of Humanitarian Affairs)</t>
  </si>
  <si>
    <t>https://twitter.com/N12News/status/1780977153166688378</t>
  </si>
  <si>
    <t>IDF drops fake bills depicting Sinwar as a mouse</t>
  </si>
  <si>
    <t>Palestinian sources state that the IDF distributed fake 20-shekel notes in Deir al-Balah, central Gaza, portraying Yahya Sinwar as a mouse and bearing the message, "Your money is with Sinwar."</t>
  </si>
  <si>
    <t>Deir al-Balah</t>
  </si>
  <si>
    <t>Public Opinion, Occupied territories, Humiliation, Starvation, Dehumanization, Propaganda</t>
  </si>
  <si>
    <t>Deir al Balah</t>
  </si>
  <si>
    <t>Yahya Al-Sinwar</t>
  </si>
  <si>
    <t>https://twitter.com/NABEELRAJAB/status/1750228266193969448</t>
  </si>
  <si>
    <t>IDF soldiers celebrate demolishing Palestinian homes.</t>
  </si>
  <si>
    <t>A video showing IDF soldiers enthusiastically celebrate as they demolish a large portion of Palestinian residential buildings.</t>
  </si>
  <si>
    <t>Nabeel Rajab @NABEELRAJAB</t>
  </si>
  <si>
    <t>Infrastructure, Domicide, Abuse, Collective Punishment, Destruction, Dehumanization, Israeli Soldier Movies</t>
  </si>
  <si>
    <t>https://twitter.com/NourNaim88/status/1742273606699106542</t>
  </si>
  <si>
    <t>IDF soldiers trample Palestinian flag during social gathering</t>
  </si>
  <si>
    <t>IDF soldiers organized a social gathering featuring a barbecue and shisha near the Gaza border, where attendees were encouraged to trample on the Palestinian flag.</t>
  </si>
  <si>
    <t>January 2 2024</t>
  </si>
  <si>
    <t>Nour Naim (@NourNaim88)</t>
  </si>
  <si>
    <t>Israel-Gaza border</t>
  </si>
  <si>
    <t>Humiliation, Dehumanization, Israeli Soldier Movies</t>
  </si>
  <si>
    <t>https://twitter.com/NourNaim88/status/1743626241104543942</t>
  </si>
  <si>
    <t>Soldier boasts bombing a Gazan university.</t>
  </si>
  <si>
    <t>IDF soldier filmed himself in front of the destroyed Al-Azhar University, saying, "For anyone asking why there’s no education in Gaza, we bombed them... That’s why you won’t become engineers anymore."</t>
  </si>
  <si>
    <t>January 6, 2024</t>
  </si>
  <si>
    <t>Al-Azhar University</t>
  </si>
  <si>
    <t>Scholasticide, Schools, Infrastructure, Education, Academia, Collective Punishment, Israeli Soldier Movies</t>
  </si>
  <si>
    <t>https://twitter.com/NourNaim88/status/1760434485957390399</t>
  </si>
  <si>
    <t>IDF demolishes Gaza homes</t>
  </si>
  <si>
    <t>Two videos show the demolition of residential buildings in northern Gaza by IDF troops, with soldiers heard in the background boasting and making jokes about their actions.</t>
  </si>
  <si>
    <t>February 22, 2024</t>
  </si>
  <si>
    <t>War Crimes, Urbicide, Infrastructure, Domicide, Destruction, Israeli Soldier Movies</t>
  </si>
  <si>
    <t>https://twitter.com/QudsNen/status/1743712184725594564</t>
  </si>
  <si>
    <t>IDF soldier smashed image of Al-Aqsa Mosque.</t>
  </si>
  <si>
    <t>IDF soldier was filmed proudly destroying a picture of Al-Aqsa Mosque inside a Gazan home. The soldier was subsequently killed.</t>
  </si>
  <si>
    <t>Quds News Network (@QudsNen)</t>
  </si>
  <si>
    <t>Humiliation, Vandalism, Israeli Soldier Movies</t>
  </si>
  <si>
    <t>https://x.com/ofercass/status/1799425838397395195</t>
  </si>
  <si>
    <t>Knesset member Ofer Cassif expresses happiness for release of Israeli hostages on June 8, 2024 in military operation but decries the "deplorable" human cost of the operation</t>
  </si>
  <si>
    <t>Video of a Palestinian man attempting to take the body of a victim of the Israeli assault on the Nuseirat refugee camp as part of the military operation to release several Israeli hostages. The man is rebuffed and encouraged to lead the body to the structure where the dead are to be bathed and shrouded. MK Ofer Cassif denounces the Israeli government's refusal to reach a deal and calls for an immediate hostage deal, an end to the war, and Israeli withdrawal from Gaza.</t>
  </si>
  <si>
    <t>une 8, 2024</t>
  </si>
  <si>
    <t>Shuhada Al Aqsa Hospital</t>
  </si>
  <si>
    <t>Israeli Society, Religious Right, Ceasefire, Hostage Deal, Opinion, Hostages, Corpses, Hostage rescue operation</t>
  </si>
  <si>
    <t>Gaza Strip, Al-Aqsa Hospital, Nuseirat Refugee Camp</t>
  </si>
  <si>
    <t>Almog Boker, Ofer Cassif</t>
  </si>
  <si>
    <t>https://twitter.com/GolanMay/status/1759675501424042329</t>
  </si>
  <si>
    <t>May Golan celebrates Gaza's destruction, favors revenge over peace, rejects Palestinian statehood.</t>
  </si>
  <si>
    <t>Minister for Social Equality &amp; Women's Advancement, May Golan (Likud), during a Knesset discussion on revoking MK Ofer Cassif's (Hadash) membership: "We are not ashamed to say that we want to see our heroic and sacred IDF soldiers dragging Sinwar and his associates to the basements of the Shin Bet – but the Shin Bet of Ben-Gvir, not Bar-Lev or Michaeli. I personally take pride in the ruins of Gaza. And every infant, even 80 years from now, will tell their grandchildren what the Jews did to those who murdered their families, raped them, and kidnapped their civilians... We have a mission, and the last thing we will allow is for Ofer Cassif to ascend the Temple Mount with a Palestinian flag and for Sinwar to become the defense minister of a Palestinian state... Not a dove, nor an olive branch. Only a sword – to behead Sinwar. That is what he will get from us."</t>
  </si>
  <si>
    <t>x</t>
  </si>
  <si>
    <t>May Golan (@GolanMay)</t>
  </si>
  <si>
    <t>The Knesset, West Jerusalem</t>
  </si>
  <si>
    <t>Propaganda, Destruction</t>
  </si>
  <si>
    <t>Israeli Parliament (Knesset)</t>
  </si>
  <si>
    <t>May Golan, Yahya Al-Sinwar, Itamar Ben-Gvir, Ofer Cassif, Omer Bar-Lev, Merav Michaeli</t>
  </si>
  <si>
    <t>https://twitter.com/Hanine09/status/1769258663837827582</t>
  </si>
  <si>
    <t>Gaza man looking for his wife and children after they were detained by the IDF</t>
  </si>
  <si>
    <t>A man searches for his wife and two young children (aged 4 years and 6 months), after the whole family was taken by the IDF from their home in Gaza's Zeitoun neighborhood. His wife was forced into the same truck he was on, after they stripped her and removed her headscarf, while their sons, Zayn and Mohamed, were torn from her arms. The man was released after 25 days, and is looking for them since.</t>
  </si>
  <si>
    <t>March 17, 2024</t>
  </si>
  <si>
    <t>Hanine Hassan (@Hanine09)</t>
  </si>
  <si>
    <t>Zaytun</t>
  </si>
  <si>
    <t>Women, Children, Infants, Testimony, Detainees</t>
  </si>
  <si>
    <t>Israeli Incarceration System, IDF (Israel Defense Forces)</t>
  </si>
  <si>
    <t>Israeli Prison, Zaytun Neighborhood</t>
  </si>
  <si>
    <t>https://twitter.com/Kahlissee/status/1783737956026454347</t>
  </si>
  <si>
    <t>A testimony of a 14-year-old Palestinian detained, beaten, and tortured by IDF</t>
  </si>
  <si>
    <t>Khalid Mohammad Nazmi Jenaid, a 14-year-old boy from Jabalia, was taken from his home by IDF soldiers on January 1, 2024. He was arrested along with his two brothers at midnight and left without clothing until they were transferred at 4 a.m. to a prison in Be'er Sheva. On his first night in prison, a soldier called him for interrogation in a small room with a floor covered in sharp gravel "like nails." He was kept there for four days, during which the soldier beat him and poured cold water on him. He was left without clothes or a mattress, forcing him to lie on the exposed gravel. After four days, he was called for another interrogation. When he failed to provide information related to Hamas or the events of October 7, they beat him until he lost consciousness. He woke up a week later and was told he was in "Negev" prison.</t>
  </si>
  <si>
    <t>April 26 ,2024</t>
  </si>
  <si>
    <t>January 1, 2024</t>
  </si>
  <si>
    <t>January 12, 2024</t>
  </si>
  <si>
    <t>Khalissee (@Kahlissee)</t>
  </si>
  <si>
    <t>Abuse, Captivity Conditions, Children, Testimony, War Crimes, Civilians, Torture, Detainees</t>
  </si>
  <si>
    <t>Israeli Prison, IDF (Israel Defense Forces)</t>
  </si>
  <si>
    <t>Israel, Ktzi'ot Prison, Jabaliya</t>
  </si>
  <si>
    <t>https://twitter.com/KhaledYousry22/status/1771197890829898017</t>
  </si>
  <si>
    <t>Soldiers fire indiscriminately as the read the Scroll of Esther during Purim.</t>
  </si>
  <si>
    <t>IDF soldiers fired mortar rounds randomly and mockingly, as they read the Scroll of Esther during Purim</t>
  </si>
  <si>
    <t>March 22, 2024</t>
  </si>
  <si>
    <t>War Crimes, Vandalism, Rules of Engagement, Religious Right, Abuse, Indiscriminate Shooting, Mortar</t>
  </si>
  <si>
    <t>https://twitter.com/KhalilAsslan/status/1741926482463633866</t>
  </si>
  <si>
    <t>23-year-old Palestinian prisoner dies in Israeli custody.</t>
  </si>
  <si>
    <t>The Israel Prison Service (IPS) announced the death of a Palestinian prisoner, Abdul Rahman Bassem Al-Bahsh (23 years old), from Nablus, in Megiddo Prison. Al-Bahsh was detained on May 31, 2022, and was sentenced to 35 months in prison. Palestinian prisoner organizations and advocacy groups accuse the IPS of responsibility for his death, claiming execution. Al-Bahsh is the seventh Palestinian prisoner to die in Israeli prison since October 2023.</t>
  </si>
  <si>
    <t>Asslan Khalil (@KhalilAsslan)</t>
  </si>
  <si>
    <t>Megiddo prison</t>
  </si>
  <si>
    <t>Torture, Murder, Captivity Conditions, Abuse, Civilians</t>
  </si>
  <si>
    <t>Israeli Prison, Israeli Incarceration System</t>
  </si>
  <si>
    <t>Megido Prison</t>
  </si>
  <si>
    <t>https://twitter.com/LensVeritatis/status/1774471148430111088</t>
  </si>
  <si>
    <t>Reserve soldiers fire mortars on two APCs randomly and mockingly.</t>
  </si>
  <si>
    <t>IDF reserve soldiers fire a mortar from two APCs indiscriminately and mockingly, while yelling: "Shooting in position!" (Hebrew: "ירי בעמדה!"). One is dressed as a Hassidic Jew.</t>
  </si>
  <si>
    <t>March 31, 2024</t>
  </si>
  <si>
    <t>Gaza strip</t>
  </si>
  <si>
    <t>Abuse, War Crimes, Vandalism, Rules of Engagement, Indiscriminate Shooting, Mortar</t>
  </si>
  <si>
    <t>https://twitter.com/Lowkey0nline/status/1757326323712774650</t>
  </si>
  <si>
    <t>Right-wing activists celebrate while blocking Gaza aid.</t>
  </si>
  <si>
    <t>Israeli right-wing activists dance to loud electronic music, waving Israeli flags, in a celebratory gathering intended to block humanitarian aid from entering Gaza.</t>
  </si>
  <si>
    <t>February 13, 2024</t>
  </si>
  <si>
    <t>Lowkey (@Lowkey0nline)</t>
  </si>
  <si>
    <t>https://x.com/RashadAlhindi/status/1757012211321487634/video/1</t>
  </si>
  <si>
    <t>https://twitter.com/MiddleEastEye/status/1762502752184467495</t>
  </si>
  <si>
    <t>Female detainee subjected to strip searches and physical abuse by IDF soldiers.</t>
  </si>
  <si>
    <t>Amena Hussain, a Palestinian woman from Gaza, was taken by IDF soldiers from Abu Al-Helou school in Bureij refugee camp, along with 9 other women. She was held in a detention center for 11 days, and then spent additional 32 days in an Israeli prison. In an audio recording, she is describing how she was repeatedly stripped and subjected to physical search by female Israeli soldiers, including several cases in which she was beaten by IDF soldiers.</t>
  </si>
  <si>
    <t>February 27,2024</t>
  </si>
  <si>
    <t>December 28, 2023</t>
  </si>
  <si>
    <t>January 29, 2024</t>
  </si>
  <si>
    <t>Middle East Eye (@MiddleEastEye)</t>
  </si>
  <si>
    <t>Buriej, Israeli detention center</t>
  </si>
  <si>
    <t>Abuse, Captivity Conditions, Humiliation, Humanitarian Aid, Women, Sexual Violence, Testimony, Violence, Cages</t>
  </si>
  <si>
    <t>Al Buriej, Israeli Prison</t>
  </si>
  <si>
    <t>https://twitter.com/MiddleEastEye/status/1773318803075531136</t>
  </si>
  <si>
    <t>Physical and psychological torture of female and male Palestinian detainees.</t>
  </si>
  <si>
    <t>Hadeel Yousef Issa al-Dahdouh, a young mother of two children (a 9-month-old and a 4-year-old), was taken from her home in Gaza’s Zeitoun neighborhood by IDF soldiers, along with her husband Rushdi Ziyada. She describes numerous acts of torture and humiliation carried out by the soldiers against her and other detainees, such as being denied access to a toilet, having zip-ties and blindfolds deliberately tightened to inflict pain, and being subjected to random shouting and physical abuse. Hadeel and her husband also recount two separate incidents in which they were forced into a large pit while an IDF tank circled above, dumping dirt into the hole, and the IDF soldiers were threatening to bury them alive and "let the dogs eat them."</t>
  </si>
  <si>
    <t>December 6, 2023</t>
  </si>
  <si>
    <t>January 26, 2024</t>
  </si>
  <si>
    <t>Zeitoun neighborhood, Israeli detention center</t>
  </si>
  <si>
    <t>Abuse, Collective Punishment, Humiliation, Infants, Torture, Women, Testimony</t>
  </si>
  <si>
    <t>Zaytun Neighborhood</t>
  </si>
  <si>
    <t>https://twitter.com/Mistaclim/status/1755129771825000637</t>
  </si>
  <si>
    <t>Soldier advertises hair salon among Palestinian bodies.</t>
  </si>
  <si>
    <t>A video showing an IDF soldier holding a sign promoting an Israeli hair salon while standing among the bodies of deceased Palestinians.</t>
  </si>
  <si>
    <t>February 7, 2024</t>
  </si>
  <si>
    <t>Looking the Occupation in the Eye‍ (@Mistaclim)</t>
  </si>
  <si>
    <t>Abuse, Dehumanization, Humiliation, Israeli Society, Corpses, Disturbing Content</t>
  </si>
  <si>
    <t>https://x.com/marcowenjones/status/1790086787764715922</t>
  </si>
  <si>
    <t>Doubts regarding the Gaza death toll addressed at UN</t>
  </si>
  <si>
    <t>Report on a UN briefing with Farhan Haq, Deputy Spokesperson for the Secretary-General, regarding the death toll in Gaza. He affirmed confidence in the accuracy of the Gaza Ministry of Health’s figures, noting that 24,686 of the reported deaths have been fully identified.</t>
  </si>
  <si>
    <t>May 13, 2024</t>
  </si>
  <si>
    <t>Children, Civilians, Women, Gaza death toll, Doubting the Gaza death toll</t>
  </si>
  <si>
    <t>Gaza Health Ministry, UN (United Nations)</t>
  </si>
  <si>
    <t>https://x.com/nirhasson/status/1796567421412938129</t>
  </si>
  <si>
    <t>Violent dispersal of a small protest commemorating Faisal Husseini, including MK Tibi</t>
  </si>
  <si>
    <t>A peaceful gathering of nine elderly individuals near the Orient House in Jerusalem, held in memory of Faisal Husseini, was violently broken up by police. Officers tore up photos, pushed participants—including MK Ahmad Tibi—and, according to Tibi, one officer shouted a vulgar curse at him and all Arabs.</t>
  </si>
  <si>
    <t>Nir Hasson (@nirhasson)</t>
  </si>
  <si>
    <t>Abuse, Palestinian Citizens of Israel, Limiting Free Speech, Protest (Palestinians)</t>
  </si>
  <si>
    <t>Ahmad Tibi</t>
  </si>
  <si>
    <t>https://x.com/the7i/status/1799724456958706071</t>
  </si>
  <si>
    <t>Israeli newspapers coverage of Hamas' announcement regarding death toll of hostage rescue operation</t>
  </si>
  <si>
    <t>Israeli newspapers varied widely in their coverage of Hamas' claims that over 200 Palestinians were killed in a hostage rescue operation. While Haaretz featured the story on the front cover and Yediot Aharonot on the back cover, Israel Hayom mentioned the claims within its reporting on the operation, and Ma'ariv did not mention the claims at all.</t>
  </si>
  <si>
    <t>June 9, 2024</t>
  </si>
  <si>
    <t>The 7th Eye (@the7i)</t>
  </si>
  <si>
    <t>Nuseirat</t>
  </si>
  <si>
    <t>Hostages, Journalistic Report, Media, Dehumanization, Hostage rescue operation</t>
  </si>
  <si>
    <t>Nuseirat Refugee Camp</t>
  </si>
  <si>
    <t>https://x.com/AbubakerAbedW/status/1858502758946455815</t>
  </si>
  <si>
    <t>Gazan physician at Kamal Adwan hospital notified that 17 of his family members were killed and his house destroyed</t>
  </si>
  <si>
    <t>Gazan physician at Kamal Adwan hospital notified that 17 of his family members were killed and his house destroyed.</t>
  </si>
  <si>
    <t>November 18, 2024</t>
  </si>
  <si>
    <t>Abu Baker Abed (@AbubakerAbedW)</t>
  </si>
  <si>
    <t>Bombing, Civilians, Healthcare Workers, Abduction</t>
  </si>
  <si>
    <t>Beit Lahiya, Kamal Adwan Hospital</t>
  </si>
  <si>
    <t>https://x.com/AbujomaaGaza/status/1854403068655292467</t>
  </si>
  <si>
    <t>A Gazan journalist's injured sister is in need of medical care abroad</t>
  </si>
  <si>
    <t>Rana Dallou, 35, was injured after forced displacement to so-called "safe zones". She lost two sons in the bombing of al Nuseirat School (October 2024) and has had her arm amputated</t>
  </si>
  <si>
    <t>November 7, 2024</t>
  </si>
  <si>
    <t>Motasem A Dalloul (@AbujomaaGaza)</t>
  </si>
  <si>
    <t>Al Nuseirat School</t>
  </si>
  <si>
    <t>Children, Air Strike, Schools, Medicine, Public Health, Women, Forced Displacement, Humanitarian Crisis, Civilians, Hospital</t>
  </si>
  <si>
    <t>https://x.com/Ahmad_tibi/status/1848647941617057834</t>
  </si>
  <si>
    <t>Evacuation calls to Doctors, North Gaza.</t>
  </si>
  <si>
    <t>IDF officer calls on doctors and locals in a hospital in North Gaza to evacuate before the IDF will blow up the hospital.</t>
  </si>
  <si>
    <t>Ahmad Tibi (@Ahmad_tibi)</t>
  </si>
  <si>
    <t>Abuse, Children, Civilians, Ethnic Cleansing, Forced Displacement, Healthcare Workers, Hospital, Ground Operation, War Crimes, Bombing</t>
  </si>
  <si>
    <t>https://twitter.com/justfp/status/1775613111711465554</t>
  </si>
  <si>
    <t>Barak Ravid discussing IDF rules of engagement</t>
  </si>
  <si>
    <t>Following the IDF's strike on World Central Kitchen staff in Gaza, journalist Barak Ravid told CNN there's a growing gap between how the military's rules of engagement are understood by senior commanders and by soldiers on the ground. He called this a sign of professional decline and referenced a previous incident where the IDF mistakenly killed three Israeli hostages, noting that the unit had been ordered to "shoot every man of fighting age”. He notes that this strike is not exceptional and has only drawn more attention because it killed international WCK workers.</t>
  </si>
  <si>
    <t>April 3, 2024</t>
  </si>
  <si>
    <t>Just Foreign Policy (@justfp)</t>
  </si>
  <si>
    <t>https://x.com/i/status/1775613111711465554</t>
  </si>
  <si>
    <t>Analysis, Civilians, Hostages, Indiscriminate shooting, Rules of Engagement, War Crimes, Interview, Air Strike, Media</t>
  </si>
  <si>
    <t>IDF (Israel Defense Forces), World Central Kitchen</t>
  </si>
  <si>
    <t>https://x.com/AdHaque110/status/1843382278371848291</t>
  </si>
  <si>
    <t>Law professor analyzes Israel's response to the ICC</t>
  </si>
  <si>
    <t>Israel's ICC filings contain two key arguments: first, that Palestine is not a State and therefore cannot delegate jurisdiction to the ICC (which would prevent prosecution of both Israeli and Hamas leaders, including for October 7 attacks); second, as a fallback position, that even if Palestine can delegate jurisdiction, the Oslo Accords prevent it from delegating jurisdiction over Israelis specifically. This contrasts with Palestine's position that the ICC has jurisdiction over all international crimes on its territory regardless of perpetrator nationality. Regarding procedural matters, Israel challenges the Court's jurisdiction under article 19(2) of the ICC Statute, though it's unclear which specific provision they're invoking as the basis for their standing to make such a challenge.</t>
  </si>
  <si>
    <t>October 7, 2024</t>
  </si>
  <si>
    <t>Adil Haque (@AdHaque110)</t>
  </si>
  <si>
    <t>https://www.justsecurity.org/99916/icc-utmost-urgency-arrest-warrants/</t>
  </si>
  <si>
    <t>War Crimes, Analysis</t>
  </si>
  <si>
    <t>Israeli Government, ICC (International Criminal Court)</t>
  </si>
  <si>
    <t>Benjamin Netanyahu, Yoav Gallant, Yahya Al-Sinwar</t>
  </si>
  <si>
    <t>https://twitter.com/MustafaBarghou1/status/1761325667252092984</t>
  </si>
  <si>
    <t>A palestinian detainee declared dead.</t>
  </si>
  <si>
    <t>Ezzeldin Al Banna, a 40-year-old disabled Palestinian, was arrested by the Israeli army after October 7 and has been declared dead on February 24, 2024.</t>
  </si>
  <si>
    <t>February 24, 2024</t>
  </si>
  <si>
    <t>Mustafa Barghouti (@MustafaBarghou1)</t>
  </si>
  <si>
    <t>Captivity Conditions, Violence, Detainees</t>
  </si>
  <si>
    <t>https://twitter.com/NourNaim88/status/1753044873974849578</t>
  </si>
  <si>
    <t>Released detainee recounts brutal IDF beatings</t>
  </si>
  <si>
    <t>A Palestinian man released from an Israeli prison recounts being frequently beaten by IDF soldiers just "for the sake of beating." In one instance, he was thrown onto an Israeli tank, sustaining neck and back injuries, as well as a head wound that required stitches.</t>
  </si>
  <si>
    <t>February 1, 2024</t>
  </si>
  <si>
    <t>Torture, Humiliation, Dehumanization, Captivity Conditions, Abuse, Testimony, Detainees</t>
  </si>
  <si>
    <t>https://twitter.com/OmerArvili/status/1753754952155934999</t>
  </si>
  <si>
    <t>A senior politician and IDF officer admits to directing the burning of homes in Gaza.</t>
  </si>
  <si>
    <t>Yehuda Vald, Director General of the Religious Zionist Party and a reserve IDF officer, confirmed a report by Haaretz newspaper, admitting he instructed soldiers in Gaza to burn as many homes as possible, expressing pride in his actions.</t>
  </si>
  <si>
    <t>February 3, 2024</t>
  </si>
  <si>
    <t>Omer Arvili (@OmerArvili)</t>
  </si>
  <si>
    <t>https://www.haaretz.co.il/news/politics/2024-01-31/ty-article/.premium/0000018d-5fea-d9df-a9cd-7ffe4e820000</t>
  </si>
  <si>
    <t>Abuse, Collective Punishment, Crimes Against Humanity, Domicide, Religious Right, War Crimes, Israeli Society, Torching Houses</t>
  </si>
  <si>
    <t>Yehuda Vald</t>
  </si>
  <si>
    <t>https://twitter.com/OwenJones84/status/1760640827720638639</t>
  </si>
  <si>
    <t>IDF soldiers display underclothes of displaced women.</t>
  </si>
  <si>
    <t>IDF soldiers pose for a photo, proudly displaying undergarments belonging to displaced Gazan women. Also pictured is a tweet discussing the matter.</t>
  </si>
  <si>
    <t>Owen Jones (@owenjonesjourno)</t>
  </si>
  <si>
    <t>https://x.com/Sturgeons_Law/status/1757242880194928771</t>
  </si>
  <si>
    <t>Dehumanization, Humiliation, Sexual Violence, Women, Israeli Soldier Photos</t>
  </si>
  <si>
    <t>https://twitter.com/PHR_IL/status/1770877688539988234</t>
  </si>
  <si>
    <t>Israel halts deportation of Gaza patients back to Gaza following PHR appeal.</t>
  </si>
  <si>
    <t>Following an appeal by Physicians for Human Rights, the State of Israel has withdrawn its plan to deport back to Gaza 20 patients, including children with cancer and elderly individuals, after they received medical treatment in Israel.</t>
  </si>
  <si>
    <t>March 21, 2024</t>
  </si>
  <si>
    <t>Physicians for Human Rights (@PHR_IL)</t>
  </si>
  <si>
    <t>https://www.ynet.co.il/health/article/sjigkkqrp</t>
  </si>
  <si>
    <t>Children, Civilians, Public Health, Humanitarian Law, Elderly</t>
  </si>
  <si>
    <t>Israeli Government, Israeli Health Ministry, Physicians for Human Rights Israel</t>
  </si>
  <si>
    <t>https://twitter.com/QudsNen/status/1747273886264443173</t>
  </si>
  <si>
    <t>Disabled person detained by IDF recounts his detainment</t>
  </si>
  <si>
    <t>Imad Eid Abu Zu, a wheelchair-bound individual from Gaza, who is suffering from hemiplegia, was arrested along with his family by IDF soldiers. They were taken from their home in the Zaytun neighborhood in the middle of the night after being forcibly removed from their beds. Stripped down to their underwear and forced to cover their faces, they were beaten, threatened, and loaded onto a truck that transported them to a detention facility. On the truck, they were shackled, and soldiers stepped on their restraints. Abu Zu was dragged out of his wheelchair, and when he tried to explain his disability, he was mocked, beaten, and had his wheelchair thrown at him. The detainees were photographed in their underwear with their eyes covered, while soldiers ridiculed them and threw stones at them. Upon arrival at the detention facility, they were kicked off the truck, which was about 2 meters high. Abu Zu suffered a broken back plate and fractures in his legs from the fall. They were then taken to barracks "unfit for animal habitation," where they were left in the cold, in their underwear, all night, while soldiers beat and cursed at them. According to Abu Zu, all 30 detainees had broken limbs, and some had been shot. Upon release, soldiers refused to return Abu Zu’s wheelchair or provide him with another, stating, "You’re in a concentration camp, not on a trip."</t>
  </si>
  <si>
    <t>January 16, 2024</t>
  </si>
  <si>
    <t>IDF detention center</t>
  </si>
  <si>
    <t>War Crimes, Torture, Dehumanization, Abuse, Captivity Conditions, Civilians, Collective Punishment, Testimony, Detention Center, Detainees</t>
  </si>
  <si>
    <t>https://twitter.com/QudsNen/status/1760426342753935765</t>
  </si>
  <si>
    <t>Displaced Palestinian woman detained, tortured and robbed by IDF soldiers.</t>
  </si>
  <si>
    <t>Nasreen Youssef Shaaban Abbas was compelled to flee her home in northern Gaza along with her family, following IDF orders. They took shelter in a school in Khan Younis, an IDF-designated "safe zone," but were forced to leave after Israeli tanks attacked the area. They then took refuge at Nasser Hospital, where they stayed for 25 days until the IDF ordered an evacuation and bombed the facility, killing four people and injuring 20 others. After escaping the hospital, Nasreen and her family were held at a checkpoint for hours, where soldiers filmed and insulted them. She was separated from her husband, stripped of her clothes, and made to stand barefoot in the cold for four hours. Soldiers also confiscated her gold, silver, and personal belongings worth 7,000 dinars, which were not returned upon her release, leaving her barefoot and in torn clothes.</t>
  </si>
  <si>
    <t>Women, Torture, War Crimes, Sexual Violence, Looting, Humiliation, Forced Displacement, Civilians, Testimony</t>
  </si>
  <si>
    <t>North Gaza, Nasser Hospital, Khan Younis, Gaza Strip</t>
  </si>
  <si>
    <t>https://twitter.com/QudsNen/status/1761815084081246331</t>
  </si>
  <si>
    <t>IDF soldiers flaunt looted Palestinian children's toys</t>
  </si>
  <si>
    <t>IDF soldiers posted images of themselves atop two separate military vehicles, displaying toys looted from displaced Palestinian children.</t>
  </si>
  <si>
    <t>February 25, 2024</t>
  </si>
  <si>
    <t>Looting, Israeli Soldier Photos, Toys</t>
  </si>
  <si>
    <t>https://twitter.com/QudsNen/status/1769378368431047090</t>
  </si>
  <si>
    <t>IDF soldiers desecrate Quran, share footage online</t>
  </si>
  <si>
    <t>IDF soldiers filmed themselves desecrating a Quran, throwing it on the floor of a raided and demolished mosque in Gaza, and shared the video via social media.</t>
  </si>
  <si>
    <t>Vandalism, Social Media, Israeli Society, Humiliation, Dehumanization, Mosques, Books, Quran, Destruction of Cultural Sites</t>
  </si>
  <si>
    <t>https://twitter.com/QudsNen/status/1786857586098155534</t>
  </si>
  <si>
    <t>Released Palestinian detainee details torture, harsh detention conditions</t>
  </si>
  <si>
    <t>A 50 year old Palestinian man describes being tortured in an Israeli detention center after being taken by IDF soldiers from Nasser Hospital alongside other displaced Palestinians. The IDF forced the Palestinians onto trucks, beating them and cramming dozens of people into each vehicle, packed together "like sheep." At the detention center, he was stripped, beaten, and held handcuffed and blindfolded for 60 days, deprived of adequate food and access to toilets. He reports that even detainees brought to the clinic for medical treatment were subjected to brutal beatings. All detainees faced severe conditions, including prolonged periods of sitting on thin mattresses or bare floors, restrictions on speaking or moving, and nightly beatings that frequently led to broken bones and bleeding.</t>
  </si>
  <si>
    <t>May 4, 2024</t>
  </si>
  <si>
    <t>Captivity Conditions, Civilians, Collective Punishment, Dehumanization, Torture, War Crimes, Testimony, Detention Center, Detainees</t>
  </si>
  <si>
    <t>Israeli Incarceration System</t>
  </si>
  <si>
    <t>Gaza Strip, Nasser Hospital</t>
  </si>
  <si>
    <t>https://twitter.com/RamAbdu/status/1743665392722059344</t>
  </si>
  <si>
    <t>IDF soldiers joke and boast during demolition of Palestinian house</t>
  </si>
  <si>
    <t>IDF reserve soldiers record themselves laughing and joking while detonating a Palestinian home in southern Gaza, following a reservist dedicating the demolition as a memorial to fallen comrades from past wars.</t>
  </si>
  <si>
    <t>Southern Gaza</t>
  </si>
  <si>
    <t>Collective Punishment, Civilians, Israeli Society, Humiliation, Demolition, Explosives, Dehumanization, Israeli Soldier Movies</t>
  </si>
  <si>
    <t>Gaza Strip, South Gaza</t>
  </si>
  <si>
    <t>https://x.com/ytirawi/status/1796232276818424251</t>
  </si>
  <si>
    <t>"Only Israeli Agriculture"</t>
  </si>
  <si>
    <t>IDF soldier uproots tree in Rafah and posts a video of his actions on social media, captioning it "only Israeli agriculture".</t>
  </si>
  <si>
    <t>May 30, 2024</t>
  </si>
  <si>
    <t>Abuse, Vandalism, Social Media, Israeli Soldier Movies, Agriculture</t>
  </si>
  <si>
    <t>https://twitter.com/Aboujahjah/status/1769867124103598146</t>
  </si>
  <si>
    <t>French-Israeli soldier films his unit abusing detainees</t>
  </si>
  <si>
    <t>A French-Israeli dual citizen serving in the IDF posted a video showing his unit abusing Palestinian detainees while boasting of their actions.</t>
  </si>
  <si>
    <t>March 19, 2024</t>
  </si>
  <si>
    <t>Dyab Abou Jahjah @Aboujahjah</t>
  </si>
  <si>
    <t>Abuse, Humiliation, Israeli Soldier Movies, Detainees</t>
  </si>
  <si>
    <t>https://twitter.com/ireallyhateyou/status/1790909070708285910</t>
  </si>
  <si>
    <t>Be'er Sheva resident calls for annihilation of Gaza stip</t>
  </si>
  <si>
    <t>A resident of Be'er Sheva whose home was damaged in a rocket attack from Gaza, calls for the invasion of Rafah and the subsequent annihilation of the Gaza Strip</t>
  </si>
  <si>
    <t>May 16, 2024</t>
  </si>
  <si>
    <t>May 1, 2024</t>
  </si>
  <si>
    <t>Beer Sheva</t>
  </si>
  <si>
    <t>Video</t>
  </si>
  <si>
    <t>Israeli Society, Abuse, incitement to Violence</t>
  </si>
  <si>
    <t>Gaza Strip, Rafah, Beer Sheva</t>
  </si>
  <si>
    <t>https://twitter.com/ireallyhateyou/status/1802060863731319253</t>
  </si>
  <si>
    <t>An Israeli soldier treats war like a video game</t>
  </si>
  <si>
    <t>Soldiers film themselves, pretending they are in a Call of Duty video game</t>
  </si>
  <si>
    <t>June 15, 2024</t>
  </si>
  <si>
    <t>Gaza</t>
  </si>
  <si>
    <t>Israeli Society, Abuse, Social Media, Dehumanization, Video games</t>
  </si>
  <si>
    <t>https://twitter.com/itamar_green/status/1741504115874627765</t>
  </si>
  <si>
    <t>An Israeli media outlet celebrates Arab deaths</t>
  </si>
  <si>
    <t>Israeli media outlet JDN News cheers on reports of number of killed Arabs in current war, claiming it is higher than the number of killed Arabs in all other wars. Note: the title was edited afterwards (see reference)</t>
  </si>
  <si>
    <t>December 31, 2023</t>
  </si>
  <si>
    <t>Itamar Greenberg (@itamar_green)</t>
  </si>
  <si>
    <t>JDN news</t>
  </si>
  <si>
    <t>https://www.jdn.co.il/news/2111450/</t>
  </si>
  <si>
    <t>Israeli Society, Media, Dehumanization</t>
  </si>
  <si>
    <t>https://twitter.com/loffredojeremy/status/1762480372963508266</t>
  </si>
  <si>
    <t>Israeli citizens blocking humanitarian aid from entering Gaza</t>
  </si>
  <si>
    <t>Israeli citizens, including whole families, are blocking humanitarian aid to Gaza at the Nitzana border crossing. IDF soldiers do not interfere.</t>
  </si>
  <si>
    <t>February 27, 2024</t>
  </si>
  <si>
    <t>Jeremy Loffredo (@loffredojeremy)</t>
  </si>
  <si>
    <t>Israel, Nitzana crossing</t>
  </si>
  <si>
    <t>Israeli Society, Humanitarian Aid, Food, Blockade</t>
  </si>
  <si>
    <t>Nitzana Border Crossing</t>
  </si>
  <si>
    <t>https://twitter.com/marwasf/status/1762590590737207562</t>
  </si>
  <si>
    <t>Torture and human shielding at the hands of the IDF</t>
  </si>
  <si>
    <t>Ramadan Shamlakh, a 21 year old man from the Gaza Strip, testifies how IDF soldiers entered into his apartment in Zeitoun, beat him and his brothers, used him as a human shield to enter other apartments and tortured him on site, before stripping him and commanding him to head South. Part of the injuries he sustained are still evident on his body during the interview.</t>
  </si>
  <si>
    <t>Marwa Fatafta (@marwasf)</t>
  </si>
  <si>
    <t>Arabic, English</t>
  </si>
  <si>
    <t>Torture, Human Shields, Civilians</t>
  </si>
  <si>
    <t>Gaza Strip, Zaytun Neighborhood</t>
  </si>
  <si>
    <t>https://twitter.com/mekomit/status/1768220704833446359</t>
  </si>
  <si>
    <t>Israeli activists confront Israeli citizens that block humanitarian help to Gaza</t>
  </si>
  <si>
    <t>Yotam Kipnis, whose parents were murdered on October 7, 2023 confronts right wing protesters at Ashdod port. The protestors block humanitarian aid to Gaza. Yotam confronts them on the issue and receives a humiliating response</t>
  </si>
  <si>
    <t>March 14, 2024</t>
  </si>
  <si>
    <t>Sicha Mekomit (@mekomit)</t>
  </si>
  <si>
    <t>Ashdod port</t>
  </si>
  <si>
    <t>Israeli Society, Humanitarian Aid, Religious Right, Blockade, Protest (Israel)</t>
  </si>
  <si>
    <t>Zazim</t>
  </si>
  <si>
    <t>Ashdod Port</t>
  </si>
  <si>
    <t>https://twitter.com/muhammadshehad2/status/1782029404916285857</t>
  </si>
  <si>
    <t>Israeli journalist says on air that all Gazans deserve death</t>
  </si>
  <si>
    <t>Israeli journalist Yehuda Shlezinger says on air at Channel 12 that there are no innocents in Gaza, and all Gazans deserve death.</t>
  </si>
  <si>
    <t>Muhammad Shehada (@muhammadshehad2)</t>
  </si>
  <si>
    <t>Incitement to Genocide, Journalists, Media, Israeli Society</t>
  </si>
  <si>
    <t>https://twitter.com/ozleisraelaza/status/1780525230064058757</t>
  </si>
  <si>
    <t>Soldiers state their intention to destroy Gaza</t>
  </si>
  <si>
    <t>IDF soldiers hold signs describing themselves as "soldiers of the army of the Jewish people" saying they will not remove their uniform until the destruction of Gaza is complete</t>
  </si>
  <si>
    <t>April 17, 2024</t>
  </si>
  <si>
    <t>IDF reservists - The Victory Generation (@ozleisraelaza)</t>
  </si>
  <si>
    <t>Incitement to Genocide, Destruction, Israeli Soldier Photos, Dehumanization</t>
  </si>
  <si>
    <t>https://twitter.com/shilofreid/status/1742919348401135788</t>
  </si>
  <si>
    <t>Israeli public figures call for blocking humanitarian aid to Gaza</t>
  </si>
  <si>
    <t>A letter signed by public figures on the political right and especially the religious Zionist movement sign a letter in which they call for blocking humanitarian aid to Gaza. The letter includes the signatures of 10 MKs</t>
  </si>
  <si>
    <t>January 4, 2024</t>
  </si>
  <si>
    <t>Shilo Freid (@shilofreid)</t>
  </si>
  <si>
    <t>Incitement to Genocide, Israeli Society, Humanitarian Aid, Blockade, Religious Right</t>
  </si>
  <si>
    <t>https://twitter.com/ytirawi/status/1742346460559995063</t>
  </si>
  <si>
    <t>IDF bulldozer demolishes a booth in the Gaza Strip</t>
  </si>
  <si>
    <t>An IDF bulldozer demolishes a booth, while a soldier laughs in the background. The video was uploaded to TikTok, probably by one of the soldiers.</t>
  </si>
  <si>
    <t>January 3, 2024</t>
  </si>
  <si>
    <t>Infrastructure, Vandalism, Abuse, Social Media, Demolition, Destruction, Israeli Soldier Movies</t>
  </si>
  <si>
    <t>https://twitter.com/ytirawi/status/1744296383174025397</t>
  </si>
  <si>
    <t>Detained Palestinians are forced to chant against Hamas</t>
  </si>
  <si>
    <t>Over a dozen of semi stripped detained men and children in Gaza are humiliatingly forced to chant against Hamas while standing in a truck</t>
  </si>
  <si>
    <t>Humiliation, Collective Punishment, Abuse, Captivity Conditions, Dehumanization, Israeli Soldier Movies, Civilians, Detainees</t>
  </si>
  <si>
    <t>https://twitter.com/ytirawi/status/1745427870216851736</t>
  </si>
  <si>
    <t>Gazan woman speaks of torture and humiliation at hands of IDF</t>
  </si>
  <si>
    <t>A woman testifies on beating, looting, and humiliation (inc. sexual) of Gazan women, including her children, by IDF soldiers</t>
  </si>
  <si>
    <t>January 11,2024</t>
  </si>
  <si>
    <t>Humiliation, Collective Punishment, Abuse, Confiscated Assets, Looting, Torture, Women, Sexual Violence, Testimony, Dehumanization</t>
  </si>
  <si>
    <t>https://twitter.com/ytirawi/status/1745973511301026092</t>
  </si>
  <si>
    <t>“Warning ! Do not throw lit cigarettes in the area”</t>
  </si>
  <si>
    <t>An IDF soldier posts a mocking video displaying a burning home in Khan Younis, superimposing a warning not to throw lit cigarettes over the video and showing himself throwing a cigarette towards the burning home.</t>
  </si>
  <si>
    <t>January 13, 2024</t>
  </si>
  <si>
    <t>Humiliation, Destruction, Social Media, Burning, Israeli Soldier Movies</t>
  </si>
  <si>
    <t>https://twitter.com/ytirawi/status/1746581304999542901</t>
  </si>
  <si>
    <t>A social media video of a soldier making fun of a destroyed house.</t>
  </si>
  <si>
    <t>IDF soldier posts a video to social media making light of the destruction of a home in Jabaliya.</t>
  </si>
  <si>
    <t>January 14, 2024</t>
  </si>
  <si>
    <t>Adir Avraham</t>
  </si>
  <si>
    <t>Destruction, Social Media, Israeli Soldier Movies, Dehumanization</t>
  </si>
  <si>
    <t>Gaza Strip, Jabaliya</t>
  </si>
  <si>
    <t>https://twitter.com/ytirawi/status/1746685595366125951</t>
  </si>
  <si>
    <t>IDF sniper poses with Palestinian women's undergarments</t>
  </si>
  <si>
    <t>An IDF sniper's social media photo of himself in a Palestinian home with a sniper rifle posing near Palestinian women's undergarments.</t>
  </si>
  <si>
    <t>January 15, 2024</t>
  </si>
  <si>
    <t>@_leviori_ on tiktok</t>
  </si>
  <si>
    <t>Humiliation, Social Media, Dehumanization, Sexual Violence, Abuse</t>
  </si>
  <si>
    <t>https://twitter.com/ytirawi/status/1748130778737729911</t>
  </si>
  <si>
    <t>IDF tank drives over a Gazan vehicle</t>
  </si>
  <si>
    <t>A video uploaded to social media depicts an Israeli tank running over a civilian car with a caption "It will be difficult to pass a vehicle inspection".</t>
  </si>
  <si>
    <t>January 19, 2024</t>
  </si>
  <si>
    <t>Michael Vodovozov</t>
  </si>
  <si>
    <t>Social Media, Vandalism, Destruction, Israeli Soldier Movies, Dehumanization</t>
  </si>
  <si>
    <t>https://twitter.com/ytirawi/status/1749272544975229438</t>
  </si>
  <si>
    <t>A soldier jokes about opening a shoe store in place of a destroyed house</t>
  </si>
  <si>
    <t>A soldier uploaded a video of himself jokingly advertising a new shoe store branch in place of a destroyed house</t>
  </si>
  <si>
    <t>January 22 2024</t>
  </si>
  <si>
    <t>Social Media, Humiliation, Destruction, Israeli Soldier Movies, Dehumanization</t>
  </si>
  <si>
    <t>Gaza Strip, Gaza City</t>
  </si>
  <si>
    <t>https://twitter.com/ytirawi/status/1749795644532035602</t>
  </si>
  <si>
    <t>An IDF soldier jokes about an abandoned and destroyed neighborhood</t>
  </si>
  <si>
    <t>A social media video in which a soldier jokes about an empty neighborhood in Khan Younis and promises to destroy everyone</t>
  </si>
  <si>
    <t>January 23, 2024</t>
  </si>
  <si>
    <t>Adisu Avraham</t>
  </si>
  <si>
    <t>Social Media, Humiliation, Destruction, Israeli Soldier Movies, Incitement to Violence, Dehumanization</t>
  </si>
  <si>
    <t>Khan Younis, Gaza Strip</t>
  </si>
  <si>
    <t>https://twitter.com/ytirawi/status/1750197302579343870</t>
  </si>
  <si>
    <t>IDF soldiers joke about the burning of Gaza</t>
  </si>
  <si>
    <t>A social media video of two IDF soldiers. One is lighting a cigarette and the other is asking him why is he doing that, since he has already burned down all of Gaza. The other replies that sometimes you just have to smoke.</t>
  </si>
  <si>
    <t>Social Media, Burning, Destruction, Israeli Soldier Movies, Dehumanization</t>
  </si>
  <si>
    <t>https://twitter.com/ytirawi/status/1750540763413287350</t>
  </si>
  <si>
    <t>IDF soldiers cheering while blowing up buildings in Khan Younis</t>
  </si>
  <si>
    <t>A social media video of IDF soldiers cheering while they detonate 400 mines in Khan Younis</t>
  </si>
  <si>
    <t>January 25, 2024</t>
  </si>
  <si>
    <t>Social Media, Domicide, Destruction, Israeli Soldier Movies, Dehumanization</t>
  </si>
  <si>
    <t>https://twitter.com/ytirawi/status/1750627849948532763</t>
  </si>
  <si>
    <t>IDF soldiers post social media clips from Gaza</t>
  </si>
  <si>
    <t>Two social media videos in which IDF soldiers cheer on the destruction around them.</t>
  </si>
  <si>
    <t>@idomalkamusic and @a0534153742 on tiktok</t>
  </si>
  <si>
    <t>Social Media, Israeli Soldier Movies, Destruction, Dehumanization</t>
  </si>
  <si>
    <t>https://twitter.com/ytirawi/status/1750782757326795020</t>
  </si>
  <si>
    <t>IDF soldiers post on social media</t>
  </si>
  <si>
    <t>Three social media videos. Two of them are of IDF soldiers demolishing houses. In the third video, a soldier tries to balance a motorcycle on a pillar of a demolished house.</t>
  </si>
  <si>
    <t>@yossiasafdvash578 on tiktok</t>
  </si>
  <si>
    <t>Gaza Strip, Khan Younis</t>
  </si>
  <si>
    <t>https://twitter.com/ytirawi/status/1751618405453422875</t>
  </si>
  <si>
    <t>IDF soldiers shooting missiles at random houses</t>
  </si>
  <si>
    <t>A social media video with fragments of a soldier's life in Gaza. Contains a writing on the wall that says "The explosion is dedicated to IDF values", and shooting a missile into a house immediately afterwards.</t>
  </si>
  <si>
    <t>January 28, 2024</t>
  </si>
  <si>
    <t>Emil Tatanov</t>
  </si>
  <si>
    <t>Social Media, Vandalism, Domicide, Israeli Soldier Movies, Destruction, Dehumanization</t>
  </si>
  <si>
    <t>https://twitter.com/ytirawi/status/1752258519900766489</t>
  </si>
  <si>
    <t>IDF soldier's image of Gazan prisoners</t>
  </si>
  <si>
    <t>A photo of a group of a few dozen Gazans wearing white suits, blindfolded and tied up.</t>
  </si>
  <si>
    <t>Social Media, Humiliation, Dehumanization, Israeli Soldier Photos</t>
  </si>
  <si>
    <t>https://twitter.com/ytirawi/status/1753158451734220834</t>
  </si>
  <si>
    <t>IDF soldier fires a missile at a house</t>
  </si>
  <si>
    <t>A social media video depicts a soldier firing a missile into a house. No battle appears to be taking place.</t>
  </si>
  <si>
    <t>Social Media, Domicide, Destruction, Israeli Soldier Movies, Indiscriminate Shooting, Dehumanization</t>
  </si>
  <si>
    <t>https://twitter.com/ytirawi/status/1753422534555427299</t>
  </si>
  <si>
    <t>IDF soldiers occupy a house in Gaza and laugh about it</t>
  </si>
  <si>
    <t>A social media video of an Israeli internet celebrity, Alex Schultz inside Gaza making fun of a destroyed house</t>
  </si>
  <si>
    <t>February 2, 2024</t>
  </si>
  <si>
    <t>https://twitter.com/ytirawi/status/1753536164085010674</t>
  </si>
  <si>
    <t>IDF soldiers making fun of a destroyed hospital</t>
  </si>
  <si>
    <t>A social media video of soldiers making fun of the destroyed Hamed rehabilitation hospital in Gaza.</t>
  </si>
  <si>
    <t>Hamed Rehabilitation Hospital, Gaza City</t>
  </si>
  <si>
    <t>Social Media, Vandalism, Destruction, Hospital, Israeli Soldier Movies, Public Health, Dehumanization</t>
  </si>
  <si>
    <t>https://twitter.com/ytirawi/status/1753536576791970148</t>
  </si>
  <si>
    <t>IDF soldiers throwing food at a building in Gaza</t>
  </si>
  <si>
    <t>A social media video of soldiers throwing food for fun, while humanitarian aid to Gaza is being blocked.</t>
  </si>
  <si>
    <t>Social Media, Humiliation, Food, Israeli Soldier Movies, Dehumanization</t>
  </si>
  <si>
    <t>https://twitter.com/ytirawi/status/1754553057696784519</t>
  </si>
  <si>
    <t>IDF soldiers joking inside a destroyed school</t>
  </si>
  <si>
    <t>A social media video of a soldier inside a destroyed school mocking Gazans, pretending he is the school principal.</t>
  </si>
  <si>
    <t>February 5, 2024</t>
  </si>
  <si>
    <t>Social Media, Humiliation, Schools, Israeli Soldier Movies, Destruction, Dehumanization</t>
  </si>
  <si>
    <t>https://twitter.com/ytirawi/status/1755891061015064836</t>
  </si>
  <si>
    <t>IDF soldiers humiliate three blindfolded Gazans</t>
  </si>
  <si>
    <t>A social media video of IDF officers forcing three blindfolded and tied Gazans to sing a song mocking them.</t>
  </si>
  <si>
    <t>February 9, 2024</t>
  </si>
  <si>
    <t>Social Media, Humiliation, Israeli Soldier Movies, Destruction, Dehumanization</t>
  </si>
  <si>
    <t>https://twitter.com/ytirawi/status/1756458915473105113</t>
  </si>
  <si>
    <t>IDF soldiers shoot a missile at a random house</t>
  </si>
  <si>
    <t>A TikTok video of IDF soldiers shooting a missile at a random house, seemingly for their amusement</t>
  </si>
  <si>
    <t>February 10, 2024</t>
  </si>
  <si>
    <t>Social Media, Domicide, Israeli Soldier Movies, Destruction, Indiscriminate Shooting, Dehumanization</t>
  </si>
  <si>
    <t>https://x.com/BeckyCNN/status/1832069899780325818</t>
  </si>
  <si>
    <t>CNN's Becky Anderson on Israel's "mowing the lawn" policy</t>
  </si>
  <si>
    <t>Becky Anderson of CNN recounts hearing numerous Israeli officials over her 25-year tenure endorse Israel's "mowing the grass" (or "mowing the lawn") policy regarding Palestinians in the occupied territories—a strategy she says heavily influences Israel's military approach and is often used to describe its operations there, citing statements by then-Defense Minister Yoav Gallant, former PM Naftali Bennett, and Bar-Ilan professors Efraim Inbar (President of the Jerusalem Institute for Strategy and Security) and Eitan Shamir (head of the Begin-Sadat Center for Strategic Studies).</t>
  </si>
  <si>
    <t>September 6, 2024</t>
  </si>
  <si>
    <t>Becky Anderson (@BeckyCNN)</t>
  </si>
  <si>
    <t>https://x.com/i/status/1832069899780325818</t>
  </si>
  <si>
    <t>Ethnic Cleansing, Media, Dehumanization</t>
  </si>
  <si>
    <t>Palestinian Authority, Israeli Government, IDF (Israel Defense Forces)</t>
  </si>
  <si>
    <t>Yoav Gallant</t>
  </si>
  <si>
    <t>https://x.com/AbuLocation/status/1858843252469772678</t>
  </si>
  <si>
    <t>Mass detention of Palestians by IDF</t>
  </si>
  <si>
    <t>Geolocation #100: Palestinan detainees stripped in cold weather and loaded onto trucks at Kamal Adwan hospital. Geolocaion: 31.539042, 34.500735</t>
  </si>
  <si>
    <t>Abu Location (@AbuLocation)</t>
  </si>
  <si>
    <t>https://x.com/AbujomaaGaza/status/1858833972425273645</t>
  </si>
  <si>
    <t>Humiliation, Hospital, Dehumanization, Detainees</t>
  </si>
  <si>
    <t>https://x.com/AbuLocation/status/1859513065697374658</t>
  </si>
  <si>
    <t>Rubble of 2 buildings destroyed in bombing raid.</t>
  </si>
  <si>
    <t>Geolocation #104: Rubble of 2 buildings in the block across the street to the West of Kamal Adwan Hospital in Beit Lahia. Attack killed at least 30. Geolocation: 31.539042, 34.500735</t>
  </si>
  <si>
    <t>https://x.com/PalinfoAr/status/1859483002822168743</t>
  </si>
  <si>
    <t>Bombing, Destruction, Air Strike</t>
  </si>
  <si>
    <t>Kamal Adwan Hospital , North Gaza, Beit Lahiya</t>
  </si>
  <si>
    <t>https://x.com/AbuLocation/status/1861431831444226331</t>
  </si>
  <si>
    <t>11 killed in strike on Al Hurriya school, Zaytun neighborhood, Gaza City</t>
  </si>
  <si>
    <t>Geolocation #109: Internally Displaced Persons' shelter at the Hurriya School for Boys in Zaytun neighborhood hit in strike. 11 Palestinans killed including children. Geolocation: 31.499273, 34.460322.</t>
  </si>
  <si>
    <t>November 26, 2024</t>
  </si>
  <si>
    <t>https://x.com/PalinfoAr/status/1861393952328253760</t>
  </si>
  <si>
    <t>Zaytun Neighborhood, Gaza City</t>
  </si>
  <si>
    <t>Civilians, Air Strike, Children, Forced Displacement, Schools, Bombing</t>
  </si>
  <si>
    <t>Gaza City, Zaytun Neighborhood</t>
  </si>
  <si>
    <t>https://x.com/AbuLocation/status/1861686736474050797</t>
  </si>
  <si>
    <t>A strong and horrific stike on IDP shelter in Gaza City</t>
  </si>
  <si>
    <t>Geolocation #110: A strong and horrific strike on Internally Displaced Persons shelter in which at least 10 Palestinans killed, mostly children. A-Tabiin school, Al Daraj Quarter, Gaza City. Geolocation: 31.518553, 34.464248.</t>
  </si>
  <si>
    <t>November 27, 2024</t>
  </si>
  <si>
    <t>https://x.com/qudsn/status/1861667943991439635</t>
  </si>
  <si>
    <t>Video, Text, Photo</t>
  </si>
  <si>
    <t>Air Strike, Children, Disturbing Content, Schools, Forced Displacement</t>
  </si>
  <si>
    <t>https://www.mako.co.il/press_and_marketing-news_press/Article-fc827fb13af7191027.htm</t>
  </si>
  <si>
    <t>After her remarks in Japan, Noa Argamani clarifies: "Things were taken out of context. I will not be a victim of the media as well."</t>
  </si>
  <si>
    <t>Noa Argamani, released after 246 days in Hamas captivity, speaks about her ordeal and criticizes the Israeli media for misrepresenting her statements regarding injuries she incurred following an Israeli Airforce bombardment of the structure her captors held her in. Hebrew press mistranslated her statement, claiming she reported her captors beating her and cutting her hair.</t>
  </si>
  <si>
    <t>August 23, 2024</t>
  </si>
  <si>
    <t>August 22, 2024</t>
  </si>
  <si>
    <t>Mako</t>
  </si>
  <si>
    <t>Captivity Conditions, Media, Hostages, Violence, Air Strike, Hostage Rescue Operation</t>
  </si>
  <si>
    <t>https://www.calcalist.co.il/local_news/article/s1lxz6uvs</t>
  </si>
  <si>
    <t>The demographics speak: today's youth are much more right-wing.</t>
  </si>
  <si>
    <t>The article discusses the demographic trends among young voters in Israel, highlighting a significant shift towards right-wing political preferences compared to older generations.</t>
  </si>
  <si>
    <t>October 27, 2022</t>
  </si>
  <si>
    <t>Calcalist</t>
  </si>
  <si>
    <t>Shahar Ilan</t>
  </si>
  <si>
    <t>Israeli Society, Public Opinion, Israeli Far Right</t>
  </si>
  <si>
    <t>Israeli Government, Tag 2 - Countries &amp; Organizations</t>
  </si>
  <si>
    <t>https://www.ynet.co.il/news/election2022/article/s1ar9pebi</t>
  </si>
  <si>
    <t>Counting double envelopes: Meretz moves further from the electoral threshold, the Religious Zionist party gains strength</t>
  </si>
  <si>
    <t>The counting of so-called double envelopes used for voters voting away from their designated polling stations is ongoing, with the left-wing party Meretz at risk of failing to cross the electoral threshold for the first time in its history. The National Religious Party-Religious Zionism, led by Betzalel Smotrich and Itamar Ben Gvir, has a particularly strong showing among double envelope votes.</t>
  </si>
  <si>
    <t>November 3, 2022</t>
  </si>
  <si>
    <t>Yaron Drukman, Moran Azulay</t>
  </si>
  <si>
    <t>Bezalel Smotritch, Itamar Ben-Gvir, Benjamin Netanyahu, Yair Lapid</t>
  </si>
  <si>
    <t>https://www.bbc.com/news/world-middle-east-68349031.amp</t>
  </si>
  <si>
    <t>Israel-Gaza war: World Food Programme stops deliveries to northern Gaza</t>
  </si>
  <si>
    <t>The World Food Programme has halted food deliveries to northern Gaza due to escalating violence and chaos, exacerbating the humanitarian crisis in the region.</t>
  </si>
  <si>
    <t>February 20, 2024</t>
  </si>
  <si>
    <t>BBC</t>
  </si>
  <si>
    <t>BBC News</t>
  </si>
  <si>
    <t>Journalistic Report</t>
  </si>
  <si>
    <t>Food, Humanitarian Crisis, Malnutrition, Water, Children, Humanitarian Aid, Sexual Violence, Detainees</t>
  </si>
  <si>
    <t>World Food Programme, UN (United Nations), UNRWA (The UN Relief and Works Agency for Palestine Refugees), UNICEF (United Nations Children's Fund)</t>
  </si>
  <si>
    <t>North Gaza, Gaza City, Khan Younis, Deir al Balah</t>
  </si>
  <si>
    <t>https://webtv.un.org/en/asset/k1x/k1xkc2nwph</t>
  </si>
  <si>
    <t>OCHA: Press Conference - Humanitarian situation in OPT</t>
  </si>
  <si>
    <t>UN Humanitarian Coordinator (interim) in the OPT, Jamie McGoldrick, briefs the press upon his return from Gaza in light of the impending Rafah invasion</t>
  </si>
  <si>
    <t>April 12, 2024</t>
  </si>
  <si>
    <t>OCHA (UN office for the Coordination of Humanitarian Affairs)</t>
  </si>
  <si>
    <t>Jamie McGoldrick</t>
  </si>
  <si>
    <t>Testimony</t>
  </si>
  <si>
    <t>Forced Displacement, Testimony, Humanitarian Aid, Humanitarian Crisis</t>
  </si>
  <si>
    <t>OCHA (UN Office for the Coordination of Humanitarian Affairs)</t>
  </si>
  <si>
    <t>Rafah, Gaza Strip</t>
  </si>
  <si>
    <t>https://x.com/ytirawi/status/1796239229779062919</t>
  </si>
  <si>
    <t>IDF soldier torches items</t>
  </si>
  <si>
    <t>IDF soldier stands near small blaze of items at what appears to be a private home.</t>
  </si>
  <si>
    <t>Burning, Israeli Soldier Photos, Dehumanization</t>
  </si>
  <si>
    <t>https://x.com/ytirawi/status/1796637726835446048</t>
  </si>
  <si>
    <t>IDF soldiers loot cash in Gaza City</t>
  </si>
  <si>
    <t>IDF soldiers photographed displaying a few bills they apparently found in a Palestinian home</t>
  </si>
  <si>
    <t>Looting, Israeli Soldier Photos, Dehumanization</t>
  </si>
  <si>
    <t>https://x.com/ytirawi/status/1796840765189988723</t>
  </si>
  <si>
    <t>IDF soldier photographed while burning a house in Gaza City</t>
  </si>
  <si>
    <t>IDF soldier photographed burning a house in Gaza City while making two middle finger gestures toward it. Caption reads "astalavista".</t>
  </si>
  <si>
    <t>Burning, Israeli Soldier Photos, Dehumanization, Torching Houses</t>
  </si>
  <si>
    <t>https://x.com/ytirawi/status/1796999248841453615</t>
  </si>
  <si>
    <t>IDF soldiers pose in front of torched homes in Gaza City (4 cases)</t>
  </si>
  <si>
    <t>Several images show IDF soldiers documenting themselves smiling and posing in front of torched homes in Gaza City.</t>
  </si>
  <si>
    <t>https://x.com/ytirawi/status/1797962472399532407</t>
  </si>
  <si>
    <t>IDF soldiers seen playing, sleeping, and posing in homes in Gaza. Additional content in the thread shows soldiers destroying houses and torching them.</t>
  </si>
  <si>
    <t>Photos show IDF soldiers inside Palestinian homes in Gaza, interacting with children's toys and lying in beds. The thread continues with videos of destruction of houses and posing in front of torched houses.</t>
  </si>
  <si>
    <t>June 4, 2024</t>
  </si>
  <si>
    <t>Vandalism, Israeli Soldier Photos, Civilians, Destruction, Israeli Soldier Movies, Torching Houses, Burning</t>
  </si>
  <si>
    <t>https://twitter.com/RamAbdu/status/1765386577855791185</t>
  </si>
  <si>
    <t>Detainees humiliated by “Hamas Hunting Club” group within the IDF</t>
  </si>
  <si>
    <t>Photos shared by a group named "Hamas Hunting Club" depict about a dozen detainees being humiliated, stripped naked, and wrapped in the Israeli flag. The patch of the Club is being displayed.</t>
  </si>
  <si>
    <t>March 6, 2024</t>
  </si>
  <si>
    <t>War Crimes, Torture, Social Media, Religious Right, Humiliation, Collective Punishment, Captivity Conditions, Civilians, Abuse, Detainees</t>
  </si>
  <si>
    <t>https://x.com/HossamShabat/status/1857078038858531087</t>
  </si>
  <si>
    <t>IDF attacks Salahadin School/FDP shelter in Gaza City</t>
  </si>
  <si>
    <t>IDF attacks shelter where many displaced Palestinians sought refuge. The attack was part of the late 2024 large operation in North Gaza</t>
  </si>
  <si>
    <t>November 14, 2024</t>
  </si>
  <si>
    <t>Hossam Shabat (@HossamShabat)</t>
  </si>
  <si>
    <t>Schools, Forced Displacement, Air Strike, Scholasticide, Civilians</t>
  </si>
  <si>
    <t>https://x.com/HossamShabat/status/1857096991961985095</t>
  </si>
  <si>
    <t>An elderly Gazan wishes for death</t>
  </si>
  <si>
    <t>An elderly man declares that death would be preferable to constant forced displacement and poor living conditions.</t>
  </si>
  <si>
    <t>Forced Displacement, Bombing, Children, Civilians, Water, Food</t>
  </si>
  <si>
    <t>https://twitter.com/ytirawi/status/1756754492790349978</t>
  </si>
  <si>
    <t>A released female detainee gives her testimony</t>
  </si>
  <si>
    <t>A female detainee returned to Gaza describes how she was treated. She was taken from Amro Bin As school in Gaza City, blindfolded, humiliated and beaten several times. According to her testimony she was threatened by a gun and forced to kiss the Israeli flag.</t>
  </si>
  <si>
    <t>February 11, 2024</t>
  </si>
  <si>
    <t>December 14, 2023</t>
  </si>
  <si>
    <t>https://www.reuters.com/world/middle-east/palestinian-woman-says-she-was-mistreated-after-israel-detained-her-gaza-2024-02-09/</t>
  </si>
  <si>
    <t>Abuse, Torture, Humiliation, Palestinian Testimony, Testimony, Violence, Women, Captivity Conditions</t>
  </si>
  <si>
    <t>Gaza Strip, Israel, Gaza City</t>
  </si>
  <si>
    <t>https://twitter.com/ytirawi/status/1757094979460067773</t>
  </si>
  <si>
    <t>IDF soldiers pose with lingerie in Gaza</t>
  </si>
  <si>
    <t>A photo of a group of soldiers holding lingerie in a partially destroyed house held by the IDF.</t>
  </si>
  <si>
    <t>February 12, 2024</t>
  </si>
  <si>
    <t>Social Media, Humiliation, Women, Israeli Soldier Photos, Dehumanization</t>
  </si>
  <si>
    <t>https://twitter.com/ytirawi/status/1757155595877032104</t>
  </si>
  <si>
    <t>An IDF officer gives command to demolish houses.</t>
  </si>
  <si>
    <t>A social media video of an IDF officer commanding a soldier in a bulldozer to demolish a few houses.</t>
  </si>
  <si>
    <t>January 31, 2024</t>
  </si>
  <si>
    <t>Social Media, Domicide, Israeli Soldier Movies, Destruction, Dehumanization</t>
  </si>
  <si>
    <t>https://twitter.com/ytirawi/status/1757163079207358570</t>
  </si>
  <si>
    <t>A social media thread with a few videos and an image generally focused on destruction.</t>
  </si>
  <si>
    <t>A video of a soldier launching a grenade at a building and laughing while there is no ongoing battle. Other videos in the thread show the destruction of multiple buildings by explosion and a bulldozer. An image includes a group of soldiers posing outside the Indonesian hospital.</t>
  </si>
  <si>
    <t>February 8, 2024</t>
  </si>
  <si>
    <t>Social Media, Domicide, Vandalism, Israeli Soldier Movies, Hospital, Indiscriminate Shooting, Destruction, Demolition, Dehumanization</t>
  </si>
  <si>
    <t>Gaza Strip, Jabaliya, Gaza City, The Indonesian Hospital</t>
  </si>
  <si>
    <t>https://twitter.com/ytirawi/status/1759307381169701366</t>
  </si>
  <si>
    <t>A video and image of an IDF soldier inside a destroyed coffee house</t>
  </si>
  <si>
    <t>A picture of IDF soldiers sitting inside a destroyed coffee house with a caption that says "Bad servce, long wait for the coffee".</t>
  </si>
  <si>
    <t>February 18, 2024</t>
  </si>
  <si>
    <t>February 16, 2024</t>
  </si>
  <si>
    <t>Social Media, Israeli Soldier Photos, Dehumanization</t>
  </si>
  <si>
    <t>https://x.com/Dr_Muneer1/status/1860616353297690877</t>
  </si>
  <si>
    <t>Director of Kamal Adwan Hospital Dr Hussam Abu Safiya was injured in an attack on the hospital</t>
  </si>
  <si>
    <t>A video of Dr Abu Safiya who was injured in attack on Kamal Adwan hospital as part of the late 2024 major operation in North Gaza. Abu Safiyeh reaffirms his commitment to continue providing care despite Israel targeted attack and calls for the world support</t>
  </si>
  <si>
    <t>Dr Muneer Albourah (@Dr_Muneer1)</t>
  </si>
  <si>
    <t>Public Health, Healthcare Workers, Hospital, Civilians, Public Opinion</t>
  </si>
  <si>
    <t>https://x.com/Dr_Muneer1/status/1860727752267063532</t>
  </si>
  <si>
    <t>Director of Kamal Adwan Hospital Dr Hussam Abu Safiya in need of urgent treatment after his injury</t>
  </si>
  <si>
    <t>Dr Hossam Abu Safia describes his injury and pleads for allowing urgent humanitarian care to reach the besieged hospital and for the world to stop Israel's attacks on the healthcare system.</t>
  </si>
  <si>
    <t>Healthcare Workers, Hospital, Palestinian Testimony, Civilians, Public Health, Humanitarian Aid, Humanitarian Crisis, Medicine, Public Opinion</t>
  </si>
  <si>
    <t>https://x.com/Dr_Muneer1/status/1860773982770716878</t>
  </si>
  <si>
    <t>Director of Kamal Adwan Hospital Dr Hussam Abu Safiya speaks from his hospital bed as part of a demonstration against attacks on healthcare</t>
  </si>
  <si>
    <t>US State Department lists changes Israel has made since the U.S. demanded increased humanitarian aid to Gaza with less than a week until deadline</t>
  </si>
  <si>
    <t>Healthcare Workers, Public Health, Hospital, Medicine, Air Strike, Bombing, Captivity Conditions, Civilians, Drone / Quadcopter, Humanitarian Aid, Humanitarian Law, Humanitarian Crisis, Public Opinion, Protest (Palestinians)</t>
  </si>
  <si>
    <t>https://x.com/Dr_Muneer1/status/1862459637301174377</t>
  </si>
  <si>
    <t>A doctor killed in front of the gate of Kamal Adwan hospital as he was coming to work</t>
  </si>
  <si>
    <t>Dr. Ahmed Al-Kahlout, Director of the Intensive Care Unit at Kamal Adwan Hospital, was killed in front of the gate of the Hospital.</t>
  </si>
  <si>
    <t>Public Health, Healthcare Workers, Hospital</t>
  </si>
  <si>
    <t>https://x.com/DropSiteNews/status/1850011191281652154</t>
  </si>
  <si>
    <t>Israeli General (ret.) Giora Eiland on his plan for Gaza</t>
  </si>
  <si>
    <t>Gen (Res) Eiland, who fathered a plan which involved starving Gazans into evactuating from North Gaza, criticizes the IDF for not evacuating civilians before invading. Claims he wishes to save civillian lives with his plan.</t>
  </si>
  <si>
    <t>October 26, 2024</t>
  </si>
  <si>
    <t>Dropsite News (@DropSiteNews)</t>
  </si>
  <si>
    <t>Channel 4</t>
  </si>
  <si>
    <t>Starvation, Forced Displacement, Humanitarian Aid, Interview</t>
  </si>
  <si>
    <t>Hamas, Israeli Government, IDF (Israel Defense Forces), UNRWA (The UN Relief and Works Agency for Palestine Refugees)</t>
  </si>
  <si>
    <t>Benjamin Netanyahu, Giora Eiland</t>
  </si>
  <si>
    <t>https://x.com/DropSiteNews/status/1852547862036455896</t>
  </si>
  <si>
    <t>More than 50 children among 84 Palestinians killed in two Israeli strikes in northern Gaza</t>
  </si>
  <si>
    <t>More than 50 children among 84 Palestinians killed in two Israeli strikes in northern Gaza. 15 Humanitarian organizations warn that entire population in North Gaza is at imminent risk from disease, famine and violence. Footage of attack on a school housing displaced people.</t>
  </si>
  <si>
    <t>November 2, 2024</t>
  </si>
  <si>
    <t>Al Jazeera</t>
  </si>
  <si>
    <t>Nuseirat Camp, North Gaza</t>
  </si>
  <si>
    <t>Air Strike, Civilians, Disease, Forced Displacement, Malnutrition, Starvation, Violence, Schools, Humanitarian Crisis</t>
  </si>
  <si>
    <t>IDF (Israel Defense Forces), OCHA (UN Office for the Coordination of Humanitarian Affairs), Zazim, UN (United Nations)</t>
  </si>
  <si>
    <t>North Gaza, Nuseirat Refugee Camp</t>
  </si>
  <si>
    <t>https://x.com/DropSiteNews/status/1853830231259263091</t>
  </si>
  <si>
    <t>IDF Claims that six children injured and infrastructure damaged at Kamal Adwan Hospital due to "terrorists organization" explosive device</t>
  </si>
  <si>
    <t>IDF Claims that six children injured and infrastructure damaged at Kamal Adwan Hospital due to "terrorists organization" explosive device. Kamal Adwan Director Dr. Hussam Abu Safiya reports that shortly after WHO personnel arrived to evacuate the injured, Israeli forces resumed heavy attacks, injuring additional children. Dr. Sabbah, Director of Nursing at Kamal Adwan reported that heavy bombardment continued, targeting infrastructure and intensive care unit. IDF via COGAT claims the damage was caused by "terrorist" explosion in area, while humanitarian convoy evacuated patients and staff to other hospitals. Post includes graphic footage of attack.</t>
  </si>
  <si>
    <t>November 3, 2024</t>
  </si>
  <si>
    <t>Air Strike, Children, Hospital, Water, Electricity, Medicine, Healthcare Workers, Terrorism, Public Health, Infrastructure, Palestinian Testimony, Testimony</t>
  </si>
  <si>
    <t>Gaza Health Ministry, IDF (Israel Defense Forces), WHO (World Health Organization)</t>
  </si>
  <si>
    <t>Kamal Adwan Hospital, Beit Lahiya, North Gaza, Gaza Strip</t>
  </si>
  <si>
    <t>https://x.com/DropSiteNews/status/1854626313195438140</t>
  </si>
  <si>
    <t>US State Department spokesperson lists changes Israel has made since US demanded increased humanitarian aid to Gaza in a letter from Secretary of State Anthony Blinken, with less than a week until the deadline for changes. Spokesperson confirms Israel has not met initial deadline to discuss civilian harm channel. No indication of repercussions.</t>
  </si>
  <si>
    <t>October 1, 2024</t>
  </si>
  <si>
    <t>United States Department of State</t>
  </si>
  <si>
    <t>Humanitarian Aid, Food, Water, Blockade, Official Statement</t>
  </si>
  <si>
    <t>Gaza Strip, North Gaza</t>
  </si>
  <si>
    <t>Antony Blinken</t>
  </si>
  <si>
    <t>https://x.com/DropSiteNews/status/1856729271470813497</t>
  </si>
  <si>
    <t>Blinken Hails Success of Letter Demanding Israel Improve Humanitarian Supply to Gaza</t>
  </si>
  <si>
    <t>Despite warnings of imminent famine, US Secretary of State Blinken claims his letter to Israel advancing aid has been a success. Blinken calls for "real and extended pauses" in fighting and pressure on Hamas to release the hostages and accept US\Israel programs to end the war. The announcement comes as aid agencies on the ground describe the situation as “catastrophic" and that the vast majorit of criteria laid out in the letter were not met.</t>
  </si>
  <si>
    <t>Humanitarian Aid, Looting, Ceasefire, Hostage Deal, Hostages, Official Statement, Humanitarian Crisis</t>
  </si>
  <si>
    <t>US Department of State, United States, Hamas, Israeli Government</t>
  </si>
  <si>
    <t>Antony Blinken, Joe Biden</t>
  </si>
  <si>
    <t>https://x.com/DropSiteNews/status/1857291886014206402</t>
  </si>
  <si>
    <t>Sky News Reports on Ethnic Cleansing in northern Gaza</t>
  </si>
  <si>
    <t>A report on the repeated displacements, repeated air strikes and lack of humanitarian aid of Palestinians in northern Gaza, following some as they escape to the so-called safe zone in al-Mawasi. Reporter Alistair Bunkall interviews Maj. Gen. (Ret.) Giora Eiland, author of the so-called General's Plan who claims the threat of starvation is the most effective way to conquer Northern Gaza, and that the goal of said plan is to conquer territory as leverage in order to pressure Hamas to release Israeli hostages. Report also includes a video of an Israeli drone strike near the coast of northern Gaza, with what appears to be sounds of Israeli soldier laughing and mocking.</t>
  </si>
  <si>
    <t>November 15, 2024</t>
  </si>
  <si>
    <t>Sky News</t>
  </si>
  <si>
    <t>Bombing, Forced Displacement, Hostages, Hostage Deal, Looting, Starvation, Demolition, Ethnic Cleansing, Humanitarian Crisis, Journalistic Report, Destruction, Blockade</t>
  </si>
  <si>
    <t>Hamas, Israeli Government, IDF (Israel Defense Forces)</t>
  </si>
  <si>
    <t>Giora Eiland</t>
  </si>
  <si>
    <t>https://x.com/EuroMedHR/status/1850132619066855815</t>
  </si>
  <si>
    <t>IDF raids Kamal Adwan Hospital</t>
  </si>
  <si>
    <t>After repeated bombings, the IDF stormed the hospital, home to over 150 children, and forced everyone to assemble in the courtyard, including medical personnel, patients and others.</t>
  </si>
  <si>
    <t>Euro-Med Monitor (@EuroMedHR)</t>
  </si>
  <si>
    <t>Children, Civilians, Ground Operation, Bombing, Hospital, Healthcare Workers, Humanitarian Law, Infants</t>
  </si>
  <si>
    <t>https://x.com/ForensicArchi/status/1860005331897622954</t>
  </si>
  <si>
    <t>Forensic Architecture: Ethnic cleansing unfolding in Northern Gaza</t>
  </si>
  <si>
    <t>Forensic Architecture group analyzes the intensification of military tactics to enforce population displacement in Northern Gaza. Aid remains obstructed leading to engineered famine.</t>
  </si>
  <si>
    <t>November 22, 2024</t>
  </si>
  <si>
    <t>November 22 2024</t>
  </si>
  <si>
    <t>Forensic Architecture (@ForensicArchi)</t>
  </si>
  <si>
    <t>Ethnic Cleansing, Forced Displacement, Hospital, Humanitarian Aid, Starvation, Ground Operation, Analysis, War Crimes</t>
  </si>
  <si>
    <t>Jabaliya, North Gaza, Netzarim Corridor</t>
  </si>
  <si>
    <t>https://x.com/HossamShabat/status/1848810576828305645</t>
  </si>
  <si>
    <t>No aid has entered North Gaza in 21 days</t>
  </si>
  <si>
    <t>Gazan journalist accuses Israeli and American governments of spreading inaccurate information on humanitarian aid entrance to Gaza. Contrary to claims no aid has entered the beseiged area for 21 days.</t>
  </si>
  <si>
    <t>Humanitarian Aid, Collective Punishment, Blockade, Food, Journalists, Testimony, Social Media</t>
  </si>
  <si>
    <t>Israeli Government, United States</t>
  </si>
  <si>
    <t>https://x.com/HossamShabat/status/1849182435994427434</t>
  </si>
  <si>
    <t>Civil Defense in North Gaza collapses</t>
  </si>
  <si>
    <t>Civil defense in Gaza declares cessation of all humanitarian activities following IDF operations and attacks. Some Civil Defense members were detained and others were targeted. They appeal to international community to intervene.</t>
  </si>
  <si>
    <t>North Gaza, Beth Lahiya, Kamal Adwan, Sheikh Zayed</t>
  </si>
  <si>
    <t>Blockade, Ground Operation, Hospital, Healthcare Workers, Humanitarian Aid, Official Statement, Protest (Palestinians)</t>
  </si>
  <si>
    <t>North Gaza, Beit Lahiya, Kamal Adwan Hospital</t>
  </si>
  <si>
    <t>https://x.com/HossamShabat/status/1849682158387974236</t>
  </si>
  <si>
    <t>IDF raids Kamal Adwan</t>
  </si>
  <si>
    <t>The IDF gathered the wounded and their companions in the hospital courtyard, separating the men from the women</t>
  </si>
  <si>
    <t>Civilians, Ground Operation, Healthcare Workers, Hospital, Women</t>
  </si>
  <si>
    <t>https://x.com/HossamShabat/status/1851452023117660582</t>
  </si>
  <si>
    <t>Israel is blocking water from going into Gaza</t>
  </si>
  <si>
    <t>The Israeli Government is deliberately using starvation as a tool of war</t>
  </si>
  <si>
    <t>Blockade, Starvation, Water, Humanitarian Crisis, Collective Punishment, Humanitarian Aid, Testimony</t>
  </si>
  <si>
    <t>https://x.com/HossamShabat/status/1854229496401932557</t>
  </si>
  <si>
    <t>IDF detains dozens of men from North Gaza</t>
  </si>
  <si>
    <t>Dozens of prisoners in North Gaza are numbered and blindfolded then taken to unknown locations. According to this post, "many" are executed.</t>
  </si>
  <si>
    <t>Captivity Conditions, Humiliation, Detainees, Execution</t>
  </si>
  <si>
    <t>Israeli Government, Israeli Incarceration System, IDF (Israel Defense Forces)</t>
  </si>
  <si>
    <t>https://x.com/HossamShabat/status/1854585378122133633</t>
  </si>
  <si>
    <t>IDF bombs a shelter for people displaced from North Gaza</t>
  </si>
  <si>
    <t>Reporter describes the aftermath of an IDF bombing of a shelter for people displaced from North Gaza.</t>
  </si>
  <si>
    <t>Bombing, Children, Forced Displacement, Schools, Women, Civilians</t>
  </si>
  <si>
    <t>https://x.com/HossamShabat/status/1854595897042083944</t>
  </si>
  <si>
    <t>11 members of journalist Hossam Shabat's family killed in air strike on school shelter</t>
  </si>
  <si>
    <t>11 of Hossam Shabat's cousins killed in air strike on school shelter and had to be buried quickly with no funeral</t>
  </si>
  <si>
    <t>Shaheber School</t>
  </si>
  <si>
    <t>Bombing, Children, Civilians, Forced Displacement, Schools, Testimony</t>
  </si>
  <si>
    <t>https://x.com/HossamShabat/status/1854598342333944270</t>
  </si>
  <si>
    <t>Gazan journalist who just lost his family witnesses another massacre</t>
  </si>
  <si>
    <t>The reporter describes how he buried his 11 cousins who had been killed in an airstrike and almost immediately experiences yet another airstrike.</t>
  </si>
  <si>
    <t>Bombing, Air Strike, Burial, Civilians, Testimony</t>
  </si>
  <si>
    <t>https://x.com/HossamShabat/status/1855751832796274885</t>
  </si>
  <si>
    <t>Burial of Hossam Shabat's cousins</t>
  </si>
  <si>
    <t>Frequent deaths disrupt the usual customs of burial and mourning in Gaza. Burials are hasty, in makeshift graves, among the rubble. The video took place on Nov. 7, 2024</t>
  </si>
  <si>
    <t>November 11, 2024</t>
  </si>
  <si>
    <t>Burial, Genocide, Bombing, Civilians, Testimony</t>
  </si>
  <si>
    <t>https://x.com/HossamShabat/status/1856157430503145907</t>
  </si>
  <si>
    <t>Bombing in Beit Hanoun; Hossam Shabat's relatives are trapped under the rubble</t>
  </si>
  <si>
    <t>Hossam Shabat's relative's home is bombed and people are trapped under the rubble in beseiged Beit Hanoun. The area is inaccesible to rescue teams.</t>
  </si>
  <si>
    <t>November 12, 2024</t>
  </si>
  <si>
    <t>Beit Hanoun</t>
  </si>
  <si>
    <t>Bombing, Civilians, Air Strike, Testimony</t>
  </si>
  <si>
    <t>Gaza Strip, North Gaza, Beit Hanoun</t>
  </si>
  <si>
    <t>https://x.com/NimerSultany/status/1857404113794802128</t>
  </si>
  <si>
    <t>A demonstrated increasing consensus that Israel is committing genocide in Gaza</t>
  </si>
  <si>
    <t>A collection of dozens of links of scholars, experts and institutions who argue that Israel is committing genocide in Gaza. Links are generally ordered chronologically.</t>
  </si>
  <si>
    <t>Nimer Sultany (@NimerSultany)</t>
  </si>
  <si>
    <t>Genocide, Academia, Analysis</t>
  </si>
  <si>
    <t>Israeli Government, ICJ (International Court of Justice), IDF (Israel Defense Forces)</t>
  </si>
  <si>
    <t>https://x.com/TWennesland/status/1847950734534254989</t>
  </si>
  <si>
    <t>Statement by UN Special Coordinator for the Middle East Peace Process</t>
  </si>
  <si>
    <t>Tor Wennesland, UN Coordinator of the Middle East Peace Process condemns attacks on Gazan civilians and calls for returning of the hostages and protection of all civilians</t>
  </si>
  <si>
    <t>October 20 ,2024</t>
  </si>
  <si>
    <t>Tor Wennesland (@TWennesland)</t>
  </si>
  <si>
    <t>Civilians, Ceasefire, Hostages, Hostage Deal, Official Statement</t>
  </si>
  <si>
    <t>https://x.com/just_security/status/1843276793912209507</t>
  </si>
  <si>
    <t>The ICC publishes Israel's response to arrest warrant requests</t>
  </si>
  <si>
    <t>The International Criminal Court has released Israel’s official responses to the arrest warrant requests against Benjamin Netanyahu and Yoav Gallant which challenge the Jurisdiction of the court and argue for a required Notice</t>
  </si>
  <si>
    <t>Just Security (@just_security)</t>
  </si>
  <si>
    <t>https://t.co/3rRYfH9JMP</t>
  </si>
  <si>
    <t>Humanitarian Law, War Crimes, Official Statement, Crimes Against Humanity</t>
  </si>
  <si>
    <t>https://x.com/uriweltmann/status/1861479880975634685</t>
  </si>
  <si>
    <t>Poll indicates majority of Israelis support ending the Gaza conflict through diplomatic means</t>
  </si>
  <si>
    <t>A Channel 13 poll reveals two-thirds of Israelis (66%) favor ending the war and securing a hostage deal, while just 27% support continuing military operations.</t>
  </si>
  <si>
    <t>November 26,2024</t>
  </si>
  <si>
    <t>Uri Weltmann (@uriweltmann)</t>
  </si>
  <si>
    <t>Ceasefire, Israeli Society, Public Opinion, Hostages, Media</t>
  </si>
  <si>
    <t>https://x.com/yoavgallant/status/1859656508193030496</t>
  </si>
  <si>
    <t>Yoav Gallant responds to ICC arrest warrant request for him</t>
  </si>
  <si>
    <t>Defense Minister Yoav Gallant shares his statement after the arrest warrant for him was put out by the ICC, stating that he stands by his actions and those of Israel and the IDF, and condemnes the ICC for its decision.</t>
  </si>
  <si>
    <t>Yoav Gallant (@yoavgallant)</t>
  </si>
  <si>
    <t>War Crimes, Official Statement</t>
  </si>
  <si>
    <t>https://www.ynet.co.il/news/article/hym4dpy0t</t>
  </si>
  <si>
    <t>A Palestinian who converted to Judaism was shot dead by reserve soldiers in Gush Etzion</t>
  </si>
  <si>
    <t>A 63-year-old Palestinian man who converted to Judaism was shot dead by IDF reservists near a bus station in Gush Etzion, raising concerns about his treatment and the circumstances of the shooting.</t>
  </si>
  <si>
    <t>Elisha Ben Kimon, Yoav Zitun</t>
  </si>
  <si>
    <t>Gush Etzion</t>
  </si>
  <si>
    <t>Violence, Murder, Civilians</t>
  </si>
  <si>
    <t>https://www.cnn.com/2024/06/07/politics/cia-netanyahu-assessment/index.html</t>
  </si>
  <si>
    <t>CIA assessment concludes Netanyahu is likely to defy US pressure to set a post-war plan for Gaza</t>
  </si>
  <si>
    <t>A CIA assessment indicates that Israeli Prime Minister Benjamin Netanyahu is likely to resist U.S. pressure by the Biden administration to establish a post-war plan for Gaza amidst ongoing conflict.</t>
  </si>
  <si>
    <t>June 07, 2024</t>
  </si>
  <si>
    <t>Zachary Cohen, Katie Bo Lillis</t>
  </si>
  <si>
    <t>Israel, Gaza Strip</t>
  </si>
  <si>
    <t>Benjamin Netanyahu</t>
  </si>
  <si>
    <t>https://x.com/HossamShabat/status/1859034111714750788</t>
  </si>
  <si>
    <t>Deliberate targeting of journalist by IDF</t>
  </si>
  <si>
    <t>First responder killed and journalist injured in targeted double bombing of civilian building. Many killed and others trapped in ruins.</t>
  </si>
  <si>
    <t>Air Strike, Bombing, Civilians, Journalists, Testimony</t>
  </si>
  <si>
    <t>https://x.com/HossamShabat/status/1859286304854327323</t>
  </si>
  <si>
    <t>Al Jazeera coverage of an Israeli double attack that injured journalist Hossam Shabat. The video states that Israel has killed 188 journalists</t>
  </si>
  <si>
    <t>An Al Jazeera brief (1:00 minute) report on targeting of journalists, focusing on the case of Hossam Shabat but also contextualizing it</t>
  </si>
  <si>
    <t>Bombing, Journalistic report, Journalists, War Crimes, Burial, Testimony</t>
  </si>
  <si>
    <t>https://x.com/HossamShabat/status/1862168815045394848</t>
  </si>
  <si>
    <t>Hossam Shabat describes his daily life in North Gaza</t>
  </si>
  <si>
    <t>Journalist Hossam Shabat shares what his daily life looks like, detailng great hardship and pain amid destruction in Gaza</t>
  </si>
  <si>
    <t>November 28,2024</t>
  </si>
  <si>
    <t>Bombing, Burial, Journalistic report, Journalists, Starvation, Medicine, Electricity, Food, Forced Displacement, Testimony</t>
  </si>
  <si>
    <t>https://x.com/ytirawi/status/1798325368023384423</t>
  </si>
  <si>
    <t>IDF soldier blows up house in Rafah</t>
  </si>
  <si>
    <t>A video showing an IDF soldier sitting inside an armored vehicle blowing up a house in Rafah, dedicating the act “to my mum”.</t>
  </si>
  <si>
    <t>June 5, 2024</t>
  </si>
  <si>
    <t>Bombing, Demolition, Civilians, Israeli Soldier Movies, Social Media, Humanitarian Aid, Dehumanization</t>
  </si>
  <si>
    <t>https://x.com/ytirawi/status/1798393141021553018</t>
  </si>
  <si>
    <t>IDF soldiers blow up a mosque</t>
  </si>
  <si>
    <t>A video showing IDF soldiers from the 8219 battalion blowing up a mosque in Khirbet Khizaa, Khan Younis, while overflowing with joy and shouting “No more Friday prayers. Yay! Am Israel Chai".</t>
  </si>
  <si>
    <t>Khirbet Khuza'a, Khan Yunis</t>
  </si>
  <si>
    <t>Demolition, Ground Operation, Mosques, Israeli Soldier Movies, Destruction of Cultural Sites, Social Media, Dehumanization</t>
  </si>
  <si>
    <t>https://x.com/ytirawi/status/1798685435356393524</t>
  </si>
  <si>
    <t>IDF Torching homes in central Gaza</t>
  </si>
  <si>
    <t>A photo showing an IDF soldier setting fire to homes in central Gaza, with a Hebrew caption reading: “You were good to us Gaza, but intense”.</t>
  </si>
  <si>
    <t>East al Bureij</t>
  </si>
  <si>
    <t>Burning, Civilians, Collective Punishment, Israeli Soldier Photos, Dehumanization</t>
  </si>
  <si>
    <t>Al Buriej</t>
  </si>
  <si>
    <t>https://x.com/ytirawi/status/1798765503940530377</t>
  </si>
  <si>
    <t>Footage from social media accounts of IDF soldiers showing indiscriminate fire and blowing up homes</t>
  </si>
  <si>
    <t>Four social media videos posted by Israeli soldiers show them detonating houses, firing machine guns indiscriminately, and launching grenades at a UN school.</t>
  </si>
  <si>
    <t>Demolition, Ground Operation, Schools, Social Media, Vandalism, Israeli Soldier Movies, Destruction, Indiscriminate Shooting, Dehumanization</t>
  </si>
  <si>
    <t>Gaza Strip, Rafah</t>
  </si>
  <si>
    <t>https://x.com/ytirawi/status/1798998289456799978</t>
  </si>
  <si>
    <t>IDF Lt. Colonel advocates for total Israeli victory in Gaza, proposing annexation, settlements, and Palestinian displacement</t>
  </si>
  <si>
    <t>IDF Lt. Colonel calls for a total victory in Gaza, "to burn a second Nakba into their consciousness." Regarding 'the day after,' he proposes returning Gaza 56 years back, to a state where they are "small, wounded, bruised, busy burying their loved ones, and above all, frightened." Additionally, he calls for annexing the Gaza Strip, establishing Jewish settlements there, and encouraging massive emigration of Gazans. He refers to the Palestinian Authority as "the Islamo-Nazis from Ramallah," and states that they should not be allowed to control Gaza under any circumstances.</t>
  </si>
  <si>
    <t>May 26, 2024</t>
  </si>
  <si>
    <t>Dehumanization, Incitement to Genocide, Annexation, Collective Punishment, Ethnic Cleansing, Incitement to Violence, Jewish Settlements in Gaza, Forced Displacement</t>
  </si>
  <si>
    <t>https://x.com/ytirawi/status/1799879016436093021</t>
  </si>
  <si>
    <t>IDF soldiers posing inside a mosque they set fire in</t>
  </si>
  <si>
    <t>Photo shows Israeli soldiers posing inside a Gaza City mosque which they set on fire.</t>
  </si>
  <si>
    <t>Social Media, Burning, Destruction of Cultural Sites, Vandalism, Mosques, Israeli Soldier Photos, Dehumanization</t>
  </si>
  <si>
    <t>https://x.com/ytirawi/status/1800455049296191612</t>
  </si>
  <si>
    <t>IDF soldiers blow up a residential building</t>
  </si>
  <si>
    <t>Photo on social media showing Israeli forces blowing up a high residential building (at least 6 floors) in Rafah.</t>
  </si>
  <si>
    <t>June 11, 2024</t>
  </si>
  <si>
    <t>Collective Punishment, Demolition, Destruction, Israeli Soldier Movies, Social Media, Dehumanization</t>
  </si>
  <si>
    <t>https://x.com/ytirawi/status/1800822593777545634</t>
  </si>
  <si>
    <t>IDF soldier claims he burned and looted in Rafah</t>
  </si>
  <si>
    <t>An IDF soldier reportedly posted on his social media account from Rafah claiming to have found "legendary loot" and "had fun burning houses" with fellow soldiers (alluding to video games).</t>
  </si>
  <si>
    <t>June 12, 2024</t>
  </si>
  <si>
    <t>Burning, Looting, Israeli Soldier Testimonies, Collective Punishment, Israeli Soldier Photos, Vandalism, Social Media, Dehumanization</t>
  </si>
  <si>
    <t>https://x.com/ytirawi/status/1800841913349894346</t>
  </si>
  <si>
    <t>IDF soldiers desecrate a mosque with graffiti and garbage</t>
  </si>
  <si>
    <t>Israeli soldiers wrote "Mohammed Sharmouta" and “Mohammed is a pedophile” on the walls of the mosque at the Rafah crossing, leaving much garbage inside.</t>
  </si>
  <si>
    <t>Destruction of cultural sites, Vandalism, Mosques, Social Media, Racism, Dehumanization</t>
  </si>
  <si>
    <t>https://x.com/ytirawi/status/1801316437794963578</t>
  </si>
  <si>
    <t>IDF Colonel calls for complete destruction of Gaza and relocation of its residents (thread)</t>
  </si>
  <si>
    <t>A thread discussing IDF Colonel Gur Rosenblat, who serves as Israel's education ministry deputy director and leads the IDF's northern infantry brigade. Rosenblat has called for the complete destruction of Gaza City as well as the killing of 10-20 thousand Gazans a day. In his social media posts, he admitted that Israel is targeting locations with only loose connections to Hamas and advocated for a "kind of second or third Nakba." His proposed strategy includes completely erasing Gaza City, relocating its residents to southern Gaza, and potentially allowing some to emigrate to other countries.</t>
  </si>
  <si>
    <t>June 13, 2024</t>
  </si>
  <si>
    <t>Incitement to Genocide, Nakba, Incitement to Violence, Ethnic Cleansing, Jewish Settlements in Gaza, Annexation, War Crimes, Social Media, Dehumanization</t>
  </si>
  <si>
    <t>https://twitter.com/ytirawi/status/1789978344311648368</t>
  </si>
  <si>
    <t>IDF blows up an empty mosque in Khan Younis</t>
  </si>
  <si>
    <t>Israeli soldiers film a mosque with a drone, observing that it is completely empty with nothing in it, then blow it up.</t>
  </si>
  <si>
    <t>Mosques, Israeli Soldier Movies, Destruction of Cultural Sites, Dehumanization, Destruction, Demolition</t>
  </si>
  <si>
    <t>https://twitter.com/ytirawi/status/1790031034408394798</t>
  </si>
  <si>
    <t>Grafitti in a playground in Tel Aviv: "Erase Gaza"</t>
  </si>
  <si>
    <t>A playground in Tel Aviv with children playing. On the edge of the park there is a large grafitti that says: "Erase Gaza".</t>
  </si>
  <si>
    <t>Tel Aviv</t>
  </si>
  <si>
    <t>Incitement to Genocide, Israeli Society, Dehumanization, Children</t>
  </si>
  <si>
    <t>https://twitter.com/ytirawi/status/1790108960927719626</t>
  </si>
  <si>
    <t>IDF burning and demolishing buildings in Gaza. Videos and images down the thread show additional cases of dehumanization, including captive detained Gazans and jokes about Gazans</t>
  </si>
  <si>
    <t>Two videos, one shows a burning building and the other a bulldozer demolishing a building with soldiers talking in the communication channel in the background. On the burning building there is an animated figure showing a naked bottom moving with the song "May your village burn" in the background. The thread continues and includes fake ads for houses in Gaza, racist comments, abuse of Palestinian detainees and vandalism.</t>
  </si>
  <si>
    <t>Video, Photo, Text</t>
  </si>
  <si>
    <t>Israeli Soldier Movies, Social Media, Israeli Soldier Photos, Detainees, Vandalism, Dehumanization, Destruction, Demolition, Schools</t>
  </si>
  <si>
    <t>Jabaliya, Gaza City</t>
  </si>
  <si>
    <t>https://x.com/Ahmad_tibi/status/1801934557723419012</t>
  </si>
  <si>
    <t>Dozens of Israelis respond on social media to news about an Israeli Palestinian family killed in a car accident</t>
  </si>
  <si>
    <t>A conversation in the Telegram group "Israel News in Telegram" followed a news report about a family from Kafr Qasim killed in a car accident, with some participants calling it "good news," expressing indifference, or even reacting with joy.</t>
  </si>
  <si>
    <t>Dehumanization, Palestinian Citizens of Israel, Israeli Society, Racism, Incitement to Violence, Social Media</t>
  </si>
  <si>
    <t>https://x.com/EuroMedHR/status/1794349445498421495</t>
  </si>
  <si>
    <t>A report about torture of Palestinian detainees from Gaza based on interviews with them</t>
  </si>
  <si>
    <t>A Euro-Med report about torture of detainees from Gaza by the IDF, based on a hundred interviews with detainees.</t>
  </si>
  <si>
    <t>October 8, 2023</t>
  </si>
  <si>
    <t>https://euromedmonitor.org/en/article/6342/Hostages-of-Israeli-revenge-in-the-Gaza-Strip:-Testimonies-of-100-released-Palestinian-detainees-reveal-crimes-of-torture,-cruel-treatment</t>
  </si>
  <si>
    <t>Dehumanization, Official Report, Testimony, Torture, Captivity Conditions, Violence, Sexual Violence, Humiliation, Civilians, Detainees, Palestinian Testimony, Detention Center</t>
  </si>
  <si>
    <t>Israeli Prison, Israeli Incarceration System, IDF (Israel Defense Forces)</t>
  </si>
  <si>
    <t>https://x.com/KhaledYousry22/status/1793359108147728835</t>
  </si>
  <si>
    <t>Hundreds of Palestinian detainees in a school yard in Gaza</t>
  </si>
  <si>
    <t>A Palestinian is interviewed by soldiers while in the background hundreds of Palestinian detainees sit on the ground, stripped of their clothes, in a school yard (Salah al-Din Boys' Preparatory School (A+B) for refugees).</t>
  </si>
  <si>
    <t>February 21, 2024</t>
  </si>
  <si>
    <t>English, Hebrew, Arabic</t>
  </si>
  <si>
    <t>Al Rimal, Gaza City</t>
  </si>
  <si>
    <t>Dehumanization, Humiliation, Schools, Israeli Soldier Movies, Interview, Detainees</t>
  </si>
  <si>
    <t>https://x.com/ihcentoo/status/1797391918172659737</t>
  </si>
  <si>
    <t>Testimonies of Palestinian detainees (thread)</t>
  </si>
  <si>
    <t>The thread includes six videos and four photos. The videos show interviews with released detainees or with people who convey the stories of detainees. The detainees are doctors, a women, a 14 year old, a handicapped person, an old person and others. Some have amputated limbs and some died in captivity. The testimonies describe violence, humiliation, starvation, being kept in a freezer with dead bodies, loud music 24 hours, being treated as a dog, and other forms of torture. It is claimed that docotrs recieve a particularly harsh treatment.</t>
  </si>
  <si>
    <t>Ihcen (@ihcentoo)</t>
  </si>
  <si>
    <t>Photo, Text, Video</t>
  </si>
  <si>
    <t>Captivity Conditions, Children, Violence, Torture, Starvation, Healthcare Workers, Women, Elderly, Occupied Territories, Detention Center, Dehumanization, Detainees, Palestinian Testimony, Testimony</t>
  </si>
  <si>
    <t>https://x.com/ireallyhateyou/status/1794102771026723277</t>
  </si>
  <si>
    <t>An IDF soldier showing a postcard mocking a young Palestinian woman</t>
  </si>
  <si>
    <t>Two photos, in one an IDF soldier is showing a postcard with a picture of a young Palestinian woman in hijab holding flowers. A caption on the picture says: "Naughty Fatma [sic] sent me a letter to the warfront". In the other the same soldier is showing Hebrew writing on other side of the postcard: "My loved one, I miss you and think about you every day. Love, Fatima". [spelling differences are in the source]</t>
  </si>
  <si>
    <t>May 24, 2024</t>
  </si>
  <si>
    <t>Women, Humiliation, Civilians, Israeli Soldier Photos, Dehumanization</t>
  </si>
  <si>
    <t>https://x.com/ytirawi/status/1794012735228825939</t>
  </si>
  <si>
    <t>IDF soldier sets a warehouse on fire in Rafah</t>
  </si>
  <si>
    <t>Two pictures posted by a soldier show a burning warehouse in Rafah: one from the inside and one from the outside.</t>
  </si>
  <si>
    <t>Burning, Vandalism, Israeli Soldier Photos, Social Media, Destruction</t>
  </si>
  <si>
    <t>https://x.com/ytirawi/status/1794346305571184910</t>
  </si>
  <si>
    <t>A soldier pretending to sniff cocaine in a residential house [thread]</t>
  </si>
  <si>
    <t>A video of a soldier in the kitchen of a residential house. Some kind of powder is spread on the counter, and the soldier is pretending to sniff it as if it were cocaine. A subsequent video in the thread shows a soldier swinging on an improvised swing in an abandoned Palestinian home.</t>
  </si>
  <si>
    <t>Israeli Soldier Movies, Mockery, Toys, Dehumanization</t>
  </si>
  <si>
    <t>https://x.com/ytirawi/status/1794433825591738491</t>
  </si>
  <si>
    <t>An IDF soldier in a skirt taken from an apartment in Rafah</t>
  </si>
  <si>
    <t>Two IDF Givati soldiers in full combat gear inside an apartment in Rafah posing for the camera. One is wearing a red skirt over the uniform, and the other is pretending to slap him on his bottom.</t>
  </si>
  <si>
    <t>Humiliation, Mockery, Israeli Soldier Photos, Women's clothing (inc. lingerie), Dehumanization</t>
  </si>
  <si>
    <t>https://x.com/ytirawi/status/1794648644920238114</t>
  </si>
  <si>
    <t>Pictures of burning buildings in Rafah</t>
  </si>
  <si>
    <t>Three pictures of houses burning in Rafah. In one of them, an IDF soldier in full combat gear, holds a gun and smiles in front of the burning buildings.</t>
  </si>
  <si>
    <t>Burning, Domicide, Urbicide, Mockery, Israeli Soldier Photos, Social Media, Destruction, Dehumanization</t>
  </si>
  <si>
    <t>https://x.com/ytirawi/status/1794826941209702699</t>
  </si>
  <si>
    <t>A long thread detailing over 120 IDF members (most appear to be reserve officers) calling for genocide and/or ethnic cleansing</t>
  </si>
  <si>
    <t>A collection of posts by IDF officers calling to “kill civilians”, “kill children”, “starve Gazans to death”, “erase Gaza”, &amp; “spread diseases among civilians”. Each individual in the thread is named, with images and screenshots of their social media activity. Much of it is translated to English.</t>
  </si>
  <si>
    <t>Oct 7, 2024</t>
  </si>
  <si>
    <t>Facebook</t>
  </si>
  <si>
    <t>Israel and the Gaza Strip</t>
  </si>
  <si>
    <t>Incitement to Genocide, Dehumanization, Incitement to Violence, Israeli Soldier Photos, Civilians, Collective Punishment, Social Media, Opinion, Ethnic Cleansing, Starvation</t>
  </si>
  <si>
    <t>https://x.com/ytirawi/status/1795042539084345829/</t>
  </si>
  <si>
    <t>IDF soldiers looting and urinating in a house in Khan Younis</t>
  </si>
  <si>
    <t>Photo of an IDF soldier wearing three watches and a ring that he looted from a house in Khan Younis, a photo of a soldier wearing a jacket he probably found, and a video of a soldier who films himself urinating on the floor of a house from POV.</t>
  </si>
  <si>
    <t>Photo, Video</t>
  </si>
  <si>
    <t>Looting, Humiliation, Israeli Soldier Movies, Israeli Soldier Photos, Mockery, Vandalism, Dehumanization</t>
  </si>
  <si>
    <t>https://x.com/ytirawi/status/1795048143261724958</t>
  </si>
  <si>
    <t>A picture of a Palestinian on his knees with three soldiers pointing guns at him</t>
  </si>
  <si>
    <t>A picture of a Palestinian on his knees, hands tied and eyes covered, while three IDF soldiers holding guns look at the camera, two of them point the gun at the Palestinian, and one of them smiles.</t>
  </si>
  <si>
    <t>January 10, 2024</t>
  </si>
  <si>
    <t>Abuse, Abduction, Humiliation, Israeli Soldier Photos, Dehumanization, Detainees</t>
  </si>
  <si>
    <t>https://x.com/ytirawi/status/1795114456936063484</t>
  </si>
  <si>
    <t>An IDF soldier in an army bulldozer destroying a house</t>
  </si>
  <si>
    <t>A video of an IDF soldier operating heavy mechanical equipment that pushes a house until it is destroyed. Voices of other soldiers cheering are heard in the background.</t>
  </si>
  <si>
    <t>Domicide, Israeli Soldier Movies, Dehumanization, Demolition, Destruction</t>
  </si>
  <si>
    <t>https://x.com/ytirawi/status/1795152167457751511</t>
  </si>
  <si>
    <t>An IDF senior commander calls to cut off electricity, water, humanitarian aid to Gaza while preventing media access</t>
  </si>
  <si>
    <t>A photo of a senior IDF commander near his Facebook post in which he is calling on the government to be more aggressive, to cut off electricity, water, media, and humanitarian aid to Gaza Strip.</t>
  </si>
  <si>
    <t>Incitement to Genocide, Incitement to Violence, Humanitarian Aid, Opinion, Israeli Soldier Photos, Social Media, Collective Punishment, Media, Starvation, Civilians</t>
  </si>
  <si>
    <t>https://x.com/ytirawi/status/1796122820683891010</t>
  </si>
  <si>
    <t>According to a senior IDF commander the attack against a town in Gaza was conducted as revenge</t>
  </si>
  <si>
    <t>A senior IDF commander writes that operation Oz and Nir in the Khan Younis area, in which the town of Khirbet Khuza'a was destroyed, were performed as revenge. He claims that this is the town from which the attack on Kibbutz Nir Oz was launched. The photo shows destruction in the town of Khirbet Khuza'a, next to his picture and Facebook post.</t>
  </si>
  <si>
    <t>Khirbet Khuza'a</t>
  </si>
  <si>
    <t>Collective Punishment, Incitement to Genocide, Incitement to Violence, Destruction, Urbicide, Israeli Soldier Photos, Israeli Soldier Testimonies, Opinion, Social Media</t>
  </si>
  <si>
    <t>Khan Younis, Gaza Strip, Khuza'a</t>
  </si>
  <si>
    <t>https://x.com/ytirawi/status/1796133135400210700</t>
  </si>
  <si>
    <t>An IDF soldier sifting flour that entered Gaza as humanitarian aid</t>
  </si>
  <si>
    <t>A video of an IDF soldier sifting flour while looking at the camera and thanking the UN, UNRWA and humanitarian aid organizations for the humanitarian aid.</t>
  </si>
  <si>
    <t>Israeli Soldier Movies, Humiliation, Humanitarian Aid, Social Media, Abuse, Mockery, Dehumanization</t>
  </si>
  <si>
    <t>IDF (Israel Defense Forces), UN (United Nations), UNRWA (The UN Relief and Works Agency for Palestine Refugees)</t>
  </si>
  <si>
    <t>https://x.com/ytirawi/status/1796228939251343652</t>
  </si>
  <si>
    <t>IDF soldiers pretend to display a Paletinian home as on a TV show</t>
  </si>
  <si>
    <t>A video of IDF soldiers pretending to show off their home, which is a home of Palestinians displaced from Rafah.</t>
  </si>
  <si>
    <t>Israeli Soldier Movies, Humiliation, Confiscated Assets, Forced Displacement, Mockery, Water, Dehumanization, Social Media</t>
  </si>
  <si>
    <t>https://twitter.com/AlonLeeGreen/status/1746855797328433438</t>
  </si>
  <si>
    <t>A brochure for a large conference that encourages occupation and settlement in the Gaza Strip</t>
  </si>
  <si>
    <t>The brochure includes the logos of over 30 right-wing and religious organizations.</t>
  </si>
  <si>
    <t>January 15,2024</t>
  </si>
  <si>
    <t>Israeli Society, Jewish Settlements in Gaza, Public Opinion, Ethnic Cleansing</t>
  </si>
  <si>
    <t>https://twitter.com/Eliyahu_a/status/1772645094295830643</t>
  </si>
  <si>
    <t>Israeli Minister of Heritage: "Whoever slaughtered us, we will take his land. Period!"</t>
  </si>
  <si>
    <t>A discussion between Minister Amichay Eliyahu to CNN reprorter Clarissa Ward. The minister argues that there is nothing immoral in taking the land of someone who came to slaughter and rape "our children".</t>
  </si>
  <si>
    <t>March 26, 2024</t>
  </si>
  <si>
    <t>Amichay Eliyahu (@Eliyahu_a)</t>
  </si>
  <si>
    <t>Media, Annexation, Jewish Settlements in Gaza, Journalists</t>
  </si>
  <si>
    <t>Amihai Eliyahu</t>
  </si>
  <si>
    <t>https://twitter.com/KhaledYousry22/status/1778864079995568598</t>
  </si>
  <si>
    <t>The Israeli army in the Turkish Palestinian Friendship Hospital</t>
  </si>
  <si>
    <t>The video shows an IDF soldier telling a story in front of what is, according to the post, the emergency room and blood bank of the Turkish Palestinian Friendship Hospital. Israeli army vehicles are seen the background. The post explains how using the hospital for army purposes violates humanitarian law and other protocols.</t>
  </si>
  <si>
    <t>The Turkish Palestinian Friendship Hospital</t>
  </si>
  <si>
    <t>Hospital, Humanitarian Law, Confiscated Assets, Public Health, Israeli Soldier Movies, Social Media, Ethnic Cleansing</t>
  </si>
  <si>
    <t>https://x.com/Isaac_Herzog/status/1859578515487592658</t>
  </si>
  <si>
    <t>Herzog condemned the ICC's arrest warrants for Netanyahu and Gallant</t>
  </si>
  <si>
    <t>Following the ICC issue of arrest warrants for Israeli Prime Minister Benjamin Netanyahu and Defense Minister Yoav Gallant, the Israeli President Issac Herzog posted a statement condemning the ICC’s decision; he argues that it disregards Hamas’ attacks, hostage-taking, and use of human shields, while overlooking Israel’s right to self-defense and its efforts to follow international law. He also accuses the ICC of siding with terror, undermining justice, and enabling Hamas’ crimes.</t>
  </si>
  <si>
    <t>Isaac Herzog (@Isaac_Herzog)</t>
  </si>
  <si>
    <t>ICC (International Criminal Court)</t>
  </si>
  <si>
    <t>Benjamin Netanyahu, Yoav Gallant, Isaac Herzog</t>
  </si>
  <si>
    <t>https://x.com/IsraeliPM/status/1859607527412904186</t>
  </si>
  <si>
    <t>Official statement by the Office of the Prime Minister of Israel on ICC arrest warrants</t>
  </si>
  <si>
    <t>Israeli Prime Minister Benjamin Netanyahu has condemned the ICC's decision to issue arrest warrants for him and Defense Minister Yoav Gallant, describing it as 'a modern Dreyfus trial' and characterizing the court as 'a biased and discriminatory political body.'</t>
  </si>
  <si>
    <t>Office of the Prime Minister of Israel (@IsraeliPM)</t>
  </si>
  <si>
    <t>https://www.gov.il/en/pages/spoke-hague211124</t>
  </si>
  <si>
    <t>War Crimes, Official Statement, Crimes Against Humanity</t>
  </si>
  <si>
    <t>https://x.com/UNGeneva/status/1847322016975552784</t>
  </si>
  <si>
    <t>UNICEF spokesman condemns "hell on earth" in Gaza</t>
  </si>
  <si>
    <t>UNICEF’s spokesperson James Elder says that Gaza has become a "the real-world embodiment of hell on earth for its one million children", with conditions worsening by the day. As an example, he shares the story of 7-year-old Qamar, who suffered a leg injury from an Israeli airstrike on Jabalia. The only hospital that could treat her, a maternity hospital, was under Israeli military siege for ten days. Meantime, shrapnel had caused an infection in her leg, forcing doctors to amputate. Shortly after, she had to flee Jabaliya – on foot – with her mother and sister, heading south. Now, they live in a torn tent surrounded by stagnant water.</t>
  </si>
  <si>
    <t>October 18, 2024</t>
  </si>
  <si>
    <t>United Nations Geneva (@UNGeneva)</t>
  </si>
  <si>
    <t>Humanitarian Crisis, Civilians, Children, Official Statement, Public Health, Forced Displacement, Amputation, Injury</t>
  </si>
  <si>
    <t>UN (United Nations), UNICEF (United Nations Children's Fund)</t>
  </si>
  <si>
    <t>James Elder</t>
  </si>
  <si>
    <t>https://x.com/YairGolan1/status/1859572170419995031</t>
  </si>
  <si>
    <t>Yair Golan condemns the ICC's decision to issue arrest warrants for Netanyahu and Gallant</t>
  </si>
  <si>
    <t>Yair Golan condemns decision by International Criminal Court at the Hague to issue arrest warrants for Israeli officials Benjamin Netanyahu and Yoav Gallant, claiming that "Israel had and will always have the right to defend itself"</t>
  </si>
  <si>
    <t>Yair Golan (@YairGolan1)</t>
  </si>
  <si>
    <t>War Crimes, Crimes Against Humanity</t>
  </si>
  <si>
    <t>Yoav Gallant, Benjamin Netanyahu, Yair Golan</t>
  </si>
  <si>
    <t>https://x.com/jeremyscahill/status/1841486527693459872</t>
  </si>
  <si>
    <t>UN chief António Guterres condemns Israel's war on Gaza</t>
  </si>
  <si>
    <t>UN Secretary General António Guterres, who was just banned from Israel, says that Israel's war against Gaza is "the most deadly and destructive military campaign in my years as Secretary General. The suffering endured by the Palestinian people in Gaza is beyond imagination."</t>
  </si>
  <si>
    <t>Jeremy Scahill (@jeremyscahill)</t>
  </si>
  <si>
    <t>Civilians, Collective Punishment, Violence, Destruction</t>
  </si>
  <si>
    <t>António Guterres</t>
  </si>
  <si>
    <t>https://x.com/HossamShabat/status/1849476686674280529</t>
  </si>
  <si>
    <t>Desalination and water pumping stations in North Gaza cease work due to lack of fuel</t>
  </si>
  <si>
    <t>Desalination and water pumping stations cease work due to lack of fuel in Northern Gaza. No aid has entered the area for 3 weeks.</t>
  </si>
  <si>
    <t>Blockade, Humanitarian Aid, Water, Infrastructure, Humanitarian Crisis, Social Media, Fuel</t>
  </si>
  <si>
    <t>https://x.com/HossamShabat/status/1854550843686531440</t>
  </si>
  <si>
    <t>Family of 11 killed in srike on Shahber school</t>
  </si>
  <si>
    <t>Family of 11 killed in strike on Shaheber School, sheltering forcibly displaced people - post includes names of victims, apparently family of the journalist Hossam Shabat</t>
  </si>
  <si>
    <t>Civilians, Children, Bombing, Schools, Family</t>
  </si>
  <si>
    <t>https://apnews.com/article/israel-hamas-war-hunger-un-07afb7fe4a1654f54b81b944a0dab535</t>
  </si>
  <si>
    <t>UN agencies say over 1 million in Gaza could experience highest level of starvation by mid-July</t>
  </si>
  <si>
    <t>UN agencies WFP and FAO (the World Food Program and the Food and Agriculture Organization) warn that over 1 million Palestinians in Gaza could face the highest level of starvation by mid-July 2024 due to ongoing hostilities and humanitarian access restrictions. A separate group of experts said it was possible that famine is underway in northern Gaza.</t>
  </si>
  <si>
    <t>July 15, 2024</t>
  </si>
  <si>
    <t>AP News</t>
  </si>
  <si>
    <t>Samy Magdy</t>
  </si>
  <si>
    <t>Starvation, Food, Humanitarian Aid</t>
  </si>
  <si>
    <t>World Food Programme, FAO (The Food and Agriculture Organization of the United Nations), UN (United Nations)</t>
  </si>
  <si>
    <t>North Gaza, Gaza Strip</t>
  </si>
  <si>
    <t>https://apnews.com/video/europe-gaza-european-union-war-and-unrest-josep-borrell-63eebfe7f71f4ed881580913c51b7036</t>
  </si>
  <si>
    <t>"Starvation is being used as a war arm" in Gaza says Borrell</t>
  </si>
  <si>
    <t>Video of Josep Borrell, the High Representative of the European Union for Foreign Affairs and Security Policy, as he briefed the UN Security Council on the use of starvation as a weapon in Gaza.</t>
  </si>
  <si>
    <t>March 13, 2024</t>
  </si>
  <si>
    <t>UN Security Council</t>
  </si>
  <si>
    <t>Official Statement</t>
  </si>
  <si>
    <t>Starvation, Humanitarian Crisis, Food</t>
  </si>
  <si>
    <t>Joseph Borrell</t>
  </si>
  <si>
    <t>https://x.com/ireallyhateyou/status/1794351306028839298</t>
  </si>
  <si>
    <t>Young people dancing and singing to the tune "May your village burn" in an Israeli club</t>
  </si>
  <si>
    <t>A video showing two DJ.s from the back facing a crowd of young people dancing in the popular HaOman 17 club in Tel Aviv. The DJ is playing the melody of the song "May your village burn" and the crowd sings and dances, while the lights change color. The DJ also jumps to the song.The caption says "May your village burnnnnn". According to the post the DJ posted this clip on Tik Tok, with the title: "I tried something crazy at a party, you gotta hear it".</t>
  </si>
  <si>
    <t>HaOman 17, Tel Aviv, Israel</t>
  </si>
  <si>
    <t>Israeli Society, Humiliation, Racism, Incitement to Violence, Dehumanization</t>
  </si>
  <si>
    <t>https://x.com/ireallyhateyou/status/1795012044699079164</t>
  </si>
  <si>
    <t>A tweet by Yehuda Schlesinger expressing happiness about dead Gazans</t>
  </si>
  <si>
    <t>Yehuda Schlesinger posted a tweet : "The smell is unimaginable. Decay, death. Flies. "Smell of war" calls it the 202nd Battalion commander. The circumstances are rather happy though, terrorists are buried under the rubble". Also a video from Channel 12 from April 2024, showing a TV panel in which Yehuda Schlesinger is expressing anger about Gazans that are having fun on the beach: "These people there (in Gaza) deserve death. A hard death, an agonizing death. And instead we see them enjoying on the beach, having fun... There are no innocent people there in the Gaza Strip... They are now enjoying on the beach, instead of starving, being jerked around, being severely tormented and hiding from shelling... We should have seen a lot more revenge, a lot more rivers of Gazans' blood" . In the background a video of people on the beach in Gaza, and a video of the kidnapping of Yarden Bibas.</t>
  </si>
  <si>
    <t>Photo, Video, Text</t>
  </si>
  <si>
    <t>Israeli Society, Media, Incitement to Genocide, Incitement to Violence, Civilians, Starvation, Dehumanization</t>
  </si>
  <si>
    <t>Yehuda Schlesinger</t>
  </si>
  <si>
    <t>https://x.com/ireallyhateyou/status/1798525376462725150</t>
  </si>
  <si>
    <t>Israeli Minister Amihai Eliyahu: “They are not human beings, they are human animals… No to any agreements that leave these Nazis in power”</t>
  </si>
  <si>
    <t>An interview on radio Kol Barama with Israeli Minister of Heritage, Amihai Eliyahu: "...This war should end with them on their knees... break (Hamas') spirit... Strike them with a sword hit of death and loss. They are not human beings, they are human animals... I would suggest to the army to build large camps, where we distribute the food to the people there... Let's raise flags, flags of god's name, flags of victory. Flags of morality. The Jewish morality has a lot to contribute to global morality... I think we don't want bad things, we want good things... No to any agreements that leave these Nazis in a position of power." Also saying that talking about a hostage deal is not in the spirit of winning; Subtitles in English.</t>
  </si>
  <si>
    <t>Kol Barama</t>
  </si>
  <si>
    <t>Audio, Text</t>
  </si>
  <si>
    <t>Incitement to Genocide, Hostage Deal, Dehumanization, Israeli Society, Media, Humanitarian Aid, Interview, Civilians, Collective Punishment</t>
  </si>
  <si>
    <t>https://x.com/ytirawi/status/1792656511510143472</t>
  </si>
  <si>
    <t>An IDF soldier showing his bear bottom in Gaza (thread)</t>
  </si>
  <si>
    <t>Two photos, one shows the back of an IDF soldier with his pants down showing his bottom, facing rubble and smoke from an explosion. The other shows an IDF soldier lying face down on a roof fence, hands to the sides like an airplane. On the floor below him many bullets are thrown around. In the background are buildings, some demolished. On the fence there is some writing, language and meaning unclear. The thread includes many other cases of dehumanization of Palestinians, including looting and torching buildings.</t>
  </si>
  <si>
    <t>May 20, 2024</t>
  </si>
  <si>
    <t>Humiliation, Domicide, Bombing, Israeli Soldier Photos, Israeli Soldier Movies, Dehumanization, Looting, Destruction, Torching Houses, Toys, Detainees, Women, Women's clothing (inc. lingerie)</t>
  </si>
  <si>
    <t>https://twitter.com/AssalRad/status/1763254348942037335</t>
  </si>
  <si>
    <t>NYT headline reduces Israel's 'flour massacre' of hungry Gazans, minimizing the event</t>
  </si>
  <si>
    <t>The New York Times headline covering the incident in Gaza—where Israeli forces shot at civilians approaching aid trucks (dubbed the 'flour massacre')—describes the event as a 'Chaotic Gaza Scene' while failing to mention that those killed were starving Palestinians attempting to access food. The tweet suggests fixes to the headline to reflect reality.</t>
  </si>
  <si>
    <t>February 29, 2024</t>
  </si>
  <si>
    <t>Food, Humanitarian Aid, Media, Starvation, Civilians, Media bias, Massacres</t>
  </si>
  <si>
    <t>https://twitter.com/AssalRad/status/1763453379811098672</t>
  </si>
  <si>
    <t>NYT headline obscures Israel's flour massacre culpability</t>
  </si>
  <si>
    <t>A New York Times vague headline on the 'flour massacre' obscures Israel's role in both starving and killing Palestinians.</t>
  </si>
  <si>
    <t>March 01, 2024</t>
  </si>
  <si>
    <t>Media, Starvation, Food, Media bias, Humanitarian Aid, Massacres</t>
  </si>
  <si>
    <t>https://x.com/KhaledYousry22/status/1795879315155910854</t>
  </si>
  <si>
    <t>An IDF soldier gives a fire order to a tank while he and other soldiers cheer</t>
  </si>
  <si>
    <t>A soldier on the phone inside what seems like a military bulldozer gives an order to a tank outside to fire in what looks like a residential street. The soldier is smiling and other soldiers are cheering and swearing. The caption says "POV: You are 21-year-old children in a war”.</t>
  </si>
  <si>
    <t>Hebrew, Arabic, English</t>
  </si>
  <si>
    <t>Ground Operation, Humiliation, Israeli Soldier Movies, Indiscriminate Shooting, Tanks, Dehumanization</t>
  </si>
  <si>
    <t>https://x.com/KhaledYousry22/status/1798056593218760839</t>
  </si>
  <si>
    <t>IDF snipers shooting people and the destruction of a city block in Gaza</t>
  </si>
  <si>
    <t>Clips from a video from April 2024 that shows IDF soldiers shooting and killing people and the explosion of a whole city block in central Gaza. Also a bulldozer demolishing a building. Dramatic music in the background.</t>
  </si>
  <si>
    <t>Tel al-Hawa</t>
  </si>
  <si>
    <t>Bombing, Ground Operation, Israeli Soldier Movies, Destruction, Dehumanization, Demolition, Civilians, Hostages, Snipers</t>
  </si>
  <si>
    <t>https://x.com/KhaledYousry22/status/1800979476961984982</t>
  </si>
  <si>
    <t>IDF soldiers raid homes, shoot, and blow up residential buildings</t>
  </si>
  <si>
    <t>A video clip that shows groups of IDF soldiers in full combat gear entering homes with guns aimed to shoot and shooting a few times. The homes seem empty. The soldiers also blow up buildings, burning buildings and breaking a hole in a wall. Music in the background. The text talks about how killing someone makes one learn something about himself.</t>
  </si>
  <si>
    <t>Ground Operation, Bombing, Indiscriminate Shooting, Israeli Soldier Movies, Destruction, Vandalism, Dehumanization</t>
  </si>
  <si>
    <t>https://x.com/MaxBlumenthal/status/1801745356289622225</t>
  </si>
  <si>
    <t>Israel Foreign Ministry buying a social media ad that there are no civillians in Gaza</t>
  </si>
  <si>
    <t>A paid ad on X by the Israeli Foreign Ministary claims that there are no civilians in Gaza</t>
  </si>
  <si>
    <t>Max Blumenthal (@MaxBlumenthal)</t>
  </si>
  <si>
    <t>Civilians, Dehumanization, Propaganda, Racism, Social Media</t>
  </si>
  <si>
    <t>Israeli Foreign Ministry</t>
  </si>
  <si>
    <t>https://x.com/QudsNen/status/1802266606564675886</t>
  </si>
  <si>
    <t>IDF soldiers in a hair salon in Gaza, joking and pretending to be salon clients</t>
  </si>
  <si>
    <t>Two IDF soldiers are filmed in a silent sketch for Tik Tok in which they pretend to be a barber and a client in a Gaza hair salon with music in the background. The video appears to allude to a role-playing video game.</t>
  </si>
  <si>
    <t>Humiliation, Confiscated Assets, Israeli Soldier Movies, Dehumanization</t>
  </si>
  <si>
    <t>https://x.com/RamAbdu/status/1766132416899420637</t>
  </si>
  <si>
    <t>Israeli soldier films a dog eating the corpse of a Palestinian, then praises the view</t>
  </si>
  <si>
    <t>A dog is eating something in an open field not far from a beach. The voice in the background hints that it is the body of a Palestinian terrorist, and then goes on to show the sunset. The Israeli soldier in the background says: "He tore the guy apart... the terrorist is gone — literally gone. But what a beautiful view. What a sunset." The video was posted on the Telegram chat group Lelo Gvulot "no boundries".</t>
  </si>
  <si>
    <t>March 8, 2024</t>
  </si>
  <si>
    <t>Burial, Dehumanization, Humiliation, Israeli Soldier Movies, Corpses, Animals</t>
  </si>
  <si>
    <t>https://x.com/ShaykhSulaiman/status/1792940664193470525</t>
  </si>
  <si>
    <t>A soldier on a rocking horse in a home in Gaza</t>
  </si>
  <si>
    <t>IDF soldiers are sitting in a room inside a Gazan home. One of them is sitting and rocking on a small toy horse. Another one sticks out his tongue at the camera. In the background a song in Hebrew that mentions a horse is played.</t>
  </si>
  <si>
    <t>May 21, 2024</t>
  </si>
  <si>
    <t>Sulaiman Ahmed (@ShaykhSulaiman)</t>
  </si>
  <si>
    <t>Humiliation, Confiscated Assets, Israeli Soldier Movies, Dehumanization, Toys</t>
  </si>
  <si>
    <t>https://x.com/SuppressedNws/status/1801193479470534674</t>
  </si>
  <si>
    <t>IDF soldiers converted a mosque into a military headquarters</t>
  </si>
  <si>
    <t>IDF soldiers filmed distributing food inside a mosque, thanking Angel bakery for the food they donated and. There is Hebrew grafitti on the walls of the mosque which appears defaced. The camera shows many armored vehicles parked outside the mosque and a bank which the voice over jokingly explains is now closed for rennovations. The unit is named the "Fire Strike" (Makat Esh) patrol unit.</t>
  </si>
  <si>
    <t>Supressed News (@SuppressedNws)</t>
  </si>
  <si>
    <t>Rafah Crossing</t>
  </si>
  <si>
    <t>Confiscated Assets, Humiliation, Vandalism, Destruction of Cultural Sites, Mosques, Israeli Soldier Movies, Mockery, Social Media</t>
  </si>
  <si>
    <t>https://x.com/YousefMunayyer/status/1791807669797347571</t>
  </si>
  <si>
    <t>"Nakba 2023" grafitti by IDF soldiers in Gaza</t>
  </si>
  <si>
    <t>Two IDF soldiers are photographed in full combat gear, smiling, in front of a wall with many bullet holes and a grafitti saying "Nakba 2023" in green English script. One of the soldiers is holding a can of green spray.</t>
  </si>
  <si>
    <t>May 18, 2024</t>
  </si>
  <si>
    <t>Yousef Munayyer (@YousefMunayyer)</t>
  </si>
  <si>
    <t>Vandalism, Humiliation, Incitement to Genocide, Nakba, Israeli Soldier Photos</t>
  </si>
  <si>
    <t>https://x.com/_NicoleNonya/status/1793681516846788943</t>
  </si>
  <si>
    <t>IDF Soldiers use heavy-duty vehicle to turn a truck on its side</t>
  </si>
  <si>
    <t>An IDF soldier is operating a military vehicle which pushes a truck through a structure and turns the truck over. The soldier is saying: "I'll take care of the trucks". Another soldier in the background is cheering him on.</t>
  </si>
  <si>
    <t>Use Yandex search engine for anti zionist searches (@Use_Yandex)</t>
  </si>
  <si>
    <t>https://x.com/Use_Yandex/status/1793681516846788943</t>
  </si>
  <si>
    <t>Vandalism, Israeli Soldier Movies, Destruction, Mockery, Infrastructure</t>
  </si>
  <si>
    <t>https://x.com/_NicoleNonya/status/1793684246512746500</t>
  </si>
  <si>
    <t>IDF soldiers play act in a destroyed Palestinian restaurant</t>
  </si>
  <si>
    <t>Several IDF soldiers inside a destroyed restaurant called pretending to order and serve food. They joke about staying in the place as if it were a hotel.</t>
  </si>
  <si>
    <t>https://x.com/Use_Yandex/status/1793684246512746500</t>
  </si>
  <si>
    <t>Confiscated Assets, Humiliation, Israeli Soldier Movies, Civilians, Dehumanization, Food, Abduction, Mockery, Vandalism, Social Media, Accountability</t>
  </si>
  <si>
    <t>https://x.com/arixegal/status/1793722854346990066</t>
  </si>
  <si>
    <t>IDF soldier empties a magazine at the neighborhood below and posting it online</t>
  </si>
  <si>
    <t>A soldier standing by a window on a high floor with a machine gun pointing outside. He loads the gun and empties his ammunition into the neigborhood below.</t>
  </si>
  <si>
    <t>Documentation of Violence and War Crime (@arixegal)</t>
  </si>
  <si>
    <t>Violence, Ground Operation, Indiscriminate Shooting, Israeli Soldier Movies, Dehumanization, Social Media</t>
  </si>
  <si>
    <t>https://x.com/idanlandau/status/1794956280504930630</t>
  </si>
  <si>
    <t>Channel 14 journalist retweeted post by IDF reserve soldier celebrating burning house in Rafah</t>
  </si>
  <si>
    <t>Channel 14 journalist, Naveh Dromi, retweeted post by IDF reserve soldier and West Bank settler and security officer, Avihai Shorshan, which showed a burning house in Rafah in celebration of the Jewish Holiday of Lab BaOmer. Dromi later deleted her tweet.</t>
  </si>
  <si>
    <t>Idan Landau (@idanlandau)</t>
  </si>
  <si>
    <t>https://x.com/a_shorshan/status/1794764612115828958</t>
  </si>
  <si>
    <t>Domicide, Burning, Dehumanization, Media, Mockery, Shooting</t>
  </si>
  <si>
    <t>https://twitter.com/ytirawi/status/1760040514915553463</t>
  </si>
  <si>
    <t>Rugs, cosmetics, motorbikes: Israeli soldiers are looting Gaza homes en masse</t>
  </si>
  <si>
    <t>A photo of three IDF soldiers posing and smiling to the camera in front of a home in Gaza, each sitting on a child's bike and holding a gun. The photo accompanies a story from +972 Magazine regarding the widespread phenomenon of IDF soldier's looting Palestinian property in Gaza.</t>
  </si>
  <si>
    <t>972 Magazine</t>
  </si>
  <si>
    <t>https://www.972mag.com/israeli-soldiers-looting-gaza/</t>
  </si>
  <si>
    <t>Humiliation, Civilians, Children, Israeli Soldier Photos, Social Media, Vandalism, Looting, Dehumanization, Israeli Society, Journalistic Report, Mockery</t>
  </si>
  <si>
    <t>https://twitter.com/ytirawi/status/1760359033095991623</t>
  </si>
  <si>
    <t>IDF soldiers in Khan Younis display lingerie belonging to a displaced/killed Gazan woman</t>
  </si>
  <si>
    <t>Two IDF soldiers in full combat gear on a street in Khan Younis. One of them smiles while wearing a bra over his uniform. The other one is touching the bra sexually and sticking his tongue out.</t>
  </si>
  <si>
    <t>Looting, Humiliation, Women, Israeli Soldier Photos, Dehumanization, Forced Displacement, Social Media, Mockery, Women's clothing (inc. lingerie)</t>
  </si>
  <si>
    <t>https://twitter.com/ytirawi/status/1760407071747719357</t>
  </si>
  <si>
    <t>IDF soldiers hanging up political ads and drawing graffiti in Khan Younis</t>
  </si>
  <si>
    <t>Four photos from Khan Younis show IDF soldiers displaying Israeli advertisements and graffitied messages on local buildings, including a campaign sign for Sderot’s mayor Alon Davidi, a graffiti pledge to return to the former Gaza settlement Neve Dekalim, an ad for the Israeli pastry chain Roladin, and a 'coming soon' notice for Humus Eliyahu.</t>
  </si>
  <si>
    <t>Confiscated Assets, Humiliation, Israeli Society, Israeli Soldier Photos, Social Media, Vandalism, Jewish Settlements in Gaza, Mockery</t>
  </si>
  <si>
    <t>https://twitter.com/ytirawi/status/1761039679212671105</t>
  </si>
  <si>
    <t>IDF Soldier posting a photo of a destroyed building in Gaza advertising his real estate firm for a dating app profile</t>
  </si>
  <si>
    <t>A post on a dating app, that shows an IDF soldier standing with his gun in the rubble near a partially demolished house. On the house there is a professional "for sale" sign advertising the soldier's real estate firm.</t>
  </si>
  <si>
    <t>February 23, 2024</t>
  </si>
  <si>
    <t>Humiliation, Vandalism, Israeli Soldier Photos, Social Media, Dehumanization, Mockery</t>
  </si>
  <si>
    <t>https://twitter.com/ytirawi/status/1761360983174316281</t>
  </si>
  <si>
    <t>Zaitoun Neighborhood, Gaza city | Snuff video</t>
  </si>
  <si>
    <t>A video posted on TikTok of an IDF soldier pretending to promote real estate in a new neigborhood that will be built in Wadi Zaitoun, Gaza City. While the soldier is playing the part of the real estate agent, the camera moves to show the destroyed buildings all around. Shooting and shelling are heard in the background throughout. When the camera shows building in smoke the soldier says: "A little BBQ".</t>
  </si>
  <si>
    <t>TikTok</t>
  </si>
  <si>
    <t>Wadi Zaytun, Gaza City</t>
  </si>
  <si>
    <t>Israeli Soldier Movies, Humiliation, Israeli Society, Social Media, Mockery, Dehumanization, Toys</t>
  </si>
  <si>
    <t>https://twitter.com/ytirawi/status/1791167455731048886</t>
  </si>
  <si>
    <t>An IDF soldier posing in a traditional Palestinian dress holding two guns</t>
  </si>
  <si>
    <t>A photo of an IDF soldier wearing a traditional Palestinian embroidered dress, holding guns inside a house surrounded by more weapons.</t>
  </si>
  <si>
    <t>Humiliation, Confiscated Assets, Women, Israeli Soldier Photos, Women's clothing (inc. lingerie)</t>
  </si>
  <si>
    <t>https://x.com/AlonLeeGreen/status/1791788316943106366</t>
  </si>
  <si>
    <t>Schoolchildren sing “May your village burn” after teacher who participated in a March of Return is suspended</t>
  </si>
  <si>
    <t>Israeli highschoolers at their school protest their teacher Sabrin Masarweh’s participation in a March of Return by singing “May your village burn” and dancing.</t>
  </si>
  <si>
    <t>Ganei Tikva</t>
  </si>
  <si>
    <t>Israeli Society, Palestinian Citizens of Israel, Children, Racism, Incitement to Violence, Israeli Education System</t>
  </si>
  <si>
    <t>https://x.com/IsraelGaley/status/1799689832257749110</t>
  </si>
  <si>
    <t>Radio hosts dance to an improvised song mocking grief over 50 Palestinians killed in hostage rescue operation</t>
  </si>
  <si>
    <t>A radio host, Shai Goldstein, is dancing to a song that mocks a post by Yarden Skop in which she expresses sadness about 50 Palestinians [in reality: much more] who were killed as part of a hostage rescue operation that released four Israeli hostages. The other host, Erez Tadmor, is also enjoying the song.</t>
  </si>
  <si>
    <t>Galey Israel (@IsraelGaley)</t>
  </si>
  <si>
    <t>Galey Israel</t>
  </si>
  <si>
    <t>https://x.com/skoopit/status/1799396360296550500</t>
  </si>
  <si>
    <t>Dehumanization, Media, Israeli Society, Humiliation, Civilians, Hostage Rescue Operation, Hostages</t>
  </si>
  <si>
    <t>https://x.com/ytirawi/status/1798797098801824165</t>
  </si>
  <si>
    <t>IDF soldiers attired in Palestinan women's underwear</t>
  </si>
  <si>
    <t>Photo shows two IDF soldiers wearing undergarments taken from Palestinian women in the Gaza Strip</t>
  </si>
  <si>
    <t>Forced Displacement, Social Media, Women, Israeli Soldier Photos, Civilians, Dehumanization, Women's clothing (inc. lingerie)</t>
  </si>
  <si>
    <t>https://x.com/ytirawi/status/1798073737893511506</t>
  </si>
  <si>
    <t>IDF commander calls for indiscriminate killing of Palestinians in Gaza, WB, and Lebanon</t>
  </si>
  <si>
    <t>Shauli Sanker, Israel's commander of the 121st Battalion, claims all Palestinians, 'from young to old, are a wicked nation of rapists, child murderers, and abductors of elders and children.' He calls for using unguided artillery fire 'on every city in Lebanon, Gaza, and the West Bank with terrorist activity,' an immediate halt to humanitarian aid and fuel deliveries, and urges Gazans to 'fight Hamas or emigrate'.</t>
  </si>
  <si>
    <t>December 29, 2023</t>
  </si>
  <si>
    <t>Bombing, Children, Civilians, Collective Punishment, Crimes Against Humanity, Incitement to Genocide, Starvation, Humanitarian Aid, Demolition, Social Media</t>
  </si>
  <si>
    <t>Gaza Strip, West Bank, Lebanon</t>
  </si>
  <si>
    <t>Benny Gantz, Naftali Bennett</t>
  </si>
  <si>
    <t>https://twitter.com/ireallyhateyou/status/1784224046562816158</t>
  </si>
  <si>
    <t>Israeli comedian jokes about the death of Gazans from airdropped aid</t>
  </si>
  <si>
    <t>Avi Nussbaum makes fun of Gazan Palestinians who were killed by airdrops that landed on them</t>
  </si>
  <si>
    <t>@TalulaSha</t>
  </si>
  <si>
    <t>Israeli Society, Food, Dehumanization, Humanitarian Aid, Airdrops, Mockery</t>
  </si>
  <si>
    <t>https://twitter.com/ofercass/status/1787791098095534223</t>
  </si>
  <si>
    <t>IDF commander gives motivational speech to his soldiers before entering Rafah</t>
  </si>
  <si>
    <t>An IDF officer gives a motivational speech to his soldiers, which includes a religious Jewish context and calls for the destruction of Rafah</t>
  </si>
  <si>
    <t>May 7 ,2024</t>
  </si>
  <si>
    <t>Destruction, incitement to Violence, Dehumanization, Israeli Soldier Movies, Limiting Free Speech</t>
  </si>
  <si>
    <t>https://twitter.com/wattheactualfuq/status/1760775215418634685</t>
  </si>
  <si>
    <t>An image of a uniformed IDF soldier on a dating app, together with women's lingerie</t>
  </si>
  <si>
    <t>An IDF soldier uploads a picture of himself to a dating app. The soldier is in uniform and armed, with a collection of female underwear in the background, which seem to be looted from homes in Gaza</t>
  </si>
  <si>
    <t>Girl, Interrupted (@wattheactualfuq)</t>
  </si>
  <si>
    <t>Looting, Social Media, Israeli Soldier Photos, Women's clothing (inc. lingerie)</t>
  </si>
  <si>
    <t>https://twitter.com/ytirawi/status/1745491460525375587</t>
  </si>
  <si>
    <t>IDF soldiers inside a house in Gaza, displaying women's lingerie as a discovery of "weapons"</t>
  </si>
  <si>
    <t>A video of IDF soldiers inside a house in Gaza. The soldier display women's lingerie they found as a discovery of "weapons"</t>
  </si>
  <si>
    <t>Looting, Women, Social Media, Dehumanization, Israeli Soldier Movies, Women's clothing (inc. lingerie)</t>
  </si>
  <si>
    <t>https://twitter.com/ytirawi/status/1746696846817325288</t>
  </si>
  <si>
    <t>IDF soldiers post a mocking video of a destroyed hair salon</t>
  </si>
  <si>
    <t>Video posted by IDF soldiers mocking the destruction of a hair salon in the Zaytun neighborhood of Gaza City.</t>
  </si>
  <si>
    <t>Humiliation, Destruction, Social Media, Israeli Soldier Movies, Dehumanization</t>
  </si>
  <si>
    <t>https://twitter.com/ytirawi/status/1747994879156793524</t>
  </si>
  <si>
    <t>Israeli soldiers allegedly tied the feet of a killed Palestinian and dragged his body in Tulkarem refugee camp</t>
  </si>
  <si>
    <t>Two eyewitnesses claim that IDF soldiers tied the feet of a man and dragged his body in the Tulkarem refugee camp.</t>
  </si>
  <si>
    <t>January 18, 2024</t>
  </si>
  <si>
    <t>https://x.com/MariamBarghouti/status/1747994969963389062</t>
  </si>
  <si>
    <t>Tulkarm Refugee Camp</t>
  </si>
  <si>
    <t>Dehumanization, Humiliation, Corpses, Violence</t>
  </si>
  <si>
    <t>West Bank, Tul Karem</t>
  </si>
  <si>
    <t>https://twitter.com/ytirawi/status/1748137507319939548</t>
  </si>
  <si>
    <t>An IDF soldier uses heavy equipment to demolish a house as a joke</t>
  </si>
  <si>
    <t>A soldier uploaded a TikTok video in which he shows himself demolishing a house using heavy equipment, since his superior asked him to remove the grafitti writing from its walls</t>
  </si>
  <si>
    <t>Video, Photo</t>
  </si>
  <si>
    <t>Social Media, Vandalism, Destruction, Israeli Soldier Movies, Dehumanization, Buildings</t>
  </si>
  <si>
    <t>https://twitter.com/ytirawi/status/1749593678861984045</t>
  </si>
  <si>
    <t>An IDF soldier mocks the messy condition and destruction of the house he is located in</t>
  </si>
  <si>
    <t>A video uploaded to social media shows a soldier telling Israeli women at home that whenever they complain about some mess, they need to consider how this house in Shujjaiya looks</t>
  </si>
  <si>
    <t>Gaza city, Shujjaiya</t>
  </si>
  <si>
    <t>Social Media, Humiliation, Israeli Society, Israeli Soldier Movies, Dehumanization</t>
  </si>
  <si>
    <t>Gaza City, Shujjaiya</t>
  </si>
  <si>
    <t>https://twitter.com/ytirawi/status/1755342772670804416</t>
  </si>
  <si>
    <t>IDF detaines and displaces Gazans</t>
  </si>
  <si>
    <t>A Facebook post which shows a picture of Gazans taken as hostages and another pictures of Gazans being expelled.</t>
  </si>
  <si>
    <t>Social Media, Collective Punishment, Forced Displacement, Israeli Soldier Photos, Dehumanization, Detainees</t>
  </si>
  <si>
    <t>https://x.com/HindRFoundation/status/1858485122263093445</t>
  </si>
  <si>
    <t>Israel helped IDF reserve officer flee Cyprus amid war crimes probe</t>
  </si>
  <si>
    <t>Israeli media confirms that the government helped an army officer flee Cyprus to avoid arrest over war crimes after a complaint by the Hind Rajab Foundation.</t>
  </si>
  <si>
    <t>Hind Rajab Foundation (@HindRFoundation)</t>
  </si>
  <si>
    <t>https://www.israelhayom.co.il/news/geopolitics/article/16802240</t>
  </si>
  <si>
    <t>Cyprus</t>
  </si>
  <si>
    <t>War Crimes, Accountability</t>
  </si>
  <si>
    <t>Israeli Government, Hind Rajab Foundation, ICC (International Criminal Court), IDF (Israel Defense Forces)</t>
  </si>
  <si>
    <t>https://x.com/AbuLocation/status/1848119454980288647</t>
  </si>
  <si>
    <t>Burning of Hamad School in Beth Lahiya (geolocation)</t>
  </si>
  <si>
    <t>IDF Battalion 432 soldiers burn Hamad School Beth Lahiya. Gazans sheltering there near the Indonesian Hospital were forcibly displaced.</t>
  </si>
  <si>
    <t>October 20, 2024</t>
  </si>
  <si>
    <t>October 20 2024</t>
  </si>
  <si>
    <t>https://x.com/ytirawi/status/1848035650072711417</t>
  </si>
  <si>
    <t>Beth Lahiya</t>
  </si>
  <si>
    <t>Forced Displacement, Ground Operation, Burning, Destruction, Hospital, Schools, Israeli Soldier Photos, Geolocation</t>
  </si>
  <si>
    <t>The Indonesian Hospital, Beit Lahiya, Gaza Strip</t>
  </si>
  <si>
    <t>https://x.com/AbuLocation/status/1853130631250669814</t>
  </si>
  <si>
    <t>Burial of unidentified victims outside Kamal Adwan Hospital (geolocation)</t>
  </si>
  <si>
    <t>Burial of unidentified victims outside Kamal Adwan Hospital walls is the peak of the humanitarian and medical disaster in Jabalia and Beit Lahia.</t>
  </si>
  <si>
    <t>Novermber 4, 2024</t>
  </si>
  <si>
    <t>Novermber 4, 2026</t>
  </si>
  <si>
    <t>https://x.com/AlQastalps/status/1852831566340428232</t>
  </si>
  <si>
    <t>Burial, Hospital, Public Health, Humanitarian Crisis, Geolocation</t>
  </si>
  <si>
    <t>Kamal Adwan Hospital, Gaza Strip</t>
  </si>
  <si>
    <t>https://x.com/AbuLocation/status/1856250030912344560</t>
  </si>
  <si>
    <t>Israei forces evacuate school shortly after aid is delivered to it (geolocated)</t>
  </si>
  <si>
    <t>IDF evacuates three schools in Beit Hanoun shortly after first food\water aid in 1.5 months reaches one of the schools.</t>
  </si>
  <si>
    <t>Novermber 12, 2024</t>
  </si>
  <si>
    <t>https://x.com/NewpressPs/status/1856203876283597053</t>
  </si>
  <si>
    <t>Beit Hanoun Secondary School for Boys E</t>
  </si>
  <si>
    <t>Food, Humanitarian Aid, Forced Displacement, Water, Schools, Starvation, Geolocation</t>
  </si>
  <si>
    <t>Beit Hanoun, Gaza Strip</t>
  </si>
  <si>
    <t>https://x.com/AbuLocation/status/1858819672201691574</t>
  </si>
  <si>
    <t>Massive Israeli bombing raid on Beit Lahiya (geolocated)</t>
  </si>
  <si>
    <t>One of the largest air strikes on Beth Lahiya as part of the North Gaza operation of late 2024</t>
  </si>
  <si>
    <t>October 19, 2024</t>
  </si>
  <si>
    <t>https://x.com/AnasAlSharif0/status/1847765118878208440</t>
  </si>
  <si>
    <t>North Gaza, Beit Lahiya</t>
  </si>
  <si>
    <t>Bombing, Air Strike, Destruction, Civilians, Geolocation</t>
  </si>
  <si>
    <t>North Gaza, Beit Lahiya, Gaza Strip</t>
  </si>
  <si>
    <t>https://apnews.com/article/us-pier-gaza-famine-israel-1feae14dac670bb4de0467988799c5c6</t>
  </si>
  <si>
    <t>UN food agency warns that the new US sea route for Gaza aid may fail unless conditions improve</t>
  </si>
  <si>
    <t>Following a civilian gunshot death amidst a crowd of people who seized the goods off of aid trucks, the U.N. World Food Program warns that the new U.S. sea route for delivering aid to Gaza, based on a U.S. built pier, may fail unless Israel improves conditions for humanitarian operations.</t>
  </si>
  <si>
    <t>Ellen Knickmeyer, Samy Magdy</t>
  </si>
  <si>
    <t>Humanitarian Aid, Humanitarian Crisis, Food, Violence, Civilians, Shooting, Starvation</t>
  </si>
  <si>
    <t>World Food Programme, USAID (United States Agency for International Development)</t>
  </si>
  <si>
    <t>Gaza Strip, Netzarim Corridor</t>
  </si>
  <si>
    <t>https://apnews.com/article/israel-palestinians-west-bank-jenin-raid-a3320a77a3a6ccff41db2a4bc63e4aa3</t>
  </si>
  <si>
    <t>UN halts all food distribution in Rafah after running out of supplies</t>
  </si>
  <si>
    <t>The United Nations has suspended food distribution in Rafah due to a lack of supplies and a deteriorating security situation amid Israel's military operations.</t>
  </si>
  <si>
    <t>Tia Goldenberg, Samy Magdy, Lee Keath</t>
  </si>
  <si>
    <t>Food, Humanitarian Crisis, Forced Displacement, Civilians, Hospital, Water, Starvation, Public Health, Violence, Humanitarian Aid, Hostage Deal</t>
  </si>
  <si>
    <t>World Food Programme, United States, Israeli Government, ICC (International Criminal Court), UN (United Nations)</t>
  </si>
  <si>
    <t>Israel, Rafah, South Gaza, North Gaza, Gaza Strip</t>
  </si>
  <si>
    <t>Benjamin Netanyahu, Joe Biden, Yoav Gallant, Israel Katz</t>
  </si>
  <si>
    <t>https://twitter.com/1james_elder/status/1770440852717912117</t>
  </si>
  <si>
    <t>UNICEF Spokesperson records a video of himself the empty and partially destroyed Nasser Hospital after its evacuation in March 2024</t>
  </si>
  <si>
    <t>UNICEF Spokesperson films a video of the empty Nasser Hospital after its evacuation in March 2024. The hospital is burned and partially destroyed. The emphasis in the video is on children.</t>
  </si>
  <si>
    <t>March 20, 2024</t>
  </si>
  <si>
    <t>James Elder (@1james_elder)</t>
  </si>
  <si>
    <t>Nasser Medical Hospital</t>
  </si>
  <si>
    <t>Public Health, Hospital, Children, Civilians</t>
  </si>
  <si>
    <t>UNICEF (United Nations Children's Fund)</t>
  </si>
  <si>
    <t>https://x.com/HossamShabat/status/1856506570705678625</t>
  </si>
  <si>
    <t>Gazan journalist reflects on how a family friend lost everything during the war.</t>
  </si>
  <si>
    <t>Loss and bereavement have rendered a formerly propserous Gazan homeless and destitute. He reported he lost all his family members and sleeps on the street</t>
  </si>
  <si>
    <t>Civilians, Economy, Testimony, Death</t>
  </si>
  <si>
    <t>https://x.com/Dr_Muneer1/status/1863059825745109229</t>
  </si>
  <si>
    <t>Director of Al Ahli Baptist Hospital speaks about the health situation in Gaza</t>
  </si>
  <si>
    <t>Dr Fadel Naim, Director of Al Ahli Baptist Hospital, speaks at some length about the dire health situation in Gaza. He calls for Israeli authorities to address urgent needs for staff, equipment and reconstruction of damaged hospitals.</t>
  </si>
  <si>
    <t>Al Ahli Baptist Hospital</t>
  </si>
  <si>
    <t>Public Health, Sanitation, Starvation, War Crimes, Water, Malnutrition, Infrastructure, Murder, Healthcare Workers, Blockade</t>
  </si>
  <si>
    <t>Gaza Strip, North Gaza, Al Ahli Baptist Hospital</t>
  </si>
  <si>
    <t>https://x.com/DropSiteNews/status/1848819280730853559</t>
  </si>
  <si>
    <t>IDF claims of aid entering Gaza contradict Palestinian journalists'</t>
  </si>
  <si>
    <t>DropSite News share that although the IDF claim hundreds of aid trucks have entered the Gaza Strip, Palestinian journalists maintain that besieged areas of Gaza recieve no food. The context is the tight siege on North Gaza as part of a major operation there in late 2024.</t>
  </si>
  <si>
    <t>COGAT (The Coordination of the Israeli Government Activities in the Territories)</t>
  </si>
  <si>
    <t>Humanitarian Aid, Journalists, Starvation, Testimony</t>
  </si>
  <si>
    <t>United States, Israeli Government, COGAT (The Coordination of the Israeli Government Activities in the Territories)</t>
  </si>
  <si>
    <t>https://x.com/DropSiteNews/status/1851832529411588266</t>
  </si>
  <si>
    <t>Middle East: Daily Roundup</t>
  </si>
  <si>
    <t>OCHA reports that Israel kills 343 people in 7 "mass casualty incidents" in 6 days across the Gaza Strip. Israeli forces have laid seige to the Nur Shams refugee camp near Tulkarm and assassinated an alleged Hamas leader in the Tulkarm refugee camp. Israeli attacks in Lebanon claim nineteen victims in Lebanon. US "inundated with claims that American arms killed Gaza civilians."</t>
  </si>
  <si>
    <t>Beth Lahiya, Nuseirat, Jabaliya refugee camp, Khan Younis, al-Shati refugee camp, Tulkarm, Nur Shams, Baalbek</t>
  </si>
  <si>
    <t>Air Strike, Children, Civilians, Forced Displacement, Public Health, Ground Operation, Bombing, Schools, Humanitarian Aid, Women, Demolition</t>
  </si>
  <si>
    <t>Hamas, United States, IDF (Israel Defense Forces), UNRWA (The UN Relief and Works Agency for Palestine Refugees), OCHA (UN Office for the Coordination of Humanitarian Affairs)</t>
  </si>
  <si>
    <t>Gaza Strip, Beit Lahiya, Jabaliya, Khan Younis, North Gaza, South Gaza, West Bank, Tul Karem, Nur Shams Refugee Camp</t>
  </si>
  <si>
    <t>https://x.com/DropSiteNews/status/1859663484700508233</t>
  </si>
  <si>
    <t>Update from Kamal Adwan Hospital, North Gaza</t>
  </si>
  <si>
    <t>Hospital Director Dr. Hussam Abu Safiya shares details of airstrikes on Northern Gaza leaving 88 dead. He recounts the search for the dead under the rubble and discusses lack of medical and surgical staff, equipment, and facilities, as well as malnutrition. Dr. Abu Safiya also mentions that medical teams have been targeted by gunfire from quadcopter drones.</t>
  </si>
  <si>
    <t>Air Strike, Public Health, Healthcare Workers, Children, Medicine, Burial, Bombing, Hospital, Civilians, Infants, Testimony, Food, Malnutrition, Humanitarian Aid, Medical Equipment, Medical Supplies</t>
  </si>
  <si>
    <t>Kamal Adwan Hospital, North Gaza, Beit Lahiya, Gaza City, Sheikh Radwan</t>
  </si>
  <si>
    <t>https://x.com/DropSiteNews/status/1859716133093507365</t>
  </si>
  <si>
    <t>New attacks on Kamal Adwan hospital</t>
  </si>
  <si>
    <t>Dr. Hussam Abu Safiya calls Gazan journalist Anas al Sharif to report about ongoing attacks on Kamal Adwan Hospital: "we are dying ... get our message across to this world.."</t>
  </si>
  <si>
    <t>https://x.com/AnasAlSharif0/status/1859710425610527161</t>
  </si>
  <si>
    <t>Air Strike, Bombing, Civilians, Public Health, Humiliation, Children, Healthcare Workers, Hospital, Infants, Water, Electricity, Humanitarian Law, Testimony, Medical Equipment, Medical Supplies</t>
  </si>
  <si>
    <t>Gaza Strip, Kamal Adwan Hospital, North Gaza</t>
  </si>
  <si>
    <t>https://www.cnn.com/videos/world/2024/02/23/gaza-atrocities-investigation-warehouse-attack-karadsheh-pkg-vpx.cnn</t>
  </si>
  <si>
    <t>‘They are all gone, I have no one left’: Young woman’s story reveals previously undocumented atrocities in Gaza</t>
  </si>
  <si>
    <t>A CNN investigation (9:29 minutes) reveals previously undocumented atrocities in Gaza, highlighting the impact of indiscriminate Israeli attacks on civilians. Specifically, several corpses were found in the building where a surviving woman was injured. The bombing was likely a 2,000 pound bomb.</t>
  </si>
  <si>
    <t>February 28, 2024</t>
  </si>
  <si>
    <t>Salaheddin Street Gaza</t>
  </si>
  <si>
    <t>Civilians, Bombing, War Crimes, Humanitarian Crisis, Disturbing Content, Palestinian Testimony, Journalistic Report, Indiscriminate Shooting, "2000 Pound Bomb"</t>
  </si>
  <si>
    <t>https://www.cnn.com/2024/01/20/middleeast/israel-gaza-cemeteries-desecrated-investigation-intl-cmd/index.html</t>
  </si>
  <si>
    <t>At least 16 cemeteries in Gaza have been desecrated by Israeli forces, satellite imagery and videos reveal</t>
  </si>
  <si>
    <t>A CNN investigation based on satellite imagery and videos reveals that Israeli forces have desecrated at least 16 cemeteries in Gaza during their ground offensive, raising concerns about potential violations of international law.</t>
  </si>
  <si>
    <t>January 20, 2024</t>
  </si>
  <si>
    <t>Jeremy Diamond, Muhammad Darwish, Abeer Salman, Benjamin Brown and Gianluca Mezzofiore</t>
  </si>
  <si>
    <t>Text, Photo, Video</t>
  </si>
  <si>
    <t>Destruction of Cultural Sites, War Crimes, Civilians, Cemetery</t>
  </si>
  <si>
    <t>Al Buriej, Gaza City, Khan Younis</t>
  </si>
  <si>
    <t>https://x.com/HossamShabat/status/1859050248632471990</t>
  </si>
  <si>
    <t>Aftermath of devasting double bombing</t>
  </si>
  <si>
    <t>Paramedic and injured journalist Hossam Shabat mourn the dead civil defense member (reportedly Ali Mohamed Mustafa) after IDF reportedly bombs a civilian target.</t>
  </si>
  <si>
    <t>November 20,2024</t>
  </si>
  <si>
    <t>Bombing, Air Strike, Healthcare Workers, Journalists, Civilians, Injury</t>
  </si>
  <si>
    <t>https://www.israelhayom.co.il/news/politics/article/16463062</t>
  </si>
  <si>
    <t>27 MKs and ministers to Netanyahu: Adopt the "Generals' Plan" — which includes a closed military zone in northern Gaza</t>
  </si>
  <si>
    <t>27 Knesset members and ministers urged Prime Minister Benjamin Netanyahu to convene the security cabinet and adopt the "Generals' Plan" for the northern Gaza Strip.</t>
  </si>
  <si>
    <t>September 18, 2024</t>
  </si>
  <si>
    <t>Amir Etinger</t>
  </si>
  <si>
    <t>News</t>
  </si>
  <si>
    <t>Humanitarian Aid, Forced Displacement, Food, The Generals' Plan</t>
  </si>
  <si>
    <t>https://x.com/martinshawx/status/1820389008880361676</t>
  </si>
  <si>
    <t>Genocide scholar accuses Israel of committing genocide</t>
  </si>
  <si>
    <t>Genocide scholar Martin Shaw challenges historian Benny Morris on Al Jazeera, rejecting Morris' claim that Gaza's civilian devastation is merely 'collateral damage' in war. Shaw argues that Israel knowingly violated proportionality rules by systematically using 2,000-pound bombs to kill hundreds of civilians per combatant - a policy that was expected to destroy Gazan society, and that can only be understood as genocide.</t>
  </si>
  <si>
    <t>August 5,2024</t>
  </si>
  <si>
    <t>August 2, 2024</t>
  </si>
  <si>
    <t>Martin Shaw (@martinshawx)</t>
  </si>
  <si>
    <t>https://x.com/of_darkness07/status/1819415810286158042</t>
  </si>
  <si>
    <t>Academia, Genocide, War Crimes, Public Debate</t>
  </si>
  <si>
    <t>Martin Shaw, Benny Morris</t>
  </si>
  <si>
    <t>https://twitter.com/AIPAC/status/1769387362289655835</t>
  </si>
  <si>
    <t>AIPAC shares an article claiming the Gaza Ministry of Health's casualty numbers are "not real"</t>
  </si>
  <si>
    <t>Tweet by AIPAC linking to a Tablet Magazine article claiming that the Gaza Health Ministry is fabricating the statistics regarding civilian casualty in Gaza.</t>
  </si>
  <si>
    <t>AIPAC (@AIPAC)</t>
  </si>
  <si>
    <t>Tablet Magazine</t>
  </si>
  <si>
    <t>https://www.tabletmag.com/sections/news/articles/how-gaza-health-ministry-fakes-casualty-numbers</t>
  </si>
  <si>
    <t>Doubting the Gaza death toll, Journalistic Report, Propaganda, Public Opinion, Gaza death toll</t>
  </si>
  <si>
    <t>AIPAC (American Israel Public Affairs Committee)</t>
  </si>
  <si>
    <t>https://twitter.com/ytirawi/status/1761363322182516924</t>
  </si>
  <si>
    <t>IDF soldier mocking the destruction in Gaza</t>
  </si>
  <si>
    <t>A video showing an IDF soldier describing the beach in Gaza city: A flat, clean sea, no stones, no nothing". The camera shows the beach and then turns the other side. The soldier says that the view there is less pretty. The camera shows what looks like trash and then army vehicles. The soldier says: We will fuck you!</t>
  </si>
  <si>
    <t>Israeli Soldier Movies, Incitement to Violence, Social Media, Destruction, Humiliation, Israeli Society, Dehumanization</t>
  </si>
  <si>
    <t>https://twitter.com/ytirawi/status/1761463006720926062</t>
  </si>
  <si>
    <t>An IDF soldier showing shoes he found in a Palestinian home</t>
  </si>
  <si>
    <t>A video of an IDF soldier in full combat gear showing to the camera a box of fancy high heel shoes, apparently found in an apartment whose owners were displaced. He mockingly offers his girlfriend the shoes for their engagement.</t>
  </si>
  <si>
    <t>Israeli Soldier Movies, Humiliation, Looting, Israeli Society, Women, Civilians, Forced Displacement, Dehumanization</t>
  </si>
  <si>
    <t>https://twitter.com/ytirawi/status/1761472312908320798</t>
  </si>
  <si>
    <t>IDF soldier smashes a TV inside a Gaza home</t>
  </si>
  <si>
    <t>A group of IDF soldiers are sitting in the living room of a home in Gaza, which they filled with trash. One of them finds a PlayStation 4 and throws it forcefully at the TV while the rest are laughing.</t>
  </si>
  <si>
    <t>Israeli Soldier Movies, Vandalism, Confiscated Assets, Forced Displacement, Civilians, Dehumanization</t>
  </si>
  <si>
    <t>https://twitter.com/ytirawi/status/1762201439785410805</t>
  </si>
  <si>
    <t>Soldiers mocking Palestinian belongings</t>
  </si>
  <si>
    <t>A social media video titled "La Familia on tour" shows IDF soldiers displaying items of deceased or displaced Palestinians, referring to the Palestine flag as "Hamas flag," mocking women's underwear as "tactical uniforms," with one soldier stating "we will go on annihilating and purifying the space," and another soldier quotes from the bible: "I will pursue my enemies and overtake them; I will not turn back till they are destroyed."</t>
  </si>
  <si>
    <t>February 26, 2024</t>
  </si>
  <si>
    <t>Israeli Soldier Movies, Humiliation, Women, Forced Displacement, Social Media, Looting, Civilians, Dehumanization, Vandalism, Religious Right, Incitement to Violence</t>
  </si>
  <si>
    <t>https://x.com/ytirawi/status/1801344353375555936</t>
  </si>
  <si>
    <t>IDF Major advocating for Gaza's destruction and ethnic cleansing</t>
  </si>
  <si>
    <t>An IDF Major, in a video posted to his Instagram account: "There are no innocents in Gaza. [...] Everyone is guilty. And we will not know victory until we annihilate Gaza. [...] As the Torah says: 'Not to leave any of them alive.' [...] And there's no moral issue here. The moral thing is to destroy them. The moral thing is to expel them. The moral thing is to make a parking lot [of Gaza]"</t>
  </si>
  <si>
    <t>Incitement to Genocide, Nakba, War Crimes, Civilians, Children, Elderly, Collective Punishment, Ethnic Cleansing, Incitement to Violence, Social Media, Women, Religious Right, Dehumanization</t>
  </si>
  <si>
    <t>https://x.com/ytirawi/status/1801359465419055210</t>
  </si>
  <si>
    <t>IDF soldier dons clothing of dead/displaced Palestinian</t>
  </si>
  <si>
    <t>Social media photo shows an IDF soldier in Rafah wearing clothing items belonging to a displaced or deceased Palestinian man.</t>
  </si>
  <si>
    <t>June 14, 2024</t>
  </si>
  <si>
    <t>Social Media, Israeli Soldier Photos, Civilians, Looting, Dehumanization</t>
  </si>
  <si>
    <t>https://x.com/ytirawi/status/1801379681423245664</t>
  </si>
  <si>
    <t>IDF soldiers don looted hijabs</t>
  </si>
  <si>
    <t>Israeli soldiers from the 890 battalion photographed wearing hijabs belonging to killed or displaced Palestinian women in Gaza City.</t>
  </si>
  <si>
    <t>Looting, Women, Israeli Soldier Photos, Social Media, Civilians, Dehumanization</t>
  </si>
  <si>
    <t>https://x.com/ytirawi/status/1801555895878361567</t>
  </si>
  <si>
    <t>IDF soldier vandalizing Gaza home</t>
  </si>
  <si>
    <t>Video shows an IDF soldier smashing furniture inside a residential property in Rafah, with Hebrew caption reading: ‘Renovations in Gaza’.</t>
  </si>
  <si>
    <t>Vandalism, Israeli Soldier Movies, Civilians, Dehumanization</t>
  </si>
  <si>
    <t>https://x.com/ytirawi/status/1801560741138350491</t>
  </si>
  <si>
    <t>IDF soldier posting photo of Gazan detainees</t>
  </si>
  <si>
    <t>An IDF soldier with dual Israeli-American citizenship posted a photo from Gaza showing blindfolded Palestinian detainees kneeling with hands on their heads, captioned "Mom I think I freed palestine".</t>
  </si>
  <si>
    <t>Khan Yunis</t>
  </si>
  <si>
    <t>Dehumanization, Humiliation, Social Media, Israeli Soldier Photos, Abuse, Detainees</t>
  </si>
  <si>
    <t>https://x.com/ytirawi/status/1801625890633159060</t>
  </si>
  <si>
    <t>Israeli soldiers invading home of displaced Palestinian family</t>
  </si>
  <si>
    <t>A video filmed in a house in Rafah by Israeli soldiers shows the contents of the home, with Hebrew text added: "Tour before purchase. [OTHER SOLDIER'S NAME] is giving me a tour of the property. Really a complex for young couples."</t>
  </si>
  <si>
    <t>Vandalism, Social Media, Israeli Soldier Movies, Civilians, Dehumanization</t>
  </si>
  <si>
    <t>https://x.com/ytirawi/status/1792923935824048336</t>
  </si>
  <si>
    <t>IDF soldiers cheer as they watch a building explode</t>
  </si>
  <si>
    <t>A video of a group of IDF soldiers looking at an expected explosion in a residential neighborhood, clapping and cheering when it happens</t>
  </si>
  <si>
    <t>Israeli Soldier Movies, Mockery, Explosives, Demolition</t>
  </si>
  <si>
    <t>https://x.com/ytirawi/status/1793032057649512671</t>
  </si>
  <si>
    <t>An IDF soldier burning a copy of the Quran</t>
  </si>
  <si>
    <t>A video of an IDF soldier inside a mosque in East Rafah, facing the camera and throwing a copy of the Quran into a fire.</t>
  </si>
  <si>
    <t>Instagram</t>
  </si>
  <si>
    <t>East Rafah</t>
  </si>
  <si>
    <t>Humiliation, Burning, Mosques, Israeli Soldier Movies, Books, Destruction of Cultural Sites, Mockery, Israeli Soldier Photos, Quran, Religious Right, Social Media, Vandalism, Dehumanization</t>
  </si>
  <si>
    <t>https://x.com/ytirawi/status/1793047312115040450</t>
  </si>
  <si>
    <t>An IDF soldier calls for another Nakba</t>
  </si>
  <si>
    <t>A picture of an IDF soldier near his Facebook post: "On the 7th [of Oct.], anyone who hadn't realized that we are facing absolute evil understood it. There's literally one side that is absolutely good and one side that is absolute evil. Just as in [19]48 we were confident in the righteousness of our path and did what was necessary for our continued existence, like expelling entire villages and establishing Jewish cities on their ruins (Ashdod, Ashkelon, North Tel Aviv, and more), we must do the same now. We need to return to our Jewish identity and consciousness, believe in the righteousness of our cause, and understand that the solution against barbaric and murderous Islam is only through taking land. What is needed here is another "Nakba." Expulsion Conquest Settlement. This is the formula. There is no other solution”</t>
  </si>
  <si>
    <t>Incitement to Genocide, Nakba, Jewish Settlements in Gaza, Ethnic Cleansing, Racism, Dehumanization</t>
  </si>
  <si>
    <t>https://x.com/ytirawi/status/1793628894245118205</t>
  </si>
  <si>
    <t>An IDF soldier in a burning Aqsa University's library</t>
  </si>
  <si>
    <t>A picture of an IDF soldier in full combat gear reading a book while a fire burns the books of Aqsa University's library behind him.</t>
  </si>
  <si>
    <t>Al-Aqsa University</t>
  </si>
  <si>
    <t>Burning, Education, Destruction of Cultural Sites, Mockery, Books, Academia, Israeli Soldier Photos, Scholasticide</t>
  </si>
  <si>
    <t>https://x.com/ytirawi/status/1793756431881294035</t>
  </si>
  <si>
    <t>An IDF soldier claims they burned a thousand books in Gaza</t>
  </si>
  <si>
    <t>IDF soldier reposts a news report regarding an investigation of the Military Police against a soldier who filmed himself burning the Quran. The caption says: "We burned 1000 books in Gaza. I'm proud of you, my brother."</t>
  </si>
  <si>
    <t>Humiliation, Cultural Genocide, Burning, Mosques, Israeli Soldier Movies, Books, Destruction of Cultural Sites, Mockery, Israeli Soldier Photos, Quran, Religious Right, Social Media, Vandalism, Dehumanization</t>
  </si>
  <si>
    <t>https://twitter.com/ytirawi/status/1762207301920776365</t>
  </si>
  <si>
    <t>An IDF soldier placing lingerie near a sleeping soldier's mouth</t>
  </si>
  <si>
    <t>A short clip in which one IDF soldier is lying on a sofa in an apartment in North Gaza, while the other, with a gun in one hand is holding a lingerie item in the other hand above the lying soldier's face. Breathing is heard in the background.</t>
  </si>
  <si>
    <t>Israeli Soldier Movies, Humiliation, Confiscated Assets, Civilians, Mockery, Women's clothing (inc. lingerie)</t>
  </si>
  <si>
    <t>https://twitter.com/ytirawi/status/1762212629576069120</t>
  </si>
  <si>
    <t>IDF soldiers pretend to propose marriage</t>
  </si>
  <si>
    <t>The video shows a group of IDF soldiers inside a Beit Lahiya home. They are exploring the apartment, talking about the displaced inhabitants, apparently newlyweds, mentioning their names and marriage date (October 6); then finding a plastic flower bouquet and trying to stage a marriage proposal between two soldiers. Demolished buildings and rubble are visible from the window.</t>
  </si>
  <si>
    <t>Israeli Soldier Movies, Humiliation, Confiscated Assets, Women, Civilians, Dehumanization, Mockery</t>
  </si>
  <si>
    <t>Beit Lahiya, North Gaza</t>
  </si>
  <si>
    <t>https://twitter.com/ytirawi/status/1762221066372485260</t>
  </si>
  <si>
    <t>An IDF soldier jokingly talks about looting</t>
  </si>
  <si>
    <t>A video in which an IDF soldier jokingly asks another, "Are you looting again?" The soldier in front of the camera, holding a gun, responds by showing a 20-shekel bill. He explains that he found it in an apartment and is giving it to a friend whose 300 shekels were stolen by terrorists during an attack on their base. He adds that recovering stolen money is one of their objectives.</t>
  </si>
  <si>
    <t>Israeli Soldier Movies, Looting, Humiliation, Collective Punishment, Confiscated Assets, Mockery, Dehumanization</t>
  </si>
  <si>
    <t>https://twitter.com/ytirawi/status/1763563991387746557</t>
  </si>
  <si>
    <t>IDF soldiers preparing to blow up a mosque with mines (thread)</t>
  </si>
  <si>
    <t>Two photos of IDF soldiers planting a large number of round bombs on the floors and pillars of a mosque in Khan Younis. Four tweets before this include various images and videos of destruction, including torching homes in Khan Younis.</t>
  </si>
  <si>
    <t>March 1, 2024</t>
  </si>
  <si>
    <t>Mosques, Bombing, Destruction of Cultural Sites, Cultural Genocide, War Crimes, Collective Punishment, Civilians, Torching Houses, Destruction</t>
  </si>
  <si>
    <t>https://twitter.com/ytirawi/status/1763708173905506449</t>
  </si>
  <si>
    <t>Two IDF soldiers in a woman's bedroom in Gaza [part of a long thread]</t>
  </si>
  <si>
    <t>Two IDF soldiers in full combat gear in what look's like a woman's bedroom with her intimate belongings (creams, underwear, makeup), one wearing a red vest and a feminine purse, the other with a fake rose between his teeth. The thread continues for 13 more tweets that include more dehumanizing content, including destruction, looting, vandalism, torching homes and a detainee.</t>
  </si>
  <si>
    <t>March 2, 2024</t>
  </si>
  <si>
    <t>Humiliation, Confiscated Assets, Dehumanization, Women, Civilians, Israeli Soldier Photos, Israeli Society, Mockery, Destruction, Torching Houses, Women's clothing (inc. lingerie), Looting, Detainees</t>
  </si>
  <si>
    <t>Gaza Strip, Beit Hanoun, West Bank, Gaza City, Khan Younis</t>
  </si>
  <si>
    <t>https://twitter.com/ytirawi/status/1763708246227865971</t>
  </si>
  <si>
    <t>An IDF soldier displaying a lingerie item [part of a long thread]</t>
  </si>
  <si>
    <t>An IDF soldier in full combat gear holding an under slip making suggestive movements with music in the background, published on YouTube as part of the soldier's vlog. The thread includes 13 more tweets that include more dehumanizing content, including destruction, looting, vandalism, torching homes and a detainee.</t>
  </si>
  <si>
    <t>https://twitter.com/ytirawi/status/1763708570514657704</t>
  </si>
  <si>
    <t>IDF soldiers diplaying intimate items in a Gazan woman's bedroom [part of a long thread]</t>
  </si>
  <si>
    <t>Three photos of the same IDF soldier in full combat gear displaying intimate feminine items in a woman's bedroom in Gaza. The thread includes 13 more tweets that include more dehumanizing content, including destruction, looting, vandalism, torching homes and a detainee.</t>
  </si>
  <si>
    <t>https://twitter.com/ytirawi/status/1764384165724598533</t>
  </si>
  <si>
    <t>Four photos of IDF soldiers in victorious postures in Gaza</t>
  </si>
  <si>
    <t>Four photos of IDF soldiers: 1. Two soldiers in full combat gear are kneeling and stepping on a Palestine flag. 2. A soldier in full combat gear standing on a pulpit (of a mosque?) spreading his hands, 3. Three soldiers in full combat gear in a Gazan living room, pouring coffee using kitchen ware they probably found in the home. 4. An IDF soldier standing amidst urban destruction holding his hands up with fingers sticking up.</t>
  </si>
  <si>
    <t>March 3, 2024</t>
  </si>
  <si>
    <t>Humiliation, Urbicide, Confiscated Assets, Israeli Society, Israeli Soldier Photos, Destruction, Mosques</t>
  </si>
  <si>
    <t>https://twitter.com/ytirawi/status/1764773062908547579</t>
  </si>
  <si>
    <t>An IDF soldier smashes the rear window of a car</t>
  </si>
  <si>
    <t>An IDF soldier in full combat gear hurling a rock at the broken rear window of a parked car, shattering it further.</t>
  </si>
  <si>
    <t>March 5, 2024</t>
  </si>
  <si>
    <t>Vandalism, Civilians, Israeli Soldier Movies, Dehumanization</t>
  </si>
  <si>
    <t>https://twitter.com/ytirawi/status/1764778057364042167</t>
  </si>
  <si>
    <t>A thread with three videos of Palestinian detainees held by the IDF</t>
  </si>
  <si>
    <t>Three videos show Palestinian detainees in IDF custody, set to background music: 1. A masked IDF soldier in full combat gear drags a blindfolded young detainee in underwear from a military vehicle, gripping him by the back of the neck. 2. Two detainees, one appearing very young, sit inside a school with their eyes covered and hands bound. 3. Two blindfolded detainees in underwear are seen inside a military vehicle.</t>
  </si>
  <si>
    <t>Captivity Conditions, Israeli Soldier Movies, Detainees, Humiliation, Dehumanization, Civilians</t>
  </si>
  <si>
    <t>https://twitter.com/ytirawi/status/1764936131718635713</t>
  </si>
  <si>
    <t>A video mocking Palestinian refugees in Netzarim checkpoint</t>
  </si>
  <si>
    <t>The video shows at a distance large group of Palestinian refugees near the coast (likely walking on the coastal road) in Nezarim checkpoint, while a voice describes them mockingly: "Friends. Ultra Sakhnin came to support Gaza… from Doha. HAHAHA, look how many!".</t>
  </si>
  <si>
    <t>March 02, 2024</t>
  </si>
  <si>
    <t>Netzarim Checkpoint</t>
  </si>
  <si>
    <t>Humiliation, Israeli Soldier Movies, Forced Displacement, Civilians, Dehumanization, Israeli Society, Mockery</t>
  </si>
  <si>
    <t>Gaza City, Netzarim Corridor</t>
  </si>
  <si>
    <t>https://twitter.com/ytirawi/status/1765035342032142672</t>
  </si>
  <si>
    <t>Four images in a thread: 1. An IDF soldier dressed up in traditional Arab clothes. 2. A soldier in front of a burning picture. 3. A soldier holding a gun in underwear. 4. Two soldiers sitting in a swing.</t>
  </si>
  <si>
    <t>Two photos: 1. An IDF soldier dressed in a white galabia and white Keffiyeh inside a home in Gaza, another soldier in uniform standing behind him. 2. A soldier sitting in full combat gear and a gun sitting on a chair inside a home, while a big picture is burning behind him. 3. A soldier holding a gun in underwear with destruction in the background. 4. Two soldiers sitting in a swing in a destroyed building.</t>
  </si>
  <si>
    <t>Gaza City and Khan Younis</t>
  </si>
  <si>
    <t>Humiliation, Burning, Vandalism, Confiscated Assets, Forced Displacement, Civilians, Mockery, Israeli Soldier Photos, Toys, Destruction</t>
  </si>
  <si>
    <t>Gaza City, Khan Younis</t>
  </si>
  <si>
    <t>https://twitter.com/ytirawi/status/1765297033093538206</t>
  </si>
  <si>
    <t>Images of a room full of mines and a soldier pointing his gun out of a window with some dehumanizing words</t>
  </si>
  <si>
    <t>Two photos: 1. The floor of a room in an apartment is covered with mines. Soldiers are handling them. 2. A soldier inside an apartment with his gun pointing outside the window in the direction of other buildings. A caption reads: "Citizens of Khan Younis. It was my pleasure to blow your houses up in the air" with a laughing emoji. All this was posted on Instagram.</t>
  </si>
  <si>
    <t>March 05, 2024</t>
  </si>
  <si>
    <t>Bombing, Humiliation, Social Media, Collective Punishment, Mockery</t>
  </si>
  <si>
    <t>https://twitter.com/ytirawi/status/1765392369531187549</t>
  </si>
  <si>
    <t>An IDF soldier with lingerie hanging on barbed wire. A second image includes two soldiers with a bra.</t>
  </si>
  <si>
    <t>A soldier in full combat gear facing the camera and smiling, next to about 10 pieces of colorful lingerie hanging on barbed wire, and touching one of the bras. The second image has one soldier holding a bra, apparently taking it.</t>
  </si>
  <si>
    <t>February 15, 2024</t>
  </si>
  <si>
    <t>February 17, 2024</t>
  </si>
  <si>
    <t>Humiliation, Looting, Mockery, Women, Israeli Soldier Photos, Women's clothing (inc. lingerie)</t>
  </si>
  <si>
    <t>https://twitter.com/ytirawi/status/1765447101100785887</t>
  </si>
  <si>
    <t>IDF soldiers showing a very young Palestinian detainee</t>
  </si>
  <si>
    <t>Two IDF soldiers are walking along a wall full of Hebrew graffiti, not far from the beach in Netzarim military checkpoint. Both are in full combat gear, only their eyes showing. One of them is the commander and he orders his soldier to show the camera "the kidnapped", who looks like a very young Palestinian detainee, all curled up with tied hands and covered eyes. Nearby another soldier sits on a swing.</t>
  </si>
  <si>
    <t>Netzarim checkpoint</t>
  </si>
  <si>
    <t>Israeli Soldier Movies, Humiliation, Captivity Conditions, Detainees, Children, Civilians, Dehumanization, Mockery, Toys</t>
  </si>
  <si>
    <t>Netzarim Corridor, Gaza City</t>
  </si>
  <si>
    <t>https://twitter.com/ytirawi/status/1766016416371630284</t>
  </si>
  <si>
    <t>Soldiers displaying Gazan women’s lingerie and accessories (6 images)</t>
  </si>
  <si>
    <t>Two photos: 1. Two IDF soldiers with naked upper bodies standing outside. One of them is wearing a fancy bra and the other one is touching his friend's "breast" and laughing. 2. A soldier in full combat gear wearing a bra over his uniform, holding a purse and making a suggestive gesture with his tongue. The second tweet in the thread includes four images: 1. A soldier wearing women's clothes and holding a handbag. 2. A soldier with a women's scarf(?). 3. Another soldier wearing a bra and holding a bag next to the soldier from #1. 4. A soldier holding a woman's robe.</t>
  </si>
  <si>
    <t>Humiliation, Looting, Women, Civilians, Mockery, Israeli Soldier Photos, Israeli Society, Women's clothing (inc. lingerie)</t>
  </si>
  <si>
    <t>https://twitter.com/ytirawi/status/1766178422361821416</t>
  </si>
  <si>
    <t>Two soldiers holding a picture of a women in lingerie [an additional long thread]</t>
  </si>
  <si>
    <t>Two soldiers in uniform, facing the camera and smiling while holding together a package that has a picture of a women in lingerie on it. The caption reads: "Gaza take your pants of because our force is coming in". There are 11 more tweets in this thread, including blowing up a mosque, demolition of buildings, torching buildings, destruction of the entrance of al Azhar University, IDF soldiers looting and wearing Palestinian women's clothes, a soldier without a shirt and a Hamas(?) headband and additional dehumanizing content.</t>
  </si>
  <si>
    <t>Humiliation, Incitement to Violence, Israeli Soldier Photos, Collective Punishment, Mockery, Israeli Soldier Movies, Women's clothing (inc. lingerie), Women, Video games, Vandalism, Demolition, Destruction, Torching Houses, Mosques</t>
  </si>
  <si>
    <t>https://twitter.com/ytirawi/status/1766491956090155333</t>
  </si>
  <si>
    <t>IDF soldier mocking a detainee [additional content in 6 other tweets]</t>
  </si>
  <si>
    <t>A group of detainees is standing in a line with hands up facing an army vehicle in a city street. Some soldiers are standing around. A man - apparently a healthcare worker - in a white robe and tied hands is led by a soldier. The Hebrew caption reads: "Human garbage" "Here he is, not such a hero after we got to him". In the background some message is called in Arabic by an announcer. The other content in the thread includes destruction of a mosque and other buildings, vandalism, a soldier wearing a dress, and a video of hundreds or thousands of displaced Gazans.</t>
  </si>
  <si>
    <t>March 9, 2024</t>
  </si>
  <si>
    <t>Humiliation, Israeli Soldier Movies, Captivity Conditions, Healthcare Workers, Detainees, Civilians, Forced Displacement, Women's clothing (inc. lingerie), Destruction, Mosques, Dehumanization</t>
  </si>
  <si>
    <t>https://x.com/ytirawi/status/1801740747453940209</t>
  </si>
  <si>
    <t>IDF soldier burns Arabic language newspaper</t>
  </si>
  <si>
    <t>Three other soldiers are nearby. The burning takes place in a house.</t>
  </si>
  <si>
    <t>Israeli Soldier Photos, Israeli Society, Vandalism, Humiliation, Confiscated Assets, Dehumanization</t>
  </si>
  <si>
    <t>https://x.com/ytirawi/status/1801743066497212733</t>
  </si>
  <si>
    <t>Three images of IDF soldiers burning Gazan buildings</t>
  </si>
  <si>
    <t>IDF soldiers in front of burning buildings in three different images; the Hebrew caption reads "Gaza RIP".</t>
  </si>
  <si>
    <t>Burning, Ground Operation, Israeli Soldier Photos, Israeli Society, Collective Punishment, Domicide, Civilians, Urbicide, Humiliation, Torching Houses</t>
  </si>
  <si>
    <t>https://x.com/ytirawi/status/1801747288328479222</t>
  </si>
  <si>
    <t>IDF soldier destroys musical instrument; another destroys a painting</t>
  </si>
  <si>
    <t>An IDF soldier smashes musical instruments inside a Gazan home, while other soldiers present laugh in the background.A different tweet includes an IDF soldier which tears through a painting with his head</t>
  </si>
  <si>
    <t>Vandalism, Israeli Soldier Movies, Mockery, Confiscated Assets, Forced Displacement, Civilians, Toys</t>
  </si>
  <si>
    <t>https://x.com/ytirawi/status/1801966059886399640</t>
  </si>
  <si>
    <t>Soldiers mock the destruction in a building which was also torched</t>
  </si>
  <si>
    <t>IDF soldiers joke about Gaza's power cuts and the destruction amid the ruins of a Palestinian home.</t>
  </si>
  <si>
    <t>Demolition, Electricity, Israeli Soldier Movies, Mockery, Humiliation, Destruction</t>
  </si>
  <si>
    <t>https://x.com/ytirawi/status/1801973888529678428</t>
  </si>
  <si>
    <t>IDF soldiers burning the top of a residential building, filmed from below</t>
  </si>
  <si>
    <t>IDF soldiers torching a residential tower in Gaza City at night, with Hebrew caption reading: “Gaza is going up in flames”. Pieces of debris and glass(?) fall down.</t>
  </si>
  <si>
    <t>Burning, Demolition, Collective Punishment, Torching Houses, Israeli Soldier Movies</t>
  </si>
  <si>
    <t>https://twitter.com/QudsNen/status/1749145986595713498</t>
  </si>
  <si>
    <t>Israeli forces destroyed parts of Al-Faloojah cemetery in northern Gaza</t>
  </si>
  <si>
    <t>Israeli forces accopanied by bulldozers destroyed parts of Al-Faloojah cemetery in northern Gaza.</t>
  </si>
  <si>
    <t>January 21, 2024</t>
  </si>
  <si>
    <t>Al-Faloojah cemetery, Northern Gaza</t>
  </si>
  <si>
    <t>Burial, Demolition, Destruction, Cemetery, Dehumanization</t>
  </si>
  <si>
    <t>https://twitter.com/RamAbdu/status/1743386378606412188</t>
  </si>
  <si>
    <t>Israeli bulldozers dig and destroy al-Batish Cemetery near Gaza city</t>
  </si>
  <si>
    <t>Israeli bulldozers destroy al-Batish Cemetery near Gaza City. Bodies are scattered and graves can't be located.</t>
  </si>
  <si>
    <t>January 5, 2024</t>
  </si>
  <si>
    <t>al-Batish Cemetery near Gaza City</t>
  </si>
  <si>
    <t>https://twitter.com/RamAbdu/status/1759474743189660011</t>
  </si>
  <si>
    <t>Destruction of publishing house and library of Al-Kalima, which is burned down</t>
  </si>
  <si>
    <t>The IDF(?) destroys and burns down the publishing house and library of Al-Kalima in the Sheikh Radwan neighbourhood in Gaza.</t>
  </si>
  <si>
    <t>Sheikh Radwan, Gaza City</t>
  </si>
  <si>
    <t>Cultural Genocide, Destruction of Cultural Sites, Books, Burning</t>
  </si>
  <si>
    <t>Gaza City, North Gaza</t>
  </si>
  <si>
    <t>https://twitter.com/RamAbdu/status/1766458940118769799</t>
  </si>
  <si>
    <t>The Israeli army destroyed the historic "Barqouq Castle" in Khan Yunis</t>
  </si>
  <si>
    <t>The Israeli army destroyed the historic "Barqouq Castle" in Khan Yunis. Poster claims "Israel has destroyed almost all archaeological sites in the Gaza Strip and burned libraries and the central history archive building."</t>
  </si>
  <si>
    <t>Cultural Genocide, Education, Destruction of Cultural Sites, Destruction</t>
  </si>
  <si>
    <t>https://twitter.com/RamAbdu/status/1771125186370101561</t>
  </si>
  <si>
    <t>IDF bulldozer demolishes graves in the Gaza Strip</t>
  </si>
  <si>
    <t>A film from within an IDF bulldozer that demolishes graves in the Gaza Strip while listening to music.</t>
  </si>
  <si>
    <t>March 22,2024</t>
  </si>
  <si>
    <t>Burial, Demolition, Israeli Soldier Movies, Cemetery, Destruction, Destruction of Cultural Sites</t>
  </si>
  <si>
    <t>https://twitter.com/RamAbdu/status/1777786701768708193</t>
  </si>
  <si>
    <t>Aerial footage by Al Jazeera shows the extent of destruction of Beit Hanoun</t>
  </si>
  <si>
    <t>Aerial footage by Al Jazeera shows that the city of Beit Hanoun in Northern Gaza was mostly destroyed by Israel.</t>
  </si>
  <si>
    <t>April 9, 2024</t>
  </si>
  <si>
    <t>Bombing, Urbicide, Demolition, Destruction</t>
  </si>
  <si>
    <t>https://twitter.com/RamAbdu/status/1786005107986841626</t>
  </si>
  <si>
    <t>The Israeli army demolishes buildings at al-Azhar University</t>
  </si>
  <si>
    <t>A video shows the destruction of buildings at the university from a distance.</t>
  </si>
  <si>
    <t>https://euromedmonitor.org/en/article/6108/Israel-kills-dozens-of-academics,-destroys-every-university-in-the-Gaza-Strip</t>
  </si>
  <si>
    <t>al-Azhar University, Gaza City</t>
  </si>
  <si>
    <t>Academia, Bombing, Demolition, Destruction of Cultural Sites, Urbicide, Scholasticide</t>
  </si>
  <si>
    <t>https://twitter.com/T_Nachala/status/1786806755374084274</t>
  </si>
  <si>
    <t>A sign in the Gaza Strip claiming to establish a new settlement, "Brit Nezarim"</t>
  </si>
  <si>
    <t>The sign was placed by an IDF Company in memorial of a fallen soldier.</t>
  </si>
  <si>
    <t>Nachala a settling movment (@T_Nachala)</t>
  </si>
  <si>
    <t>Jewish Settlements in Gaza</t>
  </si>
  <si>
    <t>https://x.com/HossamShabat/status/1862458598909002041</t>
  </si>
  <si>
    <t>Funeral of Dr Ahmed Al Kahlot</t>
  </si>
  <si>
    <t>Medical staff at Kamal Adwan Hospital pay last respects to their colleague.</t>
  </si>
  <si>
    <t>November 29,2024</t>
  </si>
  <si>
    <t>Healthcare Workers, Hospital, Burial, Civilians</t>
  </si>
  <si>
    <t>https://x.com/HossamShabat/status/1863059618705916244</t>
  </si>
  <si>
    <t>Civil defense unable to retrieve bodies.</t>
  </si>
  <si>
    <t>A report on the civil defense's inability to retrieve bodies from underneath the rubble after bombing of six story building. Official death toll does not include bodies unretrieved from rubble and is therefore likely much higher than reported.</t>
  </si>
  <si>
    <t>December 1 2024</t>
  </si>
  <si>
    <t>Air Strike, Bombing, Burial, Journalistic report, Gaza Death Toll, Buildings</t>
  </si>
  <si>
    <t>https://x.com/ireallyhateyou/status/1794698212206653773</t>
  </si>
  <si>
    <t>A tweet by Stas Kopol calling to "not leave any Gazan alive"</t>
  </si>
  <si>
    <t>A tweet by Stas Kopol, A cameraman in Channel 14 saying: "Do not leave any Gazan alive". He subsequently states that there are no people in Gaza but Nazis who should not be left alive.</t>
  </si>
  <si>
    <t>May 26,2024</t>
  </si>
  <si>
    <t>Israeli Society, Incitement to Genocide, Racism, Incitement to Violence, Civilians, Dehumanization</t>
  </si>
  <si>
    <t>https://twitter.com/ytirawi/status/1761723209760608272</t>
  </si>
  <si>
    <t>Bulldozer and excavator destroying buildings in Gaza</t>
  </si>
  <si>
    <t>A video in fast motion of a bulldozer and an excavator demolishing buildings inside a city neigborhood, big parts of which are already in rubble. The Hebrew caption says: "Hop hop Lego" and "We are making an effort not to leave you anything, you dogs.” The sound is of a song "Happy New Year"; posted on Instagram.</t>
  </si>
  <si>
    <t>Israeli Soldier Movies, Domicide, Urbicide, Social Media, Humiliation, Israeli Society, Mockery</t>
  </si>
  <si>
    <t>https://twitter.com/ytirawi/status/1767698980127838474</t>
  </si>
  <si>
    <t>Drone footage of IDF soldiers torching Shujjaiya Neighborhood</t>
  </si>
  <si>
    <t>IDF soldiers from the Givati Brigade torch Shujjaiya Neighborhood. Voiceover of Israeli comms that includes the following message. “BUTTERFLY STATIONS, THIS IS COMMAND. WE'RE SETTING OUT TO OPERATION 8TH CANDLE OF HANUKKAH. THE BURNING OF SHAJAIYYA NEIGHBORHOOD…WE WILL ANNIHILATE THEM TO DUST”.</t>
  </si>
  <si>
    <t>December 1, 2023</t>
  </si>
  <si>
    <t>Shujjaiya</t>
  </si>
  <si>
    <t>Burning, Urbicide, Israeli Soldier Movies, Dehumanization</t>
  </si>
  <si>
    <t>Gaza Strip, Gaza City, Shujjaiya</t>
  </si>
  <si>
    <t>https://twitter.com/ytirawi/status/1781809245312180237</t>
  </si>
  <si>
    <t>IDF Major promises to return to Netzarim on his personal Facebook account</t>
  </si>
  <si>
    <t>The IDF Major - former resident of Gush Katif - discusses the return to Jewish settlements in Gaza. "We are now returning to Netzarim. Netzarim will be rebuilt and repaired”</t>
  </si>
  <si>
    <t>Netzarim</t>
  </si>
  <si>
    <t>Annexation, Jewish Settlements in Gaza, Israeli Soldier Movies, Ethnic Cleansing</t>
  </si>
  <si>
    <t>https://twitter.com/ytirawi/status/1760758994350588388</t>
  </si>
  <si>
    <t>Israel settlers enter Gaza with tractors</t>
  </si>
  <si>
    <t>Israeli tractors enter the Gaza Strip and plow fields there. Also an invitation to the settler March of Return to Gaza on February 29, 2024.</t>
  </si>
  <si>
    <t>Israeli Society, Jewish Settlements in Gaza, Settlements, Protest (Israel), Annexation</t>
  </si>
  <si>
    <t>https://twitter.com/ytirawi/status/1745907053426565605</t>
  </si>
  <si>
    <t>IDF soldiers in uniform are filmed admitting that they are fighting in Gaza to “come back” and build settlements</t>
  </si>
  <si>
    <t>Israeli soldiers identifying by name as former Gush Katif settlers who are returning home to resettle Gaza</t>
  </si>
  <si>
    <t>Annexation, Jewish Settlements in Gaza, Israeli Soldier Movies, Social Media, Buildings</t>
  </si>
  <si>
    <t>https://twitter.com/ytirawi/status/1750443193575886945</t>
  </si>
  <si>
    <t>A soldier is saying he had the privilege to flatten Gaza in service of the future new Jewish settlements that will be built on top of that</t>
  </si>
  <si>
    <t>An IDF soldier standing in front of empty flat land, saying he was privileged to take part in flattening Gaza to build new Jewish settlements on top of it: "In a place that was built in order to destroy we will destroy in order to build..."</t>
  </si>
  <si>
    <t>Domicide, Annexation, Jewish Settlements in Gaza, Destruction, Religious Right, Ethnic Cleansing</t>
  </si>
  <si>
    <t>https://twitter.com/ytirawi/status/1753547113638604865</t>
  </si>
  <si>
    <t>Israeli soldiers eating Donna Italia pizza in Khan Younis</t>
  </si>
  <si>
    <t>Donna Italia, an international chain pizzeria, provides pizza to Israeli soldiers in a house of a displaced family in Khan Younis. Several pizzas are being prepared at the same time. The author comments that this is happening while the Gazan population is starving.</t>
  </si>
  <si>
    <t>Starvation, Food, Confiscated Assets, Social Media</t>
  </si>
  <si>
    <t>https://twitter.com/ytirawi/status/1758376261628436523</t>
  </si>
  <si>
    <t>IDF bulldozers crush a truck and facilties in East Gaza industrial zone</t>
  </si>
  <si>
    <t>Israeli soldiers published videos on Tik Tok showing them crushing civilian trucks and facilities in the industrial zone in East Gaza city. An upbeat song about work in the background. Also included is a picture of the industrial zone in East Gaza before the IDF destroyed it for the purpose of creating a military buffer zone.</t>
  </si>
  <si>
    <t>East Gaza City</t>
  </si>
  <si>
    <t>Economy, Infrastructure, Vandalism, Destruction, Israeli Soldier Movies, Humiliation, Social Media</t>
  </si>
  <si>
    <t>https://x.com/Israel_katz/status/1841422324890812763</t>
  </si>
  <si>
    <t>António Guterres, the UN Secretary-General, is declared persona non grata by the Israelu Foreign Minister</t>
  </si>
  <si>
    <t>Shortly after UN Secretary-General António Guterres called for a ceasefire in the Middle East, then-Israeli Foreign Minister Israel Katz declared him persona non grata, banning his entrance into Israel. Katz criticized Guterres for not condemning Iran’s attack on Israel, failing to denounce Hamas’ October 7 actions, and refusing to designate Hamas as a terrorist organization. He also accused the UN chief of supporting groups such as Hamas, Hezbollah, the Houthis, and Iran.</t>
  </si>
  <si>
    <t>Israel Katz (@Israel_katz)</t>
  </si>
  <si>
    <t>Israeli Government, UN (United Nations)</t>
  </si>
  <si>
    <t>Israel Katz, António Guterres</t>
  </si>
  <si>
    <t>https://twitter.com/Doron_Kadosh/status/1762434310831796618</t>
  </si>
  <si>
    <t>A Israeli journalist's impressions from a visit to Gaza</t>
  </si>
  <si>
    <t>Impression from visit no. 9 to Gaza (in 8 posts), the 3rd phase of the raid watfare, In the Zeyton neighborhood and the corridor from Be'eri forest to the sea (later: The Netzarim Corridor). Several subjects: Low-level fighting in Zeitoun, building a multi lane road in the corridor with civil companies, army bases, tunnels, hostages detention cells and cages, soldiers motivation and the differant battalions in the area.</t>
  </si>
  <si>
    <t>Doron Kadosh (@Doron_Kadosh)</t>
  </si>
  <si>
    <t>Text, Video, Photo</t>
  </si>
  <si>
    <t>Ground Operation, Hostages, Cages, Infrastructure, Media, Journalists, Military Correspondent</t>
  </si>
  <si>
    <t>Gaza City, Netzarim Corridor, Zaytun Neighborhood</t>
  </si>
  <si>
    <t>https://twitter.com/RamAbdu/status/1771195504883339683</t>
  </si>
  <si>
    <t>Interviews with Israelis blocking humanitarian aid to Gaza</t>
  </si>
  <si>
    <t>Interviews with participants of Tsav 9 - an organization that opposes the humanitarian aid to Gaza during a demonstration.</t>
  </si>
  <si>
    <t>Israel, just outside the Gaza Strip</t>
  </si>
  <si>
    <t>Humanitarian Aid, Ethnic Cleansing, Incitement to Genocide, Testimony, Destruction, Dehumanization, Blockade, Protest (Israel)</t>
  </si>
  <si>
    <t>Tsav 9</t>
  </si>
  <si>
    <t>Israel, Western Negev (Otef)</t>
  </si>
  <si>
    <t>https://twitter.com/RamAbdu/status/1784694240921989320</t>
  </si>
  <si>
    <t>The Israeli army turned the Turkish-Palestinian Friendship Hospital into an army base and get ready to celebrate Passover Seder in it.</t>
  </si>
  <si>
    <t>After Israel attacked the Turkish-Palestinian Friendship Hospital it turned the hospital into a military base. The hold a Passover Seder and show the foods they are planning to eat. Part of the video shows what seems like over a hundred soldiers at the Seder.</t>
  </si>
  <si>
    <t>April 29, 2024</t>
  </si>
  <si>
    <t>Turkish-Palestinian Friendship Hospital, Netzarim Corridor</t>
  </si>
  <si>
    <t>Hospital, Food, Ethnic Cleansing</t>
  </si>
  <si>
    <t>Turkish-Palestinian Friendship Hospital</t>
  </si>
  <si>
    <t>https://twitter.com/UNHumanRights/status/1742863747683668418</t>
  </si>
  <si>
    <t>UN Human Rights Very Disturbed by High-level Israeli Officials' Statements on Plans to Transfer Civilians from Gaza to Third Countries</t>
  </si>
  <si>
    <t>UN High-Commissioner for Human Rights (OHCHR) Volker Turk expresses deep concern by high-level Israeli officials' statements on plans to transfer civilians from Gaza to third countries. International law prohibits forcible transfer of protected persons within or deportation from occupied territory.</t>
  </si>
  <si>
    <t>UN Human Rights (@UNHumanRights)</t>
  </si>
  <si>
    <t>Forced Displacement, Civilians, Official Statement</t>
  </si>
  <si>
    <t>Volker Türk</t>
  </si>
  <si>
    <t>https://twitter.com/VerminusM/status/1774080556701245486</t>
  </si>
  <si>
    <t>Video Shot from Israeli Armored Vehicle Showing Israeli Flags along Al-Rashid Street in Gaza</t>
  </si>
  <si>
    <t>Video shot by Israeli soldiers from an armored vehicle showing large numbers of Israeli flags raised and Hebrew-language graffiti along Al-Rashid Street, a main throughway along the Gaza coast. The soldiers filming are singing along to music in Arabic.</t>
  </si>
  <si>
    <t>March 30, 2024</t>
  </si>
  <si>
    <t>Uri Kurlianchik (@VerminusM)</t>
  </si>
  <si>
    <t>Al-Rashid Road</t>
  </si>
  <si>
    <t>Israeli Soldier Movies, Dehumanization, Destruction, Mockery, Vandalism</t>
  </si>
  <si>
    <t>Gaza Strip, Al Rashid Coastal Road</t>
  </si>
  <si>
    <t>https://twitter.com/ireallyhateyou/status/1744195835577921772</t>
  </si>
  <si>
    <t>Soldiers annihilate Khuza'a over two weeks</t>
  </si>
  <si>
    <t>Destruction of Khuza'a. The video includes music and narration by a soldier relating how proud he is for destroying the village of the Nazis who attacked Nir Oz</t>
  </si>
  <si>
    <t>Urbicide, Domicide, Bombing, Destruction, Israeli Soldier Movies, Social Media, Ethnic Cleansing, Demolition</t>
  </si>
  <si>
    <t>https://x.com/ytirawi/status/1801978091654279226</t>
  </si>
  <si>
    <t>IDF soldiers wearing the underwear of Gazan women</t>
  </si>
  <si>
    <t>Two IDF soldiers displaying lingerie of displaced/dead Palestinian women.</t>
  </si>
  <si>
    <t>Humiliation, Women, Israeli Soldier Photos, Mockery, Looting, Dehumanization, Women's clothing (inc. lingerie)</t>
  </si>
  <si>
    <t>https://x.com/ytirawi/status/1802082633679090163</t>
  </si>
  <si>
    <t>IDF soldiers looting money</t>
  </si>
  <si>
    <t>Photo showing five IDF soldiers from the Nahal Brigade looting money from a Gazan home.</t>
  </si>
  <si>
    <t>https://x.com/z_00pIz/status/1791336664666603703</t>
  </si>
  <si>
    <t>Israeli model calls for annihalation of Israeli Palestinan citizens.</t>
  </si>
  <si>
    <t>Israeli model Tahounia Rubel calls for annihilation of Israeli Palestinan citizens because they march in Israel with Palestinian flags.</t>
  </si>
  <si>
    <t>May 14, 2024</t>
  </si>
  <si>
    <t>Zj (@z_00pIz)</t>
  </si>
  <si>
    <t>Dehumanization, Incitement to Genocide, Racism, Israeli Society, Ethnic Cleansing, Social Media</t>
  </si>
  <si>
    <t>https://x.com/z_00pIz/status/1802321259188920411</t>
  </si>
  <si>
    <t>Israelis on social media mock the death of three members of a Palestinian-Israeli family in a car accident [thread]</t>
  </si>
  <si>
    <t>Israeli social media users mock and celebrate the deaths of three members of a Palestinian family with Israeli citizenship. The content appears in screenshots down the thread.</t>
  </si>
  <si>
    <t>Racism, Palestinian Citizens of Israel, Israeli Society, Mockery, Social Media</t>
  </si>
  <si>
    <t>https://twitter.com/ytirawi/status/1772925436231598415</t>
  </si>
  <si>
    <t>Report of field executions in Gaza City</t>
  </si>
  <si>
    <t>On April 24, Israeli forces invaded southern Rimal, Gaza, torching homes and leveling buildings while forcibly evacuating women and children under 14 to south Gaza under sniper threats. Men and boys were detained near Shalihat Junction, with some subjected to harsh interrogations, and several of whom were later executed, as reported by two released prisoners who witnessed the killings. Later, soldiers released some detainees naked onto the coastal road, then opened fire, killing several more detainees, among them a 60-year-old man who died in front of his sons.</t>
  </si>
  <si>
    <t>March 27, 2024</t>
  </si>
  <si>
    <t>March 24, 2024</t>
  </si>
  <si>
    <t>West Gaza City, Rimal neighbourhood; Netzarim Corridor; Deir al Balah</t>
  </si>
  <si>
    <t>Detainees, Captivity Conditions, Murder, Civilians, Children, Elderly, Women, Forced Displacement, Burning, War Crimes, Execution, Dehumanization, Humiliation</t>
  </si>
  <si>
    <t>Gaza City, Deir al Balah, Netzarim Corridor</t>
  </si>
  <si>
    <t>https://twitter.com/ytirawi/status/1790893499115606334</t>
  </si>
  <si>
    <t>Killing of unarmed civilians by IDF forces [thread]</t>
  </si>
  <si>
    <t>Footage obtained from a social media account of an Israeli soldier from the paratroopers brigade showing the killing of an unarmed Gazan civilian, who was trying to recover the body of a young boy. The attacker appears to be a sniper. The rest of the thread includes additional examples.</t>
  </si>
  <si>
    <t>Rules of Engagement, Murder, Civilians, Children, War Crimes, Israeli Soldier Movies, Shooting, Snipers</t>
  </si>
  <si>
    <t>https://x.com/GhassanAbuSitt1/status/1788570484981858793</t>
  </si>
  <si>
    <t>Israeli company XTEND boasts $40 million raise after drone sucess</t>
  </si>
  <si>
    <t>Quadcopter drones equipped with sniper rifles have caused numerous civilian casualties in Gaza, including children. Dr. Ghassan Abu-Sittah, a British surgeon who volunteered in Gaza’s hospitals during the war, reported, “One night, we received 30 injuries from drone fire targeting people trying to reach Ahli Hospital.”</t>
  </si>
  <si>
    <t>May 9, 2024</t>
  </si>
  <si>
    <t>Ghassan Abu Sitta (@GhassanAbuSitt1)</t>
  </si>
  <si>
    <t>Al Ahli hospital</t>
  </si>
  <si>
    <t>Rules of Engagement, Children, Civilians, Collective Punishment, Hospital, Air Strike, Drone / Quadcopter, Testimony</t>
  </si>
  <si>
    <t>Gaza Strip, Al Ahli Baptist Hospital</t>
  </si>
  <si>
    <t>https://x.com/HossamShabat/status/1796550174111645766</t>
  </si>
  <si>
    <t>Seventy decomposed bodies discovered in Jabaliya</t>
  </si>
  <si>
    <t>Journalist Hossam Shabat reports that since dawn on May 31, 2024, approximately 70 decomposed bodies—mostly women and children—were recovered in Jabalia refugee camp. They were allegedly killed by Israeli snipers while trying to flee the bombing.</t>
  </si>
  <si>
    <t>Corpses, Civilians, Women, Children, Ethnic Cleansing, War Crimes, Collective Punishment, Rules of Engagement, Burial, Massacres</t>
  </si>
  <si>
    <t>https://x.com/NourNaim88/status/1798622171125952937</t>
  </si>
  <si>
    <t>Testimonies from doctors who volunteered in Gaza hospitals</t>
  </si>
  <si>
    <t>Three volunteer doctors in Gaza hospitals report harrowing conditions: a surgeon from Sydney describes performing surgeries in Al-Aqsa hospital—on legs, chests, and abdomen—without post-operative pain relief, witnessing children dying daily. A clinical psychologist explains two traumas afflicting Gazan children: enduring bombings and family deaths, compounded by the crushing awareness that the world has failed to intervene. Another doctor notes most bombing victims arrive at hospitals already dead, with survivors suffering catastrophic injuries. Meanwhile, Gaza faces starvation, and UN data shows a 70% drop in humanitarian aid since Israel’s military advance into Rafah.</t>
  </si>
  <si>
    <t>Gaza Strip, Al-Aqsa hospital</t>
  </si>
  <si>
    <t>Hospital, Public Health, Healthcare Workers, Testimony, Children, Civilians, Bombing, Humanitarian Crisis, Humanitarian Aid</t>
  </si>
  <si>
    <t>Al-Aqsa Hospital, Gaza Strip</t>
  </si>
  <si>
    <t>https://x.com/RamAbdu/status/1799849647059714303</t>
  </si>
  <si>
    <t>IDF prevents evacuation of bodies from Tel al-Sultan</t>
  </si>
  <si>
    <t>In Tel al-Sultan, west of Rafah, Israel killed civilians during their displacement several days earlier. The corpses remain decomposing on the streets, as medical teams are still denied access to recover them.</t>
  </si>
  <si>
    <t>Rami Abdu (@RamAbdu)</t>
  </si>
  <si>
    <t>Tel Al-Sultan, west of Rafah</t>
  </si>
  <si>
    <t>Corpses, Civilians</t>
  </si>
  <si>
    <t>https://x.com/tparsi/status/1796984162169086156</t>
  </si>
  <si>
    <t>US volunteer nurse returns from Gaza with horrific reports of hospital conditions in Gaza</t>
  </si>
  <si>
    <t>Monica Johnson, a nurse from Portland who volunteered at Rafah Hospital with the Palestinian American Medical Association, describes a dire shortage of basic supplies—no soap, hand sanitizer, or paper towels; no bedsheets for patients, forcing ICU patients to lie on plastic sheets in "pools of blood" with no way to change them. She testifies: “People have explosive injuries—and we’re giving them Tylenol. We’re giving them Ibuprofen. For an arm that’s been blown off. Or burns covering 30% of their body."</t>
  </si>
  <si>
    <t>June 1, 2024</t>
  </si>
  <si>
    <t>Hospital, Testimony, Public Health, Healthcare Workers, Humanitarian Crisis, Civilians, Medical Supplies</t>
  </si>
  <si>
    <t>https://x.com/ytirawi/status/1802436588246286588</t>
  </si>
  <si>
    <t>Palestinian families surrendering to IDF drone inside a Gazan home</t>
  </si>
  <si>
    <t>An Israeli soldier posted a video on social media showing Palestinian families (about 15-20 individuals) inside a house in Gaza, waving their hands in surrender to what appears to be an Israeli drone. As of the time of writing, the individuals’ condition and the incident’s exact location remain unverified.</t>
  </si>
  <si>
    <t>Civilians, Ground Operation, Israeli Soldier Movies, Humiliation, Social Media, Drone / Quadcopter</t>
  </si>
  <si>
    <t>https://twitter.com/ytirawi/status/1771589516920238241</t>
  </si>
  <si>
    <t>Field execution at Netzarim checkpoint</t>
  </si>
  <si>
    <t>According to an eyewitness, between 9:00-10:00 AM on March 17, 2024, Israeli forces at the Netzarim checkpoint shot and killed an unidentified 65-year-old Palestinian man who was carrying coffee and clothing for his family in southern Gaza. A bulldozer subsequently buried his body near the checkpoint. Bystanders were permitted to continue southward only after 11:30 AM following the incident.</t>
  </si>
  <si>
    <t>March 23, 2024</t>
  </si>
  <si>
    <t>Nezarim corridor</t>
  </si>
  <si>
    <t>Murder, Civilians, Elderly, Rules of Engagement, War Crimes, Burial, Palestinian Testimony, Execution</t>
  </si>
  <si>
    <t>https://x.com/Timesofgaza/status/1849531836092842341</t>
  </si>
  <si>
    <t>Massacre at Jabalia camp</t>
  </si>
  <si>
    <t>As part of a large operation in North Gaza, Israeli airstrikes hit 11 residential buildings in Jabalia refugee camp, reportedly resulting in over 150 Palestinian fatalities.</t>
  </si>
  <si>
    <t>Times of Gaza (@Timesofgaza)</t>
  </si>
  <si>
    <t>Jabaliya camp</t>
  </si>
  <si>
    <t>Bombing, Civilians, Air Strike, War Crimes</t>
  </si>
  <si>
    <t>https://x.com/TomerPersico/status/1848610983670899017</t>
  </si>
  <si>
    <t>Israeli commentator discusses U.S. threats of an arms embargo over Gaza aid blockade while Israeli officials advance resettlement and displacement plans</t>
  </si>
  <si>
    <t>The U.S. recently threatened an arms embargo unless Israel resumes humanitarian aid to northern Gaza, accusing it of deliberately starving Palestinians to expel them and consolidate control over the area. Meanwhile, Likud lawmakers have openly promoted resettling Gaza, with no condemnation from Prime Minister Benjamin Netanyahu. At the same time, Channel 12 panellist Amit Segal alluded to "border adjustments" and the operational execution of the "Generals' Plan"—a reference to the forced displacement of northern Gaza's population. The Israeli commentator's notes here marked the beginning of a shift in liberal Israeli discourse regarding Israeli war crimes in October 2024.</t>
  </si>
  <si>
    <t>Tomer Persico (@TomerPersico)</t>
  </si>
  <si>
    <t>Forced Displacement, Ethnic Cleansing, Crimes Against Humanity, Civilians, Humanitarian Aid, Humanitarian Law, Jewish Settlements in Gaza</t>
  </si>
  <si>
    <t>United States, Israeli Government, IDF (Israel Defense Forces)</t>
  </si>
  <si>
    <t>Antony Blinken, Donald Trump, Joe Biden, Benjamin Netanyahu, Amit Segal</t>
  </si>
  <si>
    <t>https://x.com/TomerPersico/status/1854403910305505520</t>
  </si>
  <si>
    <t>Israeli commentator reports that Israel is systematically displacing Palestinians from northern Gaza to clear the way for Jewish settlements</t>
  </si>
  <si>
    <t>The IDF is systematically expelling Palestinians from northern Gaza without operational justification, destroying homes and blocking humanitarian aid. A report by Haaretz indicating that residents are being forcibly removed from the northern quarter of the Strip, noting that 'the army has begun a cleansing phase in northern Gaza while preparing for long-term territorial control' - paving the way for future Jewish settlements. Finance Minister Bezalel Smotrich and National Security Minister Itamar Ben-Gvir's explicit endorsements of Jewish settlement in Gaza at an October 21, 2024 conference went unchallenged by Prime Minister Benjamin Netanyahu, reinforcing the conclusion that these expulsions serve political rather than security objectives. The Israeli commentator's notes here occurred in parallel to a shift in liberal Israeli discourse regarding Israeli war crimes in October-November 2024.</t>
  </si>
  <si>
    <t>https://www.haaretz.co.il/news/politics/2024-11-05</t>
  </si>
  <si>
    <t>Starvation, Ethnic Cleansing, Forced Displacement, War Crimes, Humanitarian Aid, Jewish Settlements in Gaza, Crimes Against Humanity, Israeli Far Right, The Generals' Plan, Conscientious Objection</t>
  </si>
  <si>
    <t>Benjamin Netanyahu, Itamar Ben-Gvir, Bezalel Smotritch, Amit Segal</t>
  </si>
  <si>
    <t>https://x.com/TomerPersico/status/1855858123602309152</t>
  </si>
  <si>
    <t>Israeli commentator reports that Israel is forcibly displacing Gazans to enable illegal settlement, while deliberately sabotaging hostage deals to prolong the war</t>
  </si>
  <si>
    <t>Israel is committing two interconnected "enormous" crimes in Gaza: systematically expelling Palestinians from northern Gaza (the Jabalia area) to clear land for future settlements, while deliberately sacrificing 101 Israeli hostages by sabotaging potential release deals. Prime Minister Benjamin Netanyahu continues blocking hostage agreements - despite public support and Defense Minister Yoav Gallant's assessment that 'there's nothing left to achieve in Gaza' - to perpetuate the war as cover for forced displacement. Ministers Bezalel Smotrich and Itamar Ben-Gvir are advancing a de facto annexation agenda through settlement expansion, blatantly violating international law prohibiting population transfer into occupied territories. Soldiers are warned: your service is being exploited to commit war crimes of ethnic cleansing, while abandoned hostages become political pawns. The Israeli commentator's notes here occurred in parallel to a shift in liberal Israeli discourse regarding Israeli war crimes in October-November 2024.</t>
  </si>
  <si>
    <t>https://www.kan.org.il/content/kan-news/defense/820691/</t>
  </si>
  <si>
    <t>Ethnic Cleansing, Hostage Deal, Hostages, War Crimes, Israeli Far Right, Jewish Settlements in Gaza, The Generals' Plan, Conscientious Objection</t>
  </si>
  <si>
    <t>Yoav Gallant, Benjamin Netanyahu, Bezalel Smotritch</t>
  </si>
  <si>
    <t>https://x.com/TomerPersico/status/1858035974783009228</t>
  </si>
  <si>
    <t>Israeli commentator reports that Minister of Finance Smotrich declares war more important than rescue of hostages</t>
  </si>
  <si>
    <t>Finance Minister Bezalel Smotrich's statement that "I will not support a hostage release deal that would end the war. I believe it is right to establish settlements in Gaza, and there will be settlements in Gaza, though this is not among the war's objectives," reveals a troubling reality – Israel is rejecting hostage deals to continue a war whose true purpose has become settlement expansion in Gaza. Despite Hamas having been dismantled as a governing force and reduced to merely a guerrilla organization, military operations continue beyond strategic logic. Israel is unwilling to allow the Palestinian Authority into Gaza but simultaneously cannot maintain full military control due to manpower limitations and economic costs. This has led to the gradual expulsion of Palestinians from northern Gaza (over 70,000 Palestinians have already been expelled from Jabalia and surrounding areas at the time of this post) – a war crime that enables control of territory without responsibility for its inhabitants while preparing the ground for Jewish settlements, as Smotrich himself has clearly declared. The war has thus become a tool serving the messianic agenda of a political minority that doesn't represent the broader public, sacrificing both hostages and IDF soldiers on the altar of settlement expansion, despite Defense Minister Yoav Gallant's assertion that the IDF has already achieved its military objectives in Gaza. The Israeli commentator's notes here occurred in parallel to a shift in liberal Israeli discourse regarding Israeli war crimes in October-November 2024.</t>
  </si>
  <si>
    <t>November 17, 2024</t>
  </si>
  <si>
    <t>Ethnic Cleansing, Hostage Deal, Hostages, Forced Displacement, Crimes Against Humanity, Civilians, Israeli Far Right, Jewish Settlements in Gaza, War Crimes</t>
  </si>
  <si>
    <t>Israeli Government, Palestinian Authority, IDF (Israel Defense Forces)</t>
  </si>
  <si>
    <t>Bezalel Smotritch, Yoav Gallant</t>
  </si>
  <si>
    <t>https://x.com/TomerPersico/status/1864346370406039591</t>
  </si>
  <si>
    <t>Israel displaces civilians from the last shelter in northern Gaza</t>
  </si>
  <si>
    <t>Israeli commentator shares that Israeli journalist Amit Segal's Telegram channel reports that the last remaining shelter for civilians the northernmost quarter of the Gaza Strip has been evacuated ('Exodus from Beit Lahia, following the clearance of the last active shelter north of Gaza City'). No explanation is given for why this is happening, nor whether displaced civilians will be permitted to return. If this evacuation lacks clear military justification—or if residents are banned from returning—this constitutes unlawful forced displacement. Ethnic cleansing. The displacement is part of the large operation in North Gaza in late 2024.</t>
  </si>
  <si>
    <t>December 4, 2024</t>
  </si>
  <si>
    <t>December 4, 2024?</t>
  </si>
  <si>
    <t>Telegram</t>
  </si>
  <si>
    <t>Ethnic Cleansing, Forced Displacement, Civilians, News, Settlements, Social Media, War Crimes</t>
  </si>
  <si>
    <t>Amit Segal</t>
  </si>
  <si>
    <t>https://x.com/UNOCHA/status/1849072683725525242</t>
  </si>
  <si>
    <t>Evacuation of critical patients from Kamal Adwan Hospital</t>
  </si>
  <si>
    <t>Humanitarian teams lead by WHO evacuate 14 patients from Kamal Adwan to Shifa Hopsital. IDF denies access to critical aid, food, equipment and medicine.</t>
  </si>
  <si>
    <t>October 21, 2024</t>
  </si>
  <si>
    <t>UN Humanitarian (UNOCHA)</t>
  </si>
  <si>
    <t>WHO (Whorld Health Organization)</t>
  </si>
  <si>
    <t>Public Health, Healthcare Workers, Hospital, Medicine, Humanitarian Aid, Fuel, Food, Civilians, Forced Displacement</t>
  </si>
  <si>
    <t>IDF (Israel Defense Forces), WHO (World Health Organization)</t>
  </si>
  <si>
    <t>https://x.com/_selftitled_/status/1851698751733404138</t>
  </si>
  <si>
    <t>IDF remains in Jabaliya to prevent return of civilian residents</t>
  </si>
  <si>
    <t>Yaniv Kubovich reports in Haaretz: "Even though the war objectives were achieved, under pressure from the political echelon, the IDF remained in Jabalia to prevent residents from returning."</t>
  </si>
  <si>
    <t>Sof (@_selftitled_)</t>
  </si>
  <si>
    <t>https://www.haaretz.co.il/news/politics/2024-10-30/ty-article/.premium/00000192-dc99-dbce-a7be-ff99f45a0000</t>
  </si>
  <si>
    <t>Blockade, Civilians, Forced Displacement</t>
  </si>
  <si>
    <t>https://x.com/HossamShabat/status/1856413482129748306</t>
  </si>
  <si>
    <t>School in flames following IDF incursion</t>
  </si>
  <si>
    <t>Gazan journalist reports on the damage to Mahdiya Al-Shawa School in Beit Hanoun as it burned following a military operation in the area. The school, which was being used as a shelter for displaced civilians, was evacuated as the surrounding area faced intensified shelling and continued damage to infrastructure.</t>
  </si>
  <si>
    <t>Schools, Ground Operation, Civilians, Forced Displacement, Scholasticide, Burning, Destruction, Journalistic Report</t>
  </si>
  <si>
    <t>https://x.com/HossamShabat/status/1857812218475163850</t>
  </si>
  <si>
    <t>Gazan journalist reports from a bombed shcool used as shelter for the displaced</t>
  </si>
  <si>
    <t>The journalist Hossam Shabat reports from a bombed school used as shelter for the displaced. In his report he describes the unbearable conditions faced by civilians amid ongoing daily bombardments and describes the horrible scenes from the aftermath including dismembered body parts.</t>
  </si>
  <si>
    <t>November 16, 2024</t>
  </si>
  <si>
    <t>Abu Asi School</t>
  </si>
  <si>
    <t>Air Strike, Bombing, Civilians, Forced Displacement, Schools, Scholasticide, War Crimes</t>
  </si>
  <si>
    <t>https://x.com/HossamShabat/status/1857838004619919468</t>
  </si>
  <si>
    <t>Footage from a school bombing where displaced families were sheltering</t>
  </si>
  <si>
    <t>A video shared by journalist Hossam Shabat shows injured and dead civilians following the bombing of a school building where displaced families had sought shelter. In his post, Shabat accuses Israeli forces of genocide and ethnic cleansing, stating that 90% of Gaza’s buildings have been destroyed, leaving families no choice but to take refuge in schools—which are then being targeted.</t>
  </si>
  <si>
    <t>School in Gaza City</t>
  </si>
  <si>
    <t>Air Strike, Bombing, Civilians, Corpses, Disturbing Content, Ethnic Cleansing, Genocide, Journalistic Report, Scholasticide, Schools</t>
  </si>
  <si>
    <t>https://x.com/HossamShabat/status/1858042251806416971</t>
  </si>
  <si>
    <t>Airstrike on a house killing approximately 50 civilians, mostly women and children</t>
  </si>
  <si>
    <t>Report by journalist Hossam Shabat on an airstrike targeting a house in Beit Lahiya, killing approximately 50 civilians, mostly women and children. The post criticizes the international community for its silence amid the ongoing massacres and siege on the Gaza Strip.</t>
  </si>
  <si>
    <t>Bombing, Children, Civilians, Ethnic Cleansing, Blockade, Journalistic Report, Air Strike</t>
  </si>
  <si>
    <t>https://x.com/HossamShabat/status/1859676703938970109</t>
  </si>
  <si>
    <t>Journalist reflects on his own family separation and harsh living conditions amidst war</t>
  </si>
  <si>
    <t>A post by journalist Hossam Shabat reflecting on the pain of family separation and harsh living conditions amidst war. He recently had a video call with his family members, who have been displaced and are currently living in a worn-out tent lacking the basic necessities of life. The post highlights the challenges they face and the author's inability to be physically present due to injury and other circumstances.</t>
  </si>
  <si>
    <t>Civilians, Forced Displacement, Journalists, Humanitarian Crisis, Palestinian Testimony, Family</t>
  </si>
  <si>
    <t>https://x.com/ytirawi/status/1798801765845897336</t>
  </si>
  <si>
    <t>IDF soldiers taking photoshots inside and around a family house</t>
  </si>
  <si>
    <t>Photos of IDF soldiers taken inside a house and in the surrounding burned and destroyed buildings. One of the photos shows soldiers mocking a picture found in the house; another shows a soldier posing with mug with a child's name and photo on it. The post calls out to the child on the mug (Suhaib Ghassan Tuman), informing him about the photos and the raid on his home.</t>
  </si>
  <si>
    <t>Burning, Children, Civilians, Ground Operation, Demolition, Vandalism, War Crimes, Dehumanization, Mockery, Domicide</t>
  </si>
  <si>
    <t>https://twitter.com/ytirawi/status/1788897079642689855</t>
  </si>
  <si>
    <t>IDF Military Officer from Sayeret Givati wrote explicit genocidal posts</t>
  </si>
  <si>
    <t>Israeli Military Officer from Sayeret Givati, Shlomi Warmstein, wrote explicit genocidal posts to wipe out Gazans from face of the earth and emptying Gaza after destroying everything in it</t>
  </si>
  <si>
    <t>May 10, 2024</t>
  </si>
  <si>
    <t>November 17, 2023</t>
  </si>
  <si>
    <t>November 19, 2023</t>
  </si>
  <si>
    <t>Genocide, Settlements, Incitement to Genocide, Jewish Settlements in Gaza, Ethnic Cleansing, Destruction</t>
  </si>
  <si>
    <t>Rafah, Gaza Strip, Gaza City</t>
  </si>
  <si>
    <t>https://twitter.com/ytirawi/status/1790901748346867875</t>
  </si>
  <si>
    <t>IDF master sergeant admits that he destroys Gazan houses for no reason</t>
  </si>
  <si>
    <t>Israeli master sergeant admits that he destroys Gazan houses for no reason and posted a video about such actions explaining the procedure he follows.</t>
  </si>
  <si>
    <t>Urbicide, Demolition, Destruction, Israeli Soldier Movies, Israeli Soldier Photos, Social Media</t>
  </si>
  <si>
    <t>https://twitter.com/EuroMedHR/status/1783855639006986260</t>
  </si>
  <si>
    <t>Mass graves discovered following the Israeli army's withdrawal from various areas in the Gaza Strip [infographic]</t>
  </si>
  <si>
    <t>An infographic about over 130 mass graves that were discovered in the Gaza Strip following the Israeli army's withdrawal from various areas.</t>
  </si>
  <si>
    <t>#Infograph</t>
  </si>
  <si>
    <t>Burial, Dehumanization, Corpses, Official Report, Cemetery</t>
  </si>
  <si>
    <t>Gaza Strip, Jabaliya, Rafah, Gaza City, Khan Younis, The Indonesian Hospital</t>
  </si>
  <si>
    <t>https://twitter.com/HCWWatch/status/1767666330252009517</t>
  </si>
  <si>
    <t>Names and portaits of 458 healthcare workers killed by Israeli Occupation Forces in Palestine since 7th October 2023</t>
  </si>
  <si>
    <t>The total includes 153 doctors,124 nurses and 181 other healthcare workers.</t>
  </si>
  <si>
    <t>March 12, 2024</t>
  </si>
  <si>
    <t>March 11, 2024</t>
  </si>
  <si>
    <t>Healthcare Workers Watch – Palestine (@HCWWatch)</t>
  </si>
  <si>
    <t>Palestine</t>
  </si>
  <si>
    <t>Healthcare Workers, Public Health, Death</t>
  </si>
  <si>
    <t>https://www.ynet.co.il/news/article/sjnzepogr</t>
  </si>
  <si>
    <t>Senior U.S. Official Confirms: "Weapons Shipment Halted to Signal Opposition to Military Action in Rafah"</t>
  </si>
  <si>
    <t>A senior official in Biden's administration confirmed that the U.S. delayed a weapons shipment to Israel to signal opposition to military action in Rafah. The US is worried about how Israel would use heavy bombs in Rafah, where hundreds of thousands of displaced persons are located. The shipment included 900 Kilogram and 225 Kilogram bombs.</t>
  </si>
  <si>
    <t>May 08, 2024</t>
  </si>
  <si>
    <t>May 01, 2024</t>
  </si>
  <si>
    <t>AP</t>
  </si>
  <si>
    <t>https://www.ynet.co.il/news/article/hjkg0nwg0</t>
  </si>
  <si>
    <t>Air Strike, Bombing, "2000 Pound Bomb", Civilians, Forced Displacement, US Military Aid</t>
  </si>
  <si>
    <t>Israel, Rafah, Gaza Strip</t>
  </si>
  <si>
    <t>Joe Biden</t>
  </si>
  <si>
    <t>https://www.theguardian.com/us-news/article/2024/may/10/peaceful-pro-palestinian-campus-protests</t>
  </si>
  <si>
    <t>Nearly all Gaza campus protests in the US have been peaceful, study finds</t>
  </si>
  <si>
    <t>An analysis of 553 US campus demonstrations nationwide between 18 April and 3 May, 2024 found that fewer than 20 resulted in any serious interpersonal violence or property damage, according to statistics from the Armed Conflict Location and Event Data Project (Acled). Over the same period, Acled documented at least 70 instances of forceful police intervention against US campus protests.</t>
  </si>
  <si>
    <t>May 03, 2024</t>
  </si>
  <si>
    <t>Lois Beckett</t>
  </si>
  <si>
    <t>ACLED (Armed Conflict Location and Event Data)</t>
  </si>
  <si>
    <t>https://acleddata.com/2024/05/10/us-student-pro-palestine-demonstrations-remain-overwhelmingly-peaceful-acled-brief/</t>
  </si>
  <si>
    <t>Violence, Academia, Protest (International)</t>
  </si>
  <si>
    <t>https://www.israelhayom.co.il/health/article/14391915</t>
  </si>
  <si>
    <t>Over 95% of prisoners in Israeli hospitals are shackled during medical treatment,</t>
  </si>
  <si>
    <t>A study reveals that over 95% of prisoners in Israeli hospitals are shackled during medical treatment, raising ethical concerns about their care and treatment.</t>
  </si>
  <si>
    <t>July 16, 2023</t>
  </si>
  <si>
    <t>Maytal Yasur Beit-Or</t>
  </si>
  <si>
    <t>The Lancet</t>
  </si>
  <si>
    <t>Public Health, Violence, Prisoners, Hospital, Captivity Conditions</t>
  </si>
  <si>
    <t>Israeli Health Ministry, Israeli Prison</t>
  </si>
  <si>
    <t>https://jppi.org.il/en/%D7%A1%D7%A7%D7%A8-%D7%97%D7%93%D7%A9-%D7%94%D7%99%D7%A9%D7%A8%D7%90%D7%9C%D7%99%D7%9D-%D7%95%D7%94%D7%9E%D7%9E%D7%A9%D7%9C-%D7%94%D7%90%D7%9E%D7%A8%D7%99%D7%A7%D7%90%D7%99-%D7%A2%D7%9C-%D7%9E%D7%A1</t>
  </si>
  <si>
    <t>Poll: A clash between the positions of the Israelis and the U.S. administration</t>
  </si>
  <si>
    <t>A survey by Jewish People Policy Institute (JPPI) Monthly Israeli Society Index reveals significant disagreement between Israeli public opinion and the U.S. administration regarding policies on Gaza and Hezbollah. Only 5% of Jewish Israelis agree with the American proposal: Palestinian Authority control in Gaza along with others. 44% of the Israeli public believes that Israel should open a second front against Hezbollah as soon as possible. 36% of Jews in Israel believe that Israeli control over the entire Gaza Strip should be established, and 26% support the reconstruction of the Gush Katif settlements.</t>
  </si>
  <si>
    <t>JPPI (The Jewish People Policy Institute)</t>
  </si>
  <si>
    <t>Jewish People Policy Institute (JPPI)</t>
  </si>
  <si>
    <t>Public Opinion, Israeli Society, Ceasefire</t>
  </si>
  <si>
    <t>Hezbollah, United States, Palestinian Authority</t>
  </si>
  <si>
    <t>Israel, Gaza Strip, Lebanon</t>
  </si>
  <si>
    <t>https://www.globes.co.il/news/article.aspx?did=1001473815</t>
  </si>
  <si>
    <t>A majority of the Israeli public supports military action in Rafah</t>
  </si>
  <si>
    <t>A survey conducted by Globes reveals that a majority of the Israeli public supports military action in Rafah, despite American opposition. Also, almost 2/3 of Israeli public think that Israel is doing whatever it can to prevent harm to civillians in Gaza. 44% of the Israeli public think Israel should allow humanitarian aid to Gaza only on the condition of releasing hostages.</t>
  </si>
  <si>
    <t>March 15, 2024</t>
  </si>
  <si>
    <t>Globes</t>
  </si>
  <si>
    <t>Poll</t>
  </si>
  <si>
    <t>Public Opinion, Israeli Society, Civilians, Humanitarian Aid, Collective Punishment, Hostage Deal, Journalistic Report</t>
  </si>
  <si>
    <t>United States, Iran, Hamas</t>
  </si>
  <si>
    <t>https://www.idi.org.il/articles/57041</t>
  </si>
  <si>
    <t>A majority of Israelis believe in pursuing a deal with Hamas</t>
  </si>
  <si>
    <t>A survey conducted by the Israeli Democracy Institute reveals that a majority of Israelis believe in pursuing a deal with Hamas, with varying levels of optimism regarding national security among different demographics.</t>
  </si>
  <si>
    <t>November 07, 2024</t>
  </si>
  <si>
    <t>October 28, 2024</t>
  </si>
  <si>
    <t>November 03, 2024</t>
  </si>
  <si>
    <t>Tamar Hermann, Lior Yohanani, Yaron Kaplan, Inna Orly Spojnikov</t>
  </si>
  <si>
    <t>Public Opinion, Israeli Society, Hostage Deal, Official Report</t>
  </si>
  <si>
    <t>Hamas, Iran</t>
  </si>
  <si>
    <t>https://www.idi.org.il/articles/55806</t>
  </si>
  <si>
    <t>A majority of Jewish respondents are pessimistic about reaching a deal for the release of hostages.</t>
  </si>
  <si>
    <t>A survey conducted in August 2024 reveals that a majority of Jewish respondents are pessimistic about reaching a deal for the release of hostages, with varying opinions across political affiliations regarding military actions and political motivations. A majority of left wing voters think that controlling Philadelphi Corridor is a condition that is used to prevent a hostage deal because of Netanyahus political interests. A majority of right wing voters think controlling Philadelphi Corridor is a military need.</t>
  </si>
  <si>
    <t>September 04, 2024</t>
  </si>
  <si>
    <t>August 26, 2024</t>
  </si>
  <si>
    <t>August 28, 2024</t>
  </si>
  <si>
    <t>Tamar Hermann, Lior Yohanani, Yaron Kaplan</t>
  </si>
  <si>
    <t>Public Opinion, Hostage Deal, Israeli Society, Official Report</t>
  </si>
  <si>
    <t>Hamas, Israeli Government, Lebanon</t>
  </si>
  <si>
    <t>Israel, Philadelphi Corridor</t>
  </si>
  <si>
    <t>https://www.middleeasteye.net/news/israel-can-monitor-every-telephone-call-west-bank-and-gaza-intelligence-source</t>
  </si>
  <si>
    <t>Israel can monitor every telephone call in West Bank and Gaza, says intelligence source</t>
  </si>
  <si>
    <t>A former member of the Israeli army's signals intelligence unit reveals that Israel can monitor every telephone call in the West Bank and Gaza, highlighting the extensive surveillance tactics employed against Palestinians.</t>
  </si>
  <si>
    <t>November 15, 2021</t>
  </si>
  <si>
    <t>Middle East Eye</t>
  </si>
  <si>
    <t>Lubna Masarwa</t>
  </si>
  <si>
    <t>Abuse, Censorship, Journalists, Limiting Free Speech</t>
  </si>
  <si>
    <t>IDF (Israel Defense Forces), Palestinian Authority</t>
  </si>
  <si>
    <t>West Bank, Gaza Strip</t>
  </si>
  <si>
    <t>https://www.theguardian.com/world/article/2024/may/30/stacy-gilbert-us-state-department-israel-gaza-aid</t>
  </si>
  <si>
    <t>US state department falsified report absolving Israel on Gaza aid</t>
  </si>
  <si>
    <t>A former senior US official, Stacey Gilbert, quit her position, alleging that the state department falsified a report to absolve Israel of blocking humanitarian aid to Gaza, contradicting the views of its own experts.</t>
  </si>
  <si>
    <t>Julian Borger</t>
  </si>
  <si>
    <t>Humanitarian Aid, Official Report</t>
  </si>
  <si>
    <t>Israeli Government, IDF (Israel Defense Forces), United States</t>
  </si>
  <si>
    <t>https://www.ynet.co.il/news/article/h1psjosnc</t>
  </si>
  <si>
    <t>"The 'Generals Plan' of dozens of senior reserve officers: 'Siege on the northern part of the Gaza Strip'"</t>
  </si>
  <si>
    <t>A forum of reserve officers presents a plan to impose a military blockade on northern Gaza, arguing that current operations are insufficient to defeat Hamas and secure the release of hostages.</t>
  </si>
  <si>
    <t>Itamar Eichner</t>
  </si>
  <si>
    <t>Humanitarian Law, Hostages, Collective Punishment, Starvation</t>
  </si>
  <si>
    <t>https://www.theguardian.com/world/ng-interactive/2024/jan/30/how-war-destroyed-gazas-neighbourhoods-visual-investigation</t>
  </si>
  <si>
    <t>How war destroyed Gaza’s neighbourhoods – visual investigation</t>
  </si>
  <si>
    <t>A Guardian investigation details the mass destruction of buildings and land in Gaza's neighbourhoods due to the ongoing conflict, highlighting the impact on civilians and the concept of 'domicide'.</t>
  </si>
  <si>
    <t>October 07, 2023</t>
  </si>
  <si>
    <t>January 05, 2024</t>
  </si>
  <si>
    <t>Niels de Hoog, Antonio Voce, Elena Morresi, Manisha Ganguly, Ashley Kirk</t>
  </si>
  <si>
    <t>Text, Photo, Audio</t>
  </si>
  <si>
    <t>Destruction of Cultural Sites, Domicide, Civilians, War Crimes, Public Health, Schools, Humanitarian Crisis</t>
  </si>
  <si>
    <t>Gaza Strip, Beit Hanoun, Khan Younis</t>
  </si>
  <si>
    <t>https://www.idi.org.il/articles/55008</t>
  </si>
  <si>
    <t>Survey June 2024: Almost 80% of the Jewish public, including most Likud voters, support general or graduated enlistment of Haredim</t>
  </si>
  <si>
    <t>A June 2024 survey reveals that nearly 80% of the Jewish public, including a majority of Likud voters, support general or graduated conscription of Haredim in Israel.</t>
  </si>
  <si>
    <t>July 11, 2024</t>
  </si>
  <si>
    <t>June 30, 2024</t>
  </si>
  <si>
    <t>July 02, 2024</t>
  </si>
  <si>
    <t>Public Opinion, Israeli Society, Analysis, Journalistic Report</t>
  </si>
  <si>
    <t>https://www.haaretz.co.il/news/politics/2024-01-21/ty-article/.premium/0000018d-2bb4-daf5-a1bf-aff41ac80000</t>
  </si>
  <si>
    <t>A Lieutenant Colonel told Channel 14 about the murder of babies and a Holocaust survivor in Be'eri — events that never actually happened</t>
  </si>
  <si>
    <t>A lieutenant colonel interviewed on Channel 14 claimed to have witnessed the murder of eight infants and the killing of a Holocaust survivor in Kibbutz Bari, events that he later stated did not actually occur.</t>
  </si>
  <si>
    <t>Liza Rozovsky, Josh Breiner</t>
  </si>
  <si>
    <t>Children, Murder, Testimony, Propaganda</t>
  </si>
  <si>
    <t>Guy Basson</t>
  </si>
  <si>
    <t>https://news.gallup.com/poll/642695/majority-disapprove-israeli-action-gaza.aspx</t>
  </si>
  <si>
    <t>Majority in U.S. Now Disapprove of Israeli Action in Gaza</t>
  </si>
  <si>
    <t>A majority of Americans now disapprove of Israeli military actions in Gaza, reflecting a significant shift in public opinion since November 2023, transitioning from 50% to 36% in March 2024.</t>
  </si>
  <si>
    <t>Gallup</t>
  </si>
  <si>
    <t>Jeffrey M. Jones</t>
  </si>
  <si>
    <t>Public Opinion, Humanitarian Crisis, Ceasefire, Journalistic Report</t>
  </si>
  <si>
    <t>https://zeteo.com/p/gaza-israel-genocide-poll-ceasefire-us-voters</t>
  </si>
  <si>
    <t>A Majority of U.S. Democratic Voters Believe Israel Is Committing Genocide</t>
  </si>
  <si>
    <t>A majority of U.S. Democratic voters believe Israel is committing genocide against Palestinians in Gaza, according to a new poll. This despite the denials of Democractic party leadership. In addition, public opinion is increasingly critical of U.S funding of military aid for Israel.</t>
  </si>
  <si>
    <t>Mehdi Hasan</t>
  </si>
  <si>
    <t>Genocide, Public Opinion, Ceasefire, Humanitarian Aid, Media, US Military Aid</t>
  </si>
  <si>
    <t>https://www.idi.org.il/articles/54307</t>
  </si>
  <si>
    <t>May 2024 Survey: Low Overall Assessment of Government Performance Since 7.10 in Managing the Fighting in the North and South, in Public Relations and in the Treatment of Evacuees</t>
  </si>
  <si>
    <t>A May 2024 survey reveals low public confidence in the Israeli government's performance regarding the management of the conflict and the treatment of evacuees since October 7. 80% of the population believe that the Israeli government has no post war plans. A majority of Jewish Israeli voters believe that the ICC arrest warrant requests against Benjamin Netanyahu and Yoav Gallant is motivated by anti-Israel bias. Only 10 percent of Israeli Jews believe the warrant requests are related to Israel's wartime conduct.</t>
  </si>
  <si>
    <t>June 04, 2024</t>
  </si>
  <si>
    <t>May 28, 2024</t>
  </si>
  <si>
    <t>Public Opinion, Analysis, Arrest, Israeli Society, Palestinian Citizens of Israel</t>
  </si>
  <si>
    <t>Israeli Government, IDF (Israel Defense Forces), ICC (International Criminal Court)</t>
  </si>
  <si>
    <t>https://www.idi.org.il/articles/52071</t>
  </si>
  <si>
    <t>December 2023 Poll: Only 15% of the Public Think Netanyahu is the Most Suitable Prime Minister to Serve Once War is Over</t>
  </si>
  <si>
    <t>A December 2023 survey reveals that only 15% of the public believes Netanyahu is the most suitable person for role of Prime Minister after the war will be over, with significant concerns about coalition stability. Half ot the population supports openning a front against Hezbollah in the north. 56% think that the continuation of intense combat is the best way for release of hostages. 66% of the population oppose moving to a new phase in the war, as per Washington's demands, which will involved less heavy bombing of civilian population concentrations. 75% of Jews oppose this change, while 56% of Palestinian Citizens in Israel support moving to the new phase.</t>
  </si>
  <si>
    <t>January 02, 2024</t>
  </si>
  <si>
    <t>December 25, 2023</t>
  </si>
  <si>
    <t>Tamar Hermann, Or Anabi</t>
  </si>
  <si>
    <t>Public Opinion, Hostages, Israeli Society, Air Strike, Civilians, Palestinian Citizens of Israel</t>
  </si>
  <si>
    <t>Hezbollah, Israeli Government, IDF (Israel Defense Forces)</t>
  </si>
  <si>
    <t>Benjamin Netanyahu, Benny Gantz</t>
  </si>
  <si>
    <t>https://www.itv.com/news/2024-03-01/he-didnt-understand-disabled-man-shot-dead-in-gaza-hospital-by-idf</t>
  </si>
  <si>
    <t>"He didn't understand, he was terrified': Disabled Palestinian man shot dead by IDF in Gaza hospital</t>
  </si>
  <si>
    <t>A disabled Palestinian man was shot with a "direct shot to the neck" while being held in a hospital by Israeli soldiers on the Gaza Strip, ITV News understands. The 39-year-old, who had severe learning difficulties, had fled to the nearby Al Khair hospital with his parents and siblings after the apartment block where they lived was hit by an artillery strike.Zainab said multiple people had tried to explain to the Israeli soldiers that her brother had a disability and that he could not understand the instructions being given to him, a claim echoed by eye-witnesses who spoke to ITV News.</t>
  </si>
  <si>
    <t>Rohit Kachroo, Dan Howells, Lottie Kilraine</t>
  </si>
  <si>
    <t>Al Khair Hospital</t>
  </si>
  <si>
    <t>Civilians, Public Health, Hospital, Violence, Disturbing Content, Journalistic Report, Palestinian Testimony, Disability</t>
  </si>
  <si>
    <t>Khan Younis, South Gaza, Gaza Strip</t>
  </si>
  <si>
    <t>https://www.ynet.co.il/news/article/rknemalejg</t>
  </si>
  <si>
    <t>"‘He’s a child, in pieces!’: The distressing video from Gaza that sparked outrage"</t>
  </si>
  <si>
    <t>A disturbing video from Gaza shows a wounded child during an Israeli airstrike. When passersby approach him to help, a second bomb strikes the same area.</t>
  </si>
  <si>
    <t>https://www.washingtonpost.com/world/2024/10/21/gaza-israel-strike-jabalya-video/</t>
  </si>
  <si>
    <t>Children, Civilians, Air Strike, Bombing, Social Media</t>
  </si>
  <si>
    <t>https://www.haaretz.co.il/news/politics/2024-04-04/ty-article/.premium/0000018e-9ac3-dd2b-ad9f-dadb900f0000</t>
  </si>
  <si>
    <t>A doctor at the Sde Teiman detention facility to ministers and the Attorney General: "We are all becoming accomplices to breaking the law"</t>
  </si>
  <si>
    <t>A doctor at a Sde Teiman facility describes the dangerous conditions faced by detained Gazans, warning that they violate legal standards and endanger both the detainees' health and the state's legal standing. This piece was one of the early indications within Israeli media for the widespread abuse in Sde Teiman</t>
  </si>
  <si>
    <t>April 04, 2024</t>
  </si>
  <si>
    <t>Michael Hauser Tov,Hagar Shezaf</t>
  </si>
  <si>
    <t>Sde Teiman, Israel</t>
  </si>
  <si>
    <t>Public Health, Detention Center, Humanitarian Crisis, Abuse, Torture, Dehumanization, Detainees, Healthcare Workers</t>
  </si>
  <si>
    <t>Sde Teiman Detention Center</t>
  </si>
  <si>
    <t>https://euromedmonitor.org/en/article/6259/New-Report:-Killing-starving-Palestinians</t>
  </si>
  <si>
    <t>New Report: Killing starving Palestinians, targeting aid trucks is a deliberate Israeli policy to reinforce famine in the Gaza Strip</t>
  </si>
  <si>
    <t>A Euro-Med Human Rights Monitor report (24pp.) details Israel's deliberate policies leading to the starvation of Palestinians in the Gaza Strip, highlighting the killing of civilians and targeting of humanitarian aid.</t>
  </si>
  <si>
    <t>April 03, 2024</t>
  </si>
  <si>
    <t>Euro-Med Human Rights Monitor</t>
  </si>
  <si>
    <t>Humanitarian Crisis, Starvation, Collective Punishment, Genocide, Civilians, Blocking Aid, Humanitarian Aid, Massacres</t>
  </si>
  <si>
    <t>https://www.idi.org.il/articles/53276</t>
  </si>
  <si>
    <t>February 2024 Poll: 70% of Jews support changing the exemption for Haredim in the new draft law</t>
  </si>
  <si>
    <t>A February 2024 survey reveals that 70% of Jews support changing the exemption for Haredim in the new conscription law, alongside various insights into national sentiment and security perceptions among different demographics in Israel. Among others, most Israeli Jews (74-12) want to expand the military operation to Rafah, and most Israelis believe they can trust the US to continue to support them (39-20).</t>
  </si>
  <si>
    <t>March 04, 2024</t>
  </si>
  <si>
    <t>Tamar Hermann, Yaron Kaplan</t>
  </si>
  <si>
    <t>Public Opinion, Israeli Society, Analysis</t>
  </si>
  <si>
    <t>https://www.theguardian.com/world/2024/feb/01/genocide-gaza-israel-california-court</t>
  </si>
  <si>
    <t>Israel’s campaign in Gaza ‘plausibly’ amounts to genocide, US court finds</t>
  </si>
  <si>
    <t>A federal court in California has ruled that Israel's military campaign in Gaza 'plausibly' amounts to genocide, while dismissing a case aimed at stopping US military support for Israel due to jurisdictional issues.</t>
  </si>
  <si>
    <t>February 01, 2024</t>
  </si>
  <si>
    <t>https://ccrjustice.org/sites/default/files/attach/2024/01/91_1-31-24_Order-granting-MTD_w.pdf</t>
  </si>
  <si>
    <t>California</t>
  </si>
  <si>
    <t>Genocide, Crimes Against Humanity, Humanitarian Crisis</t>
  </si>
  <si>
    <t>United States, IDF (Israel Defense Forces)</t>
  </si>
  <si>
    <t>https://www.idi.org.il/articles/55472</t>
  </si>
  <si>
    <t>July 2024 Poll: A record-high two thirds of Israelis define the general situation as bad or very bad</t>
  </si>
  <si>
    <t>A survey conducted in July 2024 reveals that two-thirds of the public in Israel view the general situation as bad or very bad, with significant dissatisfaction towards the government across political lines. The poll includes questions about attitudes towards the government, the protest movement, a potential hostage deal, Lebanon and Netanyahu.</t>
  </si>
  <si>
    <t>August 11, 2024</t>
  </si>
  <si>
    <t>July 30, 2024</t>
  </si>
  <si>
    <t>August 04, 2024</t>
  </si>
  <si>
    <t>Public Opinion, Israeli Society, Analysis, Hostage Deal</t>
  </si>
  <si>
    <t>Israel, Lebanon, Gaza Strip</t>
  </si>
  <si>
    <t>https://www.brookings.edu/articles/gloom-about-the-day-after-the-gaza-war-pervasive-among-mideast-scholars/</t>
  </si>
  <si>
    <t>Gloom about the ‘day after’ the Gaza war pervasive among Mideast scholars</t>
  </si>
  <si>
    <t>A survey of over 750 scholars of the Middle East reveals widespread pessimism regarding the prospects of a two-state solution following the Gaza war, with many believing that the conflict will lead to significant displacement of Palestinians. 57% believe that Israel's primary goal is to make Gaza uninhabitable and 75% defined Israel's actions as "genocide" or "major war crimes akin to genocide".</t>
  </si>
  <si>
    <t>June 20, 2024</t>
  </si>
  <si>
    <t>June 06, 2024</t>
  </si>
  <si>
    <t>Brookings Institute</t>
  </si>
  <si>
    <t>Marc Lynch, Shibley Telhami</t>
  </si>
  <si>
    <t>https://criticalissues.umd.edu/sites/criticalissues.umd.edu/files/Spring%202024%20MESB%20Results.pdf</t>
  </si>
  <si>
    <t>Analysis, Forced Displacement, Genocide, War Crimes, Academia, Ethnic Cleansing, Poll, Two State Solution</t>
  </si>
  <si>
    <t>https://en.idi.org.il/articles/53666</t>
  </si>
  <si>
    <t>Israelis say the time has come for those responsible for October 7 to step down</t>
  </si>
  <si>
    <t>A survey reveals that a significant majority of both Jewish and Arab Israelis believe that those responsible for the failure of October 7 should resign following the ongoing war in Gaza. The survye also reveals that 64% of Israeli Jews saw a few or no pictures or videos about the widespread destruction in Gaza. Other questions in the survey focus on personal safety, the aftermath of the Iranian attack on Israel, an assessment of the Gaza war and the question of the future of the Gaza Strip.</t>
  </si>
  <si>
    <t>April 14, 2024</t>
  </si>
  <si>
    <t>Public Opinion, Israeli Society, Accountability, Analysis, Social Media, Jewish Settlements in Gaza, Hostages</t>
  </si>
  <si>
    <t>Israeli Government, Iran</t>
  </si>
  <si>
    <t>https://www.idi.org.il/articles/52967</t>
  </si>
  <si>
    <t>Poll: Half the Israeli public see low chance of complete victory over Hamas</t>
  </si>
  <si>
    <t>The survey reveals that more than half of the public perceives low chances of a 'complete victory' in the war, with significant differences in opinions between Jewish and Arab respondents regarding humanitarian aid to Gaza. Some 68% of Jewish Israelis are against allowing humanitarian aid into Gaza. Other questions include the odds of "complete victory" in the war, the potential for a Palestinian state, Israel's credit rating and domestic protests within Israel.</t>
  </si>
  <si>
    <t>Public Opinion, Humanitarian Aid, Analysis, Hostages, Protest (Israel), Israeli Society</t>
  </si>
  <si>
    <t>Hamas</t>
  </si>
  <si>
    <t>https://www.ynet.co.il/news/article/bkojsnksa</t>
  </si>
  <si>
    <t>Famine? The study that determines: food availability in Gaza – 3,374 calories per person</t>
  </si>
  <si>
    <t>A new study by scholars from Hebrew University and Ben Gurion University indicates that food availability in Gaza over January-April 2024 meets and exceeds international standards, contradicting claims of a humanitarian crisis.</t>
  </si>
  <si>
    <t>January 01, 2024</t>
  </si>
  <si>
    <t xml:space="preserve">An israeli scholarly study allegedly refuting claims of insufficient food availability during said periods - https://biochem-food-nutrition.agri.huji.ac.il/arontroen/publications/nutritional-assessment-of-food-aid-delivered-to-gaza </t>
  </si>
  <si>
    <t>Food, Humanitarian Aid, Humanitarian Crisis, Malnutrition</t>
  </si>
  <si>
    <t>https://reliefweb.int/report/occupied-palestinian-territory/gazas-silent-killings-destruction-healthcare-system-rafah</t>
  </si>
  <si>
    <t>Gaza's silent killings: The destruction of the healthcare system in Rafah [Report]</t>
  </si>
  <si>
    <t>The report by Médecins Sans Frontières highlights the severe deterioration of Gaza's healthcare system, leading to increased preventable deaths and malnutrition among children in Rafah amidst ongoing conflict.</t>
  </si>
  <si>
    <t>October 01, 2023</t>
  </si>
  <si>
    <t>Médecins Sans Frontières</t>
  </si>
  <si>
    <t>https://reliefweb.int/attachments/c675d704-7e81-4328-a07a-aad92dd3af90/MSF-GazaSilentKillings-Full%20Report_ENG_April%202023.pdf</t>
  </si>
  <si>
    <t>Public Health, Malnutrition, Humanitarian Crisis, Children, Disease, Destruction, Healthcare Workers</t>
  </si>
  <si>
    <t>Rafah, Deir al Balah, Al Mawasi, Nuseirat Refugee Camp, Ashdod Port, Nitzana Border Crossing</t>
  </si>
  <si>
    <t>https://hazmanhazeh.org.il/hunger/</t>
  </si>
  <si>
    <t>A Time of Hunger</t>
  </si>
  <si>
    <t>The article discusses how the issues of food and hunger clearly illustrate how Gaza is not a political territory but a mass enclosure that is fed. It critiques calorie measurements.</t>
  </si>
  <si>
    <t>Hazman Hazeh</t>
  </si>
  <si>
    <t>Alma Igra</t>
  </si>
  <si>
    <t>Food, Malnutrition, Blockade, Starvation, Humanitarian Crisis</t>
  </si>
  <si>
    <t>Gisha</t>
  </si>
  <si>
    <t>https://news.un.org/en/story/2024/04/1148296</t>
  </si>
  <si>
    <t>Planning the post-war reconstruction and recovery of Gaza</t>
  </si>
  <si>
    <t>The article discusses the post-war reconstruction and recovery efforts in Gaza following its extensive destruction. The estimates include the price and timetable of reconstructing Gaza.</t>
  </si>
  <si>
    <t>April 06, 2024</t>
  </si>
  <si>
    <t>@UN_News_Centre</t>
  </si>
  <si>
    <t>Economy, Humanitarian Crisis, Reconstruction, Civilians, Humanitarian Aid, Destruction</t>
  </si>
  <si>
    <t>https://news.un.org/en/interview/2023/11/1143327</t>
  </si>
  <si>
    <t>5,500 women in Gaza set to give birth ‘in race against death’</t>
  </si>
  <si>
    <t>The interview with an official at the UN Population Fund discusses the dire situation of 5,500 pregnant women in Gaza facing severe medical challenges amid ongoing conflict, highlighting the urgent need for humanitarian aid and a ceasefire.</t>
  </si>
  <si>
    <t>November 07, 2023</t>
  </si>
  <si>
    <t>November 01, 2023</t>
  </si>
  <si>
    <t>Public Health, Humanitarian Crisis, Women, Ceasefire, Pregnancy</t>
  </si>
  <si>
    <t>UN (United Nations), UNFPA (United Nations Population Fund)</t>
  </si>
  <si>
    <t>New UN report: Impacts of war have set back development in Gaza by as much as 69 years</t>
  </si>
  <si>
    <t>A new UN report by the UN Development Programme (UNDP) and the UN Economic and Social Commission for Western Asia (UNESCWA) estimates that the impacts of war have set back development in Gaza by as much as 69 years, projecting a rise in poverty and significant economic contraction. The assessment indicates that, even if humanitarian aid is provided each year, the economy may not regain its pre-crisis level for a decade or more. The report includes different scenarios for early recovery plans, and calculates the rate of development under each scenario.</t>
  </si>
  <si>
    <t>United Nations Development Programme, UN Economic and Social Commission for Western Asia</t>
  </si>
  <si>
    <t>Economy, Humanitarian Aid, Humanitarian Crisis, Reconstruction, Poverty</t>
  </si>
  <si>
    <t>https://apnews.com/article/israel-palestinians-gaza-hamas-west-bank-war-f85997a95d5579159ffe83d2c0cb988e</t>
  </si>
  <si>
    <t>Palestinian killed during Israeli settler riot in West Bank, others injured in rampage</t>
  </si>
  <si>
    <t>A Palestinian man was killed and 25 others injured in a West Bank village during a violent rampage by Israeli settlers after the disappearance of a 14 year old from their settlement. Palestinian health officials say over 460 Palestinians have been killed in the West Bank by Israeli fire since the war erupted in October.</t>
  </si>
  <si>
    <t>April 13, 2024</t>
  </si>
  <si>
    <t>Jack Jeffery and Julia Frankel</t>
  </si>
  <si>
    <t>al-Mughayyir</t>
  </si>
  <si>
    <t>Violence, Settlements, Civilians, Collective Punishment, Settlers Violence</t>
  </si>
  <si>
    <t>https://www.instagram.com/landpalestine/p/C4qQ6pltu5N/?img_index=1</t>
  </si>
  <si>
    <t>Palestinian woman discovered that the israeli soldiers carved with a knife the Star of David on her husband’s back after torturing him.</t>
  </si>
  <si>
    <t>A Palestinian woman discovered that Israeli soldiers carved the Star of David on her husband's back after torturing him.</t>
  </si>
  <si>
    <t>landpalestine, grassrootslaw , zeenaqel and lowkeyonline</t>
  </si>
  <si>
    <t>South Gaza</t>
  </si>
  <si>
    <t>Torture, Violence, Women, Humiliation</t>
  </si>
  <si>
    <t>https://palestine.beehiiv.com/p/surviving-genocide-people</t>
  </si>
  <si>
    <t>How I am Surviving the Genocide against my People</t>
  </si>
  <si>
    <t>A personal testimony recounting the harrowing experience of a family during an airstrike in Gaza, highlighting the trauma and chaos of living under threat of genocide and experiencing multiple displacements.</t>
  </si>
  <si>
    <t>October 10, 2023</t>
  </si>
  <si>
    <t>palestine.beehiiv.com</t>
  </si>
  <si>
    <t>Heba Almaqadma</t>
  </si>
  <si>
    <t>Al-Tawam</t>
  </si>
  <si>
    <t>Genocide, Bombing, Civilians, Public Health, Air Strike, Forced Displacement, Injury, Hospital, Palestinian Testimony</t>
  </si>
  <si>
    <t>North Gaza, Al-Shifa Hospital, Khan Younis, Rafah</t>
  </si>
  <si>
    <t>https://www.theguardian.com/us-news/2024/jan/24/americans-believe-israel-committing-genocide-poll</t>
  </si>
  <si>
    <t>More than one-third of Americans believe Israel is committing genocide, poll shows</t>
  </si>
  <si>
    <t>A poll reveals that more than one-third of Americans believe Israel is committing genocide against Palestinians, highlighting significant political and generational divides in opinion. Almost half of those surveyed aged 18-29, 49%, say Israel is committing genocide. The figures are broadly similar for registered Democrats. The poll comes before the interim ruling of the ICJ on the South Africa genoside case against Israel.</t>
  </si>
  <si>
    <t>Richard Luscombe</t>
  </si>
  <si>
    <t>Economist/YouGov poll</t>
  </si>
  <si>
    <t>Public Opinion, Genocide, Journalistic Report</t>
  </si>
  <si>
    <t>ICJ (International Court of Justice), United States</t>
  </si>
  <si>
    <t>https://www.idi.org.il/articles/56112</t>
  </si>
  <si>
    <t>September 2024 Survey: The One Year Anniversary of the events of October 7 and the War in Gaza</t>
  </si>
  <si>
    <t>A public opinion survey conducted by the Israeli Democracy Institute reveals significant changes in the Israeli public's sense of personal security and economic conditions one year after the October 7 events and the 'Iron Swords' war. 53% of interviewees think that it is time to end the war, mostly because the war puts the hostages in danger. A majority of left and center-leaning Jewish Israeli and a majority of Palestinian citizens of Israel think the war should be ended, as opposed to only 27% of rightwing Jewish Israelis. An overwhelming majority of Jewish Israelis believes that the Israeli military has conducted itself morally during the war. A significant majority of Palestinians with Israeli citizenship believe it has not. Opinions regarding the duty to investigate reports of torture and abuse of Palestinian detainees skew in a similar fashion.</t>
  </si>
  <si>
    <t>October 07, 2024</t>
  </si>
  <si>
    <t>September 15, 2024</t>
  </si>
  <si>
    <t>September 19, 2024</t>
  </si>
  <si>
    <t>Public Opinion, Economy, Violence, Hostages, Israeli Society, Abuse, Torture, Detainees, Palestinian Citizens of Israel</t>
  </si>
  <si>
    <t>https://www.idi.org.il/articles/56143</t>
  </si>
  <si>
    <t>Rapid Survey: Operation "Northern Arrows" - Main Findings</t>
  </si>
  <si>
    <t>A public opinion survey conducted by the Israeli Democracy Institute reveals significant support among Israelis for military action against Hezbollah amidst ongoing conflicts. Jewish Israeli respondents showed a distinct preference for granting security to the country's northern settlement through destroying Hezbollah's military capabilities. In contrast, Palestinians with Israeli citizenship strongly supported an internationally mediated political solution which would remove Hezbollah from the border.</t>
  </si>
  <si>
    <t>October 01, 2024</t>
  </si>
  <si>
    <t>September 26, 2024</t>
  </si>
  <si>
    <t>Public Opinion, Violence, Israeli Society, Ground Operation, Official Report, Palestinian Citizens of Israel</t>
  </si>
  <si>
    <t>Hezbollah, IDF (Israel Defense Forces), Lebanon</t>
  </si>
  <si>
    <t>Israel, Lebanon</t>
  </si>
  <si>
    <t>https://cepr.net/press-release/poll-majority-of-americans-say-biden-should-halt-weapons-shipments-to-israel/</t>
  </si>
  <si>
    <t>Poll: Majority of Americans Say Biden Should Halt Weapons Shipments to Israel</t>
  </si>
  <si>
    <t>A recent YouGov CEPR poll indicates that a majority of Americans believe President Biden should halt weapons shipments to Israel until it ceases attacks on Gaza, highlighting a significant partisan divide in opinions. Wide partisan divide as Biden voters support blocking arms shipments by strong 62%–14% majority; Trump voters oppose by 55%–30%.</t>
  </si>
  <si>
    <t>Center for Economic and Policy Research</t>
  </si>
  <si>
    <t>Public Opinion, American Society</t>
  </si>
  <si>
    <t>https://www.haaretz.co.il/news/politics/2024-06-12/ty-article/.premium/00000190-0a69-d0f9-a1d5-da691e1f0000</t>
  </si>
  <si>
    <t>A report by a UN Human Rights Council committee accuses Israel and Hamas of war crimes</t>
  </si>
  <si>
    <t>A report by a UN Human Rights Council committee accuses Israel and Hamas of war crimes and crimes against humanity during the conflict that began on October 7. The reports states that Israel targets civillians, employs sexual violoence and intentionally destroys infrasttructure in order to empty the Gaza Strip of its population. The report also accuses Hamas of committing war crimes, including sexual violence, on Octover 7th. Israel accuses the report's author of antisemitism.</t>
  </si>
  <si>
    <t>Amir Tibon</t>
  </si>
  <si>
    <t>UN OHCHR (Office of the High Commissioner for Human Rights)</t>
  </si>
  <si>
    <t>https://www.ohchr.org/en/press-releases/2024/06/israeli-authorities-palestinian-armed-groups-are-responsible-war-crimes</t>
  </si>
  <si>
    <t>War Crimes, Crimes Against Humanity, Violence, Forced Displacement, Sexual Violence, Infrastructure</t>
  </si>
  <si>
    <t>Hamas, IDF (Israel Defense Forces), UN (United Nations)</t>
  </si>
  <si>
    <t>https://www.npr.org/2023/12/03/1216200754/gaza-heritage-sites-destroyed-israel</t>
  </si>
  <si>
    <t>More than 100 Gaza heritage sites have been damaged or destroyed by Israeli attacks</t>
  </si>
  <si>
    <t>A report details the destruction and damage of over 100 cultural landmarks in Gaza due to Israeli airstrikes since the conflict escalated on October 7, 2023. including the Great Omari Mosque, one of the most important and ancient mosques in historical Palestine; the Church of Saint Porphyrius, thought to be the third oldest church in the entire world; a 2,000-year-old Roman cemetery in northern Gaza excavated only last year; and the Rafah Museum, a space in southern Gaza which was dedicated to teaching about the territory's long and multi-layered heritage.</t>
  </si>
  <si>
    <t>December 03, 2023</t>
  </si>
  <si>
    <t>NPR</t>
  </si>
  <si>
    <t>Chloe Veltman</t>
  </si>
  <si>
    <t>Heritage for Peace</t>
  </si>
  <si>
    <t>https://www.heritageforpeace.org/palestina-heritage-reports/</t>
  </si>
  <si>
    <t>Destruction of Cultural Sites, Cultural Genocide, Mosques, Destruction, Air Strike</t>
  </si>
  <si>
    <t>https://www.washingtonpost.com/world/2024/04/22/unrwa-israel-hamas-report-palestinians/</t>
  </si>
  <si>
    <t>Report says Israel has not provided evidence of widespread militancy among UNRWA staff</t>
  </si>
  <si>
    <t>A report indicates that Israel has not substantiated claims of widespread militancy among UNRWA staff, while calling for improved vetting and reforms within the agency.</t>
  </si>
  <si>
    <t>April 22, 2024</t>
  </si>
  <si>
    <t>October 08, 2023</t>
  </si>
  <si>
    <t>The Washington Post</t>
  </si>
  <si>
    <t>Claire Parker</t>
  </si>
  <si>
    <t>UNRWA (The UN Relief and Works Agency for Palestine Refugees)</t>
  </si>
  <si>
    <t>https://www.unrwa.org/resources/reports/independent-review-mechanisms-and-procedures-ensure-adherence-unrwa-humanitarian</t>
  </si>
  <si>
    <t>Humanitarian Aid, Funding, Campaign against UNRWA</t>
  </si>
  <si>
    <t>Hamas, UNRWA (The UN Relief and Works Agency for Palestine Refugees)</t>
  </si>
  <si>
    <t>António Guterres, Philippe Lazzarini</t>
  </si>
  <si>
    <t>https://www.nytimes.com/2024/04/26/world/middleeast/gaza-israel-hospitals-medical-system.html</t>
  </si>
  <si>
    <t>Israel’s military campaign has left Gaza’s medical system near collapse</t>
  </si>
  <si>
    <t>Israel's military campaign in Gaza has severely impacted the region's medical system, bringing healthcare services to the brink of collapse amid the ongoing conflict. By late March, only 10 of 36 hospitals in Gaza were "minimally functional".</t>
  </si>
  <si>
    <t>Vivian Nereim, Abu Bakr Bashir</t>
  </si>
  <si>
    <t>Public Health, Humanitarian Crisis, Bombing, Gaza Death Toll, Medical Supplies, Hospital, Destruction, Healthcare Workers</t>
  </si>
  <si>
    <t>Nasser Hospital, Al-Shifa Hospital, Al-Aqsa Hospital</t>
  </si>
  <si>
    <t>https://www.nytimes.com/2024/01/11/health/gaza-israel-hunger-starvation.html</t>
  </si>
  <si>
    <t>Looming starvation in Gaza shows resurgence of civilian sieges in warfare</t>
  </si>
  <si>
    <t>There is an imminent risk of famine in Gaza due to the ongoing conflict, highlighting the largest share of a population at risk of starvation in recent history. The article includes Israel's rejection of the accusation that it is withholding aid.</t>
  </si>
  <si>
    <t>January 11, 2024</t>
  </si>
  <si>
    <t>Stephanie Nolen</t>
  </si>
  <si>
    <t>Starvation, Humanitarian Crisis, Blockade, Food, Civilians</t>
  </si>
  <si>
    <t>UN (United Nations), COGAT (The Coordination of the Israeli Government Activities in the Territories)</t>
  </si>
  <si>
    <t>https://www.idi.org.il/articles/53443</t>
  </si>
  <si>
    <t>Majority of Israelis give low ratings to Prime Minister Netanyahu; high ratings to IDF Chief of Staff</t>
  </si>
  <si>
    <t>A rapid survey reveals public opinions on the performance of Israeli leaders during the ongoing conflict, highlighting significant differences in perceptions among Jewish and Arab respondents. Among Jewish respondents, Prime Minister Netanyahu recieved a positive rating by 32% of the sample, the IDF Chief of Staff, Halevi, recieved the highest rank - 55% of Jewish responders evaluate him positively. The Minister of Finance, Smotrich, recieved the lowest rank, 21.5% evaluated him positively.</t>
  </si>
  <si>
    <t>Public Opinion, Israeli Society, Journalistic Report</t>
  </si>
  <si>
    <t>Bezalel Smotritch, Benjamin Netanyahu, Benny Gantz, Yoav Gallant, Herzi Halevi</t>
  </si>
  <si>
    <t>https://www.mako.co.il/news-politics/2023_q4/Article-9f47fed9563eb81027.htm</t>
  </si>
  <si>
    <t>"The day after" poll : 44% of the public wants to resettle Gaza. 58% is in favor of new elections.</t>
  </si>
  <si>
    <t>A recent poll reveals that 44% of the Israeli public supports renewing Jewish settlement in Gaza after the ongoing conflict (39% oppose), while opinions vary significantly across political affiliations. 36% moved to the right since the beginning of the war and only 6% moved to the left.</t>
  </si>
  <si>
    <t>November 18, 2023</t>
  </si>
  <si>
    <t>November 16, 2023</t>
  </si>
  <si>
    <t>Amit Segal , Ben Caspit</t>
  </si>
  <si>
    <t>Midgam</t>
  </si>
  <si>
    <t>Public Opinion, Jewish Settlements in Gaza, Israeli Society, Poll, Journalistic Report</t>
  </si>
  <si>
    <t>https://twitter.com/KhaledYousry22/status/1785413134011838765</t>
  </si>
  <si>
    <t>IDF turns a school in Gaza into a military base</t>
  </si>
  <si>
    <t>Israeli journalist Amir Bohbot unintentionaly reveals that Division 162 was stationed inside a schoolyard and violates international humanitarian law, especially the Fourth Geneva Convention. The act is considered a war crime.</t>
  </si>
  <si>
    <t>April 30,2024</t>
  </si>
  <si>
    <t>Schools, War Crimes, Humanitarian Law, Education, Israeli Media</t>
  </si>
  <si>
    <t>https://twitter.com/KhalilAsslan/status/1753364384800252200</t>
  </si>
  <si>
    <t>IDF soldiers hold a Torah scroll introduction ceremomy into an abandoned home somewhere in the Gaza Strip</t>
  </si>
  <si>
    <t>Israeli soldiers conduct a Torah scroll introduction ceremomy in an abandoned home in the Gaza Strip while singing, dancing and drumming</t>
  </si>
  <si>
    <t>Israeli Soldier Movies, Confiscated Assets, Religious Right</t>
  </si>
  <si>
    <t>https://twitter.com/Mistaclim/status/1746854844818681861</t>
  </si>
  <si>
    <t>IDF soldiers on uniform state that their mission is to occupy, evict and settle Gaza</t>
  </si>
  <si>
    <t>Four IDF soldiers in uniform in Gaza filming a message to Bibi, while standing in front of a demolished building in Beit Hanoun. They declare they are completing their mission by occuping, evicting and settling</t>
  </si>
  <si>
    <t>Looking the occupation in the eye (@Mistaclim)</t>
  </si>
  <si>
    <t>Ethnic Cleansing, Domicide, Annexation, Jewish Settlements in Gaza, Israeli Soldier Movies</t>
  </si>
  <si>
    <t>Gaza Strip, Beit Hanoun</t>
  </si>
  <si>
    <t>https://twitter.com/Mistaclim/status/1777360030380986803</t>
  </si>
  <si>
    <t>Knesset member talkin about resettling in Gaza</t>
  </si>
  <si>
    <t>Knesset member, Limor Son Har-Melech, is being interviewed on the Knesset Channel. She is describing her vision of settling in Gaza, presenting it as a solution to terrorism. The video shows a demolshed street in Gaza.</t>
  </si>
  <si>
    <t>April 8, 2024</t>
  </si>
  <si>
    <t>Settlements, Annexation, Urbicide, Israeli Political Right, Israeli Far Right, Religious Right</t>
  </si>
  <si>
    <t>https://www.commondreams.org/news/northern-gaza-risk-dying</t>
  </si>
  <si>
    <t>The Entire Population of North Gaza Is at Risk of Dying': UN Relief Official</t>
  </si>
  <si>
    <t>A UN relief official warns that the entire population of North Gaza is at risk of dying due to ongoing Israeli assaults, highlighting severe humanitarian crises and violations of international law. According to the official "Such blatant disregard for basic humanity and for the laws of war must stop".</t>
  </si>
  <si>
    <t>Common Dreams</t>
  </si>
  <si>
    <t>Olivia Rosane</t>
  </si>
  <si>
    <t>Public Health, Humanitarian Crisis, War Crimes, Genocide, Hospital, Humanitarian Aid</t>
  </si>
  <si>
    <t>North Gaza, Kamal Adwan Hospital</t>
  </si>
  <si>
    <t>https://www.theguardian.com/global-development/2024/nov/08/gaza-unparalleled-suffering-jan-egeland-norwegian-refugee-council-aid-ceasefire-hostages-peace-process</t>
  </si>
  <si>
    <t>‘Almost unparalleled suffering’ in Gaza as UN says nearly 70% of those killed are women and children</t>
  </si>
  <si>
    <t>A UN report verified 8,119 of the deaths in the first half year of the war. Analysis of the data reveals that nearly 70% of those killed in the Gaza conflict are women and children, highlighting severe humanitarian violations and the impact of military actions on civilians.</t>
  </si>
  <si>
    <t>November 08, 2024</t>
  </si>
  <si>
    <t>Sarah Johnson</t>
  </si>
  <si>
    <t>https://www.ohchr.org/sites/default/files/documents/countries/opt/20241106-Gaza-Update-Report-OPT.pdf</t>
  </si>
  <si>
    <t>Civilians, Children, Women, Humanitarian Crisis, War Crimes, Humanitarian Law, Death</t>
  </si>
  <si>
    <t>IDF (Israel Defense Forces), Norwegian Refugee Council</t>
  </si>
  <si>
    <t>https://news.un.org/en/story/2024/11/1156466</t>
  </si>
  <si>
    <t>Gaza: Polio campaign reaches 94,000 children in besieged north</t>
  </si>
  <si>
    <t>A UN-supported polio vaccination campaign in northern Gaza successfully inoculated 94,000 children, but thousands remain unreachable due to ongoing conflict and displacement.</t>
  </si>
  <si>
    <t>November 04, 2024</t>
  </si>
  <si>
    <t>November 02, 2024</t>
  </si>
  <si>
    <t>Children, Public Health, Humanitarian Crisis, Disease</t>
  </si>
  <si>
    <t>UN (United Nations), UNICEF (United Nations Children's Fund), WHO (World Health Organization)</t>
  </si>
  <si>
    <t>https://www.theguardian.com/world/2024/mar/22/unicef-official-utter-annihilation-gaza</t>
  </si>
  <si>
    <t>Unicef official tells of ‘utter annihilation’ after travelling length of Gaza</t>
  </si>
  <si>
    <t>A UNICEF official describes the devastating humanitarian crisis in Gaza, highlighting severe malnutrition and overcrowding amid ongoing conflict. According to the piece, children are on the break of death and families must get clean water, food and shelter.</t>
  </si>
  <si>
    <t>Jason Burke</t>
  </si>
  <si>
    <t>Humanitarian Crisis, Malnutrition, Children, Humanitarian Aid, Public Health, Starvation, Destruction</t>
  </si>
  <si>
    <t>Kamal Adwan Hospital, Khan Younis</t>
  </si>
  <si>
    <t>https://edition.cnn.com/2023/12/13/politics/intelligence-assessment-dumb-bombs-israel-gaza/index.html</t>
  </si>
  <si>
    <t>Exclusive: Nearly half of the Israeli munitions dropped on Gaza are imprecise ‘dumb bombs,’ US intelligence assessment finds</t>
  </si>
  <si>
    <t>A US intelligence assessment reveals that nearly half of the munitions Israel used in Gaza are imprecise 'dumb bombs', raising concerns about civilian casualties.</t>
  </si>
  <si>
    <t>Natasha Bertrand, Katie Bo Lillis</t>
  </si>
  <si>
    <t>Bombing, Civilians, Humanitarian Crisis, War Crimes, Air Strike</t>
  </si>
  <si>
    <t>https://mondoweiss.net/2023/11/israeli-doctors-urge-the-bombing-of-gaza-hospitals/</t>
  </si>
  <si>
    <t>Israeli doctors urge the bombing of Gaza hospitals</t>
  </si>
  <si>
    <t>About 90 Israeli doctors have signed a letter urging the bombing of hospitals in Gaza, claiming they are legitimate targets due to suspected terrorist activity.</t>
  </si>
  <si>
    <t>November 05, 2023</t>
  </si>
  <si>
    <t>Mondoweiss</t>
  </si>
  <si>
    <t>Tali Shapiro, Jonathan Ofir</t>
  </si>
  <si>
    <t>Open Letter</t>
  </si>
  <si>
    <t>Bombing, Public Health, Dehumanization, Terrorism, Incitement to Violence, Hospital, Religious Right, Air Strike</t>
  </si>
  <si>
    <t>IDF (Israel Defense Forces), Hamas</t>
  </si>
  <si>
    <t>Al-Shifa Hospital</t>
  </si>
  <si>
    <t>https://www.haaretz.co.il/gallery/gallery-news/2024-06-08/ty-article/.premium/0000018f-f899-df2e-a5df-fefd24c30000</t>
  </si>
  <si>
    <t>Keshet 12 fired actress Lema Tatour following a post against kidnapped Noa Argamani</t>
  </si>
  <si>
    <t>Actress and presenter Lema Tatour was dismissed from Keshet 12 following a critical Instagram post regarding the appearance of hostage Noa Argamani, who was recently rescued from Hamas captivity.</t>
  </si>
  <si>
    <t>June 08, 2024</t>
  </si>
  <si>
    <t>News, Hostages, Abuse, Limiting Free Speech, Media</t>
  </si>
  <si>
    <t>https://www.democracynow.org/2024/4/11/surgeons_in_gaza</t>
  </si>
  <si>
    <t>“We’re Responsible for This”: American Surgeons Return from Gaza, Call for End of U.S. Culpability in Genocide</t>
  </si>
  <si>
    <t>American surgeons return from Gaza, highlighting the humanitarian crisis and calling for an end to U.S. support of Israel's actions.</t>
  </si>
  <si>
    <t>Democracy Now!</t>
  </si>
  <si>
    <t>https://www.commondreams.org/opinion/surgeons-cruelty-israel-gaza</t>
  </si>
  <si>
    <t>Genocide, Public Health, Children, Dehumanization, War Crimes, Civilians, Healthcare Workers, Testimony, Shooting, Indiscriminate Shooting, Hospital</t>
  </si>
  <si>
    <t>https://www.amnesty.org/en/latest/news/2024/10/israel-opt-one-year-on-from-7-october-need-to-ensure-a-ceasefire-and-release-of-hostages-more-pressing-than-ever/</t>
  </si>
  <si>
    <t>Israel/OPT: One year on from 7 October need to ensure a ceasefire and release of hostages more pressing than ever</t>
  </si>
  <si>
    <t>Amnesty International marks the one-year anniversary of the October 7 attacks and calls for an immediate ceasefire and the release of hostages amid ongoing violence in Israel and Gaza.</t>
  </si>
  <si>
    <t>Amnesty International</t>
  </si>
  <si>
    <t>Agnès Callamard</t>
  </si>
  <si>
    <t>Ceasefire, Hostages, Humanitarian Crisis, Prisoners, Crimes Against Humanity</t>
  </si>
  <si>
    <t>https://www.amnesty.org/en/latest/news/2024/02/israel-opt-new-evidence-of-unlawful-israeli-attacks-in-gaza-causing-mass-civilian-casualties-amid-real-risk-of-genocide/</t>
  </si>
  <si>
    <t>Israel/OPT: New evidence of unlawful Israeli attacks in Gaza causing mass civilian casualties amid real risk of genocide</t>
  </si>
  <si>
    <t>Amnesty International reports on unlawful Israeli attacks in Rafah, resulting in mass civilian casualties, including children, and calls for investigations into potential war crimes.</t>
  </si>
  <si>
    <t>December 12, 2023</t>
  </si>
  <si>
    <t>January 9, 2024</t>
  </si>
  <si>
    <t>Civilians, War Crimes, Children, Genocide, Family, Testimony, Air Strike, Corpses</t>
  </si>
  <si>
    <t>Gaza Strip, Gaza City, Rafah</t>
  </si>
  <si>
    <t>https://www.amnesty.org/en/latest/news/2023/12/israel-opt-us-made-munitions-killed-43-civilians-in-two-documented-israeli-air-strikes-in-gaza-new-investigation/</t>
  </si>
  <si>
    <t>Israel/OPT: US-made munitions killed 43 civilians in two documented Israeli air strikes in Gaza – new investigation</t>
  </si>
  <si>
    <t>Amnesty International's investigation reveals that US-made munitions were used in two documented Israeli air strikes that killed 43 civilians in Gaza. Amnesty calls for these attacks to be investigated as war crimes.</t>
  </si>
  <si>
    <t>December 05, 2023</t>
  </si>
  <si>
    <t>October 22, 2023</t>
  </si>
  <si>
    <t>Air Strike, Civilians, War Crimes, Humanitarian Law, Bombing, Family, Children, Women</t>
  </si>
  <si>
    <t>https://www.middleeasteye.net/news/israel-palestine-war-sara-netanyahu-advisor-torture-gazans-rant</t>
  </si>
  <si>
    <t>Sara Netanyahu's adviser calls for torture of Gaza residents involved in killing Israelis</t>
  </si>
  <si>
    <t>An adviser to Sara Netanyahu, Tzipi Navon, called for the torture of Gaza residents involved in the killing of Israelis, describing in detail specific acts of violence she wishes upon them. She also called for reporting the Facebook profiles of Israeli left wing "traitors" who are attacking Israel's prime minister.</t>
  </si>
  <si>
    <t>October 14, 2023</t>
  </si>
  <si>
    <t>October 12, 2023</t>
  </si>
  <si>
    <t>MEE staff</t>
  </si>
  <si>
    <t>Torture, Violence, Dehumanization, Abuse</t>
  </si>
  <si>
    <t>https://www.latimes.com/opinion/story/2024-02-16/rafah-gaza-hospitals-surgery-israel-bombing-ground-offensive-children</t>
  </si>
  <si>
    <t>Opinion: I'm an American doctor who went to Gaza. I saw annihilation, not war</t>
  </si>
  <si>
    <t>An American doctor recounts his harrowing experience volunteering in Gaza, describing the dire humanitarian crisis and the overwhelming challenges faced by medical staff amidst ongoing violence.</t>
  </si>
  <si>
    <t>Los Angeles Times</t>
  </si>
  <si>
    <t>Irfan Galaria</t>
  </si>
  <si>
    <t>Public Health, Humanitarian Crisis, Bombing, Children, Civilians, Healthcare Workers, Injury, Hospital, Testimony</t>
  </si>
  <si>
    <t>https://apnews.com/article/israel-palestinians-hamas-war-casualties-toll-65e18f3362674245356c539e4bc0b67a</t>
  </si>
  <si>
    <t>Gaza's women, children are killed less frequently as war's toll rises</t>
  </si>
  <si>
    <t>An analysis by the Associated Press reveals a decline in the proportion of Palestinian women and children killed in the ongoing Israel-Hamas war, despite rising overall casualties. Early in the war (Oct. 2023), the ratio of women and children deaths was 64%, while in April 2024 the ratio dropped to 38%. The article includes various attempts to parse the data coming from the Gaza Ministry of Health.</t>
  </si>
  <si>
    <t>June 10, 2024</t>
  </si>
  <si>
    <t>Josef Federman, Larry Fenn</t>
  </si>
  <si>
    <t>Civilians, Women, Children, Gaza Death Toll</t>
  </si>
  <si>
    <t>Gaza Health Ministry, IDF (Israel Defense Forces), Hamas</t>
  </si>
  <si>
    <t>https://www.haaretz.co.il/news/politics/2024-05-23/ty-article/.premium/0000018f-9c76-d6da-a1cf-ff76832b0000</t>
  </si>
  <si>
    <t>An IDF investigation concluded that a military unit acted against regulations, resulting in the accidental death of a UN worker in Rafah.</t>
  </si>
  <si>
    <t>The investigation found that the UN worker was in a prohibited road without coordinating his movement with the IDF. The IDF unit fired a tank round and grenades at the car. Other than the UN worker who was killed, another worker was injured.</t>
  </si>
  <si>
    <t>Humanitarian Aid, Rules of Engagement</t>
  </si>
  <si>
    <t>IDF (Israel Defense Forces), UN (United Nations)</t>
  </si>
  <si>
    <t>https://www.calcalist.co.il/local_news/article/rjytktkra</t>
  </si>
  <si>
    <t>An IDF soldier offered to sell looted goods from Gaza on Facebook Marketplace</t>
  </si>
  <si>
    <t>An IDF soldier offered for sale a passport of a Palestinian child for 500 NIS (~$140), and other items looted in Gaza, on Facebook Marketplace, leading to an investigation by military police. The soldier was suspended from combat but remained in his unit and was not sent to military prison.</t>
  </si>
  <si>
    <t>Yuval Sade</t>
  </si>
  <si>
    <t>Looting, Israeli Society, Dehumanization</t>
  </si>
  <si>
    <t>Herzi Halevi</t>
  </si>
  <si>
    <t>https://www.theguardian.com/world/2024/apr/22/israel-unrwa-staff-terrorist-links-yet-to-provide-evidence-colonna-report</t>
  </si>
  <si>
    <t>Israel has yet to provide evidence of UNRWA staff terrorist links, Colonna report says</t>
  </si>
  <si>
    <t>An independent review led by Catherine Colonna (a former French foreign minister) found that Israel has not provided evidence for its claims that UNRWA staff are linked to terrorist organizations. Also, a report provided by the Nordic institutions, found very limited evidence for Israel's allegations pertaning to antisemitic content in textbooks used by UNWRA schools. Both allegations were part of the Israeli campaign against UNRWA that ramped up in early 2024. The article also refers to some of the countries that had suspended their funding to UNRWA but resumed it.</t>
  </si>
  <si>
    <t>https://www.un.org/unispal/wp-content/uploads/2024/04/unrwa_independent_review_on_neutrality.pdf</t>
  </si>
  <si>
    <t>International</t>
  </si>
  <si>
    <t>Humanitarian Aid, Humanitarian Crisis, Education, Campaign against UNRWA, Funding, Official Report</t>
  </si>
  <si>
    <t>Hamas, Islamic Jihad, UN (United Nations), UNRWA (The UN Relief and Works Agency for Palestine Refugees)</t>
  </si>
  <si>
    <t>https://www.haaretz.co.il/magazine/on-the-line/2024-03-13/ty-article/.highlight/0000018e-32df-d897-a58f-b7dfad0b0000</t>
  </si>
  <si>
    <t>Phone interview with MK Sharren Haskel: What's your problem with moving orphans from Gaza to the West Bank?</t>
  </si>
  <si>
    <t>An interview with Knesset member Sharren Haskel discussing the challenges of transferring orphaned children from Gaza to the West Bank. MK Haskel asserts that the movement of such children must be coordinated with the government and blames Hamas for all deaths in the war.</t>
  </si>
  <si>
    <t>Nir Gontaz</t>
  </si>
  <si>
    <t>Gaza Strip, OPT</t>
  </si>
  <si>
    <t>Children, Humanitarian Aid, Humanitarian Crisis, Interview</t>
  </si>
  <si>
    <t>Hamas, Israeli Government</t>
  </si>
  <si>
    <t>Gaza Strip, West Bank</t>
  </si>
  <si>
    <t>https://www.haaretz.co.il/news/politics/2024-05-28/ty-article/.premium/0000018f-bbb6-dc1f-abef-ffbf9de50000</t>
  </si>
  <si>
    <t>An investigation finds that two Palestinians were beaten on their way to the Sde Teiman detention center and were found dead upon arrival.</t>
  </si>
  <si>
    <t>An investigation reveals that two Palestinian detainees from Gaza died after being beaten by soldiers while being transported to the Sde Teiman detention facility. Although some soldiers were questioned, none were arrested in this or in 33 other cases in which Gazans that were detained alive died while in Israeli detention.</t>
  </si>
  <si>
    <t>Bar Peleg, Josh Breiner</t>
  </si>
  <si>
    <t>Gaza Strip. Israel</t>
  </si>
  <si>
    <t>Abuse , Violence, Prisoners, Humiliation, Dehumanization, Detainees</t>
  </si>
  <si>
    <t>IDF (Israel Defense Forces), Israeli Incarceration System</t>
  </si>
  <si>
    <t>Gaza Strip, Khan Younis, Sde Teiman Detention Center</t>
  </si>
  <si>
    <t>https://www.middleeasteye.net/news/israel-soldier-boasted-running-over-dead-palestinian-man-tank</t>
  </si>
  <si>
    <t>War on Gaza: Israeli soldier 'boasted about running over dead Palestinian man with tank'</t>
  </si>
  <si>
    <t>An Israeli soldier posted a video of a Palestinian body through a tank window, stating that he drove over it. The article discusses other cases of Israelis driving over Palestinians with heavy vehicles.</t>
  </si>
  <si>
    <t>https://x.com/ireallyhateyou/status/1764657311769866272?s=20</t>
  </si>
  <si>
    <t>Dehumanization, Civilians, Corpses, Israeli Soldier Testimonies, Tanks</t>
  </si>
  <si>
    <t>https://www.cnn.com/2024/03/26/middleeast/palestinians-drown-gaza-aid-drop-intl/index.html</t>
  </si>
  <si>
    <t>At least 12 Palestinians drown trying to retrieve aid parcels dropped into the sea</t>
  </si>
  <si>
    <t>At least 12 Palestinians drowned while attempting to retrieve aid parcels airdropped into the sea off the northern Gaza coast. Human rights groups have repeatedly criticized airdrops as an inefficient and degrading way of getting aid to Gazans, instead urging Israeli authorities to lift controls on land crossings into the enclave. The article mentions 5 other Palestinians who died and 10 others who were injured when airdropped aid fell on them earlier in March 2024.</t>
  </si>
  <si>
    <t>March 25, 2024</t>
  </si>
  <si>
    <t>AbdelQadder Sabbah, Kareem Khadder, Jomana Karadsheh, Abeer Salman, Sana Noor Haq</t>
  </si>
  <si>
    <t>Humanitarian Aid, Death, Food, Blockade, Airdrops</t>
  </si>
  <si>
    <t>https://www.middleeasteye.net/live-blog/live-blog-update/66-killed-attack-near-kamal-adwan-hospital</t>
  </si>
  <si>
    <t>66 Palestinians killed in attack near Kamal Adwan Hospital</t>
  </si>
  <si>
    <t>At least 66 people, mostly women and children, were killed in an IDF attack near Kamal Adwan Hospital in northern Gaza. Over 100 were injured in the same event.</t>
  </si>
  <si>
    <t>Civilians, Hospital, Bombing, Children, Women</t>
  </si>
  <si>
    <t>https://www.bellingcat.com/news/2024/03/05/social-media-posts-show-off-blindfolded-and-bound-palestinian-detainees/</t>
  </si>
  <si>
    <t>Social Media Posts Show Off Blindfolded and Bound Palestinian Detainees</t>
  </si>
  <si>
    <t>An analysis of social media posts by IDF soldiers that show, among others, blindfolded, bound and naked Palestinian detainees. The piece suggests that the violations are likely unlawful under international humanitarian law. The piece also notes the so-called "Hamas Hunting Club", an Instagram account that has a patch that some IDF soldiers wear.</t>
  </si>
  <si>
    <t>bellingcat</t>
  </si>
  <si>
    <t>Younis Tirawi</t>
  </si>
  <si>
    <t>Detainees, Captivity Conditions, Social Media, Humiliation, Humanitarian Law, Dehumanization</t>
  </si>
  <si>
    <t>https://www.theguardian.com/world/2024/apr/21/us-poised-impose-sanctions-israel-defense-force-netzah-yehuda-battalion</t>
  </si>
  <si>
    <t>Netanyahu vows to fight US sanctions on IDF unit accused of violations in West Bank</t>
  </si>
  <si>
    <t>Benjamin Netanyahu vows to oppose US sanctions (under the Leahy law) against the Israeli Defense Forces' Netzah Yehuda battalion, which the US accuses of human rights violations in the West Bank.</t>
  </si>
  <si>
    <t>Peter Beaumont</t>
  </si>
  <si>
    <t>War Crimes, Torture, Civilians, Leahy Law</t>
  </si>
  <si>
    <t>US Department of State, IDF (Israel Defense Forces)</t>
  </si>
  <si>
    <t>https://www.npr.org/transcripts/1247670359</t>
  </si>
  <si>
    <t>Bernie Sanders says Netanyahu is attacking campus protests to deflect war criticism</t>
  </si>
  <si>
    <t>Bernie Sanders criticizes Israeli Prime Minister Benjamin Netanyahu for using accusations of antisemitism to distract from the humanitarian crisis in Gaza amid rising pro-Palestinian protests on U.S. college campuses.</t>
  </si>
  <si>
    <t>Scott Detrow</t>
  </si>
  <si>
    <t>Antisemitism, War Crimes, Humanitarian Crisis, Protest (International), Interview</t>
  </si>
  <si>
    <t>https://www.cbc.ca/news/canada/toronto/canadian-aid-truck-bombed-water-gaza-1.7179849</t>
  </si>
  <si>
    <t>Canada contacts Israel after aid agency says water truck bombed in 'targeted' attack</t>
  </si>
  <si>
    <t>Canada has contacted Israel regarding the bombing of a water truck operated by a Canadian humanitarian organization in Gaza (International Development and Relief Foundation), which they believe was a targeted attack. The event took place two weeks after Israel struck a World Central Kitchen convoy, killing seven aid workers.</t>
  </si>
  <si>
    <t>April 20, 2024</t>
  </si>
  <si>
    <t>CBC News</t>
  </si>
  <si>
    <t>Shanifa Nasser</t>
  </si>
  <si>
    <t>Canada</t>
  </si>
  <si>
    <t>Bombing, Humanitarian Aid, Water</t>
  </si>
  <si>
    <t>https://www.care.org/news-and-stories/press-releases/care-warns-84-of-gazas-lights-extinguished-people-left-sick-and-starving/</t>
  </si>
  <si>
    <t>CARE warns: 84% of Gaza’s lights extinguished, people left sick and starving</t>
  </si>
  <si>
    <t>According to an analysis of satellite images, 84% of Gaza's lights have been extinguished due to ongoing conflict. Around 70% of hospitals operate with little or no nighttime light, impacting incubators and lifesaving machinery.</t>
  </si>
  <si>
    <t>care.org</t>
  </si>
  <si>
    <t>CARE</t>
  </si>
  <si>
    <t>Humanitarian Crisis, Public Health, Starvation, Electricity, Civilians, Women, Children, Infrastructure, Infants, Analysis</t>
  </si>
  <si>
    <t>Gaza Strip, Gaza City, North Gaza</t>
  </si>
  <si>
    <t>https://theintercept.com/2024/03/01/cnn-christiane-amanpour-israel-gaza-coverage/</t>
  </si>
  <si>
    <t>CNN employees, including Christiane Amanpour, confronted CNN executives About “Double Standards” on coverage of the Gaza war</t>
  </si>
  <si>
    <t>Christiane Amanpour and CNN employees confront network executives about perceived double standards in coverage of the Israel-Gaza conflict during a recent all-hands meeting. One issue that came up repeatedly is CNN’s longtime process for routing almost all coverage relating to Israel and Palestine through the network’s Jerusalem bureau. The article notes CNN's process for routing almost all Israel-related coverage to its Jerusalem bureau.</t>
  </si>
  <si>
    <t>The Intercept</t>
  </si>
  <si>
    <t>Daniel Boguslaw, Prem Thakker</t>
  </si>
  <si>
    <t>London</t>
  </si>
  <si>
    <t>Media, Journalists, Violence, Censorship, Media bias</t>
  </si>
  <si>
    <t>https://www.salon.com/2024/01/05/cnn-admits-it-runs-all-gaza-coverage-through-bureau-monitored-by-israeli-military-censor_partner/</t>
  </si>
  <si>
    <t>CNN admits it runs all Gaza coverage through its Jerusalem bureau which is monitored by Israeli military censor</t>
  </si>
  <si>
    <t>CNN admits it runs all Gaza coverage through its Jerusalem bureau which is monitored by Israeli military censor. The review by the bureau results in the exclusion of words such as "genocide" or "war crimes". According to a staff member, "Israeli bombings in Gaza will be reported as 'blasts' attributed to nobody, until the Israeli military weighs in to either accept or deny responsibility; Quotes and information provided by Israeli army and government officials tend to be approved quickly, while those from Palestinians tend to be heavily scrutinized and slowly processed."</t>
  </si>
  <si>
    <t>Salon News</t>
  </si>
  <si>
    <t>Julia Conley</t>
  </si>
  <si>
    <t>https://theintercept.com/2024/01/04/cnn-israel-gaza-idf-reporting/</t>
  </si>
  <si>
    <t>Censorship, Media, Journalists, Media bias, Propaganda</t>
  </si>
  <si>
    <t>Jerusalem, Israel</t>
  </si>
  <si>
    <t>https://www.theguardian.com/media/2024/feb/04/cnn-staff-pro-israel-bias</t>
  </si>
  <si>
    <t>CNN staff say network’s pro-Israel slant amounts to ‘journalistic malpractice’</t>
  </si>
  <si>
    <t>CNN is facing a backlash from its own staff over editorial policies they say have led to a regurgitation of Israeli propaganda and the censoring of Palestinian perspectives in the network’s coverage of the war in Gaza. This piece is based on accounts of six CNN staffers and over a dozen internal memos and emails.</t>
  </si>
  <si>
    <t>February 4, 2024</t>
  </si>
  <si>
    <t>Chris McGreal</t>
  </si>
  <si>
    <t>Media, Censorship, Journalists, Media bias, Propaganda</t>
  </si>
  <si>
    <t>https://www.cnn.com/2024/04/22/business/columbia-tensions-passover-virtual-classes/index.html</t>
  </si>
  <si>
    <t>Columbia University main campus classes will be hybrid until semester ends; NYU students, faculty arrested during protests</t>
  </si>
  <si>
    <t>Columbia University has announced that all classes at its main campus will be hybrid until the end of the spring semester (in a week) amid pro-Palestinian protests and security concerns, while NYU faced protests leading to arrests.</t>
  </si>
  <si>
    <t>Matt Egan, Chris Boyette, Shimon Prokupecz and Nic F. Anderson</t>
  </si>
  <si>
    <t>New York</t>
  </si>
  <si>
    <t>Academia, Antisemitism, Education, Protest (International)</t>
  </si>
  <si>
    <t>https://www.foxbusiness.com/lifestyle/columbias-billionaire-donors-mull-giving-anti-israel-protests</t>
  </si>
  <si>
    <t>Columbia University's billionaire donors consider whether they should continue funneling money into the Ivy League school</t>
  </si>
  <si>
    <t>Ultra-wealthy benefactors like Robert Kraft, Len Blavatnik and Leon Cooperman pull or consider pulling their financial support from Columbia University over the anti-Israel protests that are unfolding on campus.</t>
  </si>
  <si>
    <t>April 24, 2024</t>
  </si>
  <si>
    <t>FOX</t>
  </si>
  <si>
    <t>Daniella Genovese</t>
  </si>
  <si>
    <t>Antisemitism, Academia, Protest (International), Education</t>
  </si>
  <si>
    <t>https://www.cnn.com/business/live-news/columbia-antisemitism-house-testimony/index.html</t>
  </si>
  <si>
    <t>Columbia University president testifies in House antisemitism probe</t>
  </si>
  <si>
    <t>Columbia President Nemat “Minouche” Shafik testified to a House committee over the university’s response to antisemitism. The Columbia president has faced criticism on campus for not protecting students from antisemitism, Islamophobia and anti-Arab harassment.</t>
  </si>
  <si>
    <t>Matt Egan, Ramishah Maruf</t>
  </si>
  <si>
    <t>Antisemitism, Academia, Education, Protest (International)</t>
  </si>
  <si>
    <t>https://www.theguardian.com/world/2024/apr/02/gaza-palestinian-children-killed-idf-israel-war</t>
  </si>
  <si>
    <t>Doctors in Gaza report that children have been deliberately targeted by Israeli snipers</t>
  </si>
  <si>
    <t>Foreign volunteer doctors report treating a steady stream of children, elderly people and others who were clearly not combatants with single bullet wounds to the head or chest. Many examples are given and several doctors are interviewed.</t>
  </si>
  <si>
    <t>Children, Civilians, War Crimes, Injury, Indiscriminate Shooting, Healthcare Workers, Hospital</t>
  </si>
  <si>
    <t>https://www.aljazeera.com/news/2024/2/29/dozens-killed-injured-by-israeli-fire-in-gaza-while-collecting-food-aid</t>
  </si>
  <si>
    <t>‘Massacre’: Dozens killed by Israeli fire in Gaza while collecting food aid</t>
  </si>
  <si>
    <t>More than 100 killed and about 750 wounded after Israeli forces opened fire on Palestinians who were seeking food from aid trucks in Gaza City. This event was later described as "the flour massacre"</t>
  </si>
  <si>
    <t>Al Jazeera Staff</t>
  </si>
  <si>
    <t>Nabulsi Square in Gaza City</t>
  </si>
  <si>
    <t>Humanitarian Crisis, Food, Violence, War Crimes, Civilians, Indiscriminate Shooting, Humanitarian Aid</t>
  </si>
  <si>
    <t>https://www.haaretz.co.il/news/politics/2024-11-26/ty-article/.premium/00000193-64ec-d610-add3-7fecf8c50000</t>
  </si>
  <si>
    <t>The Kamal Adwan Hospital and its Director Became a Symbol of Palestinian Suffering and Preseverance in the Gaza Strip</t>
  </si>
  <si>
    <t>Dr. Hossam Abu Sofia, the director of Kamal Adwan Hospital, has become a symbol of Palestinian suffering and resilience amidst ongoing military attacks in Gaza. The attacks killed and wounded hospital workers, destroyed facilities and ambulances and lead to the arrests of hostpital staff. Dr. Hossam Abu Sofia himself was arrested and wounded. His 15 year old son was killed in one of the attacks.</t>
  </si>
  <si>
    <t>October 05, 2024</t>
  </si>
  <si>
    <t>Nir Hasson, Jackie Huri</t>
  </si>
  <si>
    <t>Public Health, Hospital, Humanitarian Crisis, Civilians, Healthcare Workers, Children, Blockade, Humanitarian Aid, Medical Supplies</t>
  </si>
  <si>
    <t>Kamal Adwan Hospital, Beit Lahiya</t>
  </si>
  <si>
    <t>https://www.itv.com/news/2024-04-24/i-operated-without-anaesthetic-british-surgeons-harrowing-gaza-account</t>
  </si>
  <si>
    <t>At times I operated without anaesthetic': British surgeon's harrowing Gaza account</t>
  </si>
  <si>
    <t>Dr. Junaid Sultan, a British surgeon who had just returned from Gaza, shares his harrowing experiences as a British surgeon treating victims in Gaza amidst ongoing conflict. He saw children with gunshot wounds and operated on patiens without anesthesia.</t>
  </si>
  <si>
    <t>August 09, 2024</t>
  </si>
  <si>
    <t>Martha Fairlie</t>
  </si>
  <si>
    <t>European Hospital , Britain</t>
  </si>
  <si>
    <t>Public Health, Children, Civilians, Humanitarian Crisis, Healthcare Workers, Hospital, Destruction, Bombing, Medical Supplies, Medicine</t>
  </si>
  <si>
    <t>Khan Younis, South Gaza</t>
  </si>
  <si>
    <t>https://apnews.com/article/israel-palestinians-campus-protests-50d754675b710c9b983faf9ec9164d81</t>
  </si>
  <si>
    <t>Drexel University threatens to clear encampment as arrests linked to Israel-Hamas war protests exceed 3000</t>
  </si>
  <si>
    <t>Students and others have set up tent encampments on campuses around the country to press colleges to cut financial ties with Israel. More than 3,000 protestors have been arrested on U.S. campuses over the past month. The piece includes a map showing the campuses where arrests have taken place across the US.</t>
  </si>
  <si>
    <t>Michael Rubinkam</t>
  </si>
  <si>
    <t>https://www.middleeasteye.net/news/war-gaza-egypt-building-buffer-zone-palestinian-refugees</t>
  </si>
  <si>
    <t>War on Gaza: Egypt building buffer zone to receive Palestinian refugees, rights group says</t>
  </si>
  <si>
    <t>Egypt is constructing a fortified buffer zone along its border with Gaza to accommodate Palestinian refugees amid escalating conflict. The concern was that the impending attack on Rafah might push Gazans into Egypt (this fear did not materialize in Spring 2024).</t>
  </si>
  <si>
    <t>Nadda Osman</t>
  </si>
  <si>
    <t>Egypt</t>
  </si>
  <si>
    <t>Forced Displacement, Ethnic Cleansing</t>
  </si>
  <si>
    <t>Rafah, South Gaza</t>
  </si>
  <si>
    <t>https://www.haaretz.co.il/gallery/media/2024-03-13/ty-article/.premium/0000018e-38a2-d21d-a3ef-3be6160f0000</t>
  </si>
  <si>
    <t>The new CEO of Channel 13: We will unite through entertainment and hasbrah (Israeli advocacy)</t>
  </si>
  <si>
    <t>Emiliano Calemzuk, the new CEO of Channel 13, emphasizes the need for unity through entertainment and communication (hasbarah). He appears to prefer to avoid political issues and disagreement.</t>
  </si>
  <si>
    <t>Media, Journalists, Censorship, Propaganda</t>
  </si>
  <si>
    <t>https://euromedmonitor.org/en/article/6200/In-press-conference</t>
  </si>
  <si>
    <t>In press conference, Euro-Med confirms Israel's full involvement in Gaza flour massacre</t>
  </si>
  <si>
    <t>Euro-Med Human Rights Monitor confirms Israel's involvement in a massacre of Palestinian civilians at the Nabulsi roundabout in Gaza (the "flour massacre" from late February 2024) while they were attempting to receive humanitarian aid. Euro-Med findings demonstrate that dozens of victims suffered gunshot wounds, rather than being run over or crushed, in contrast to what the Israeli army spokesman claimed.</t>
  </si>
  <si>
    <t>March 03, 2024</t>
  </si>
  <si>
    <t>Civilians, Humanitarian Aid, War Crimes, Food, Healthcare Workers, Indiscriminate Shooting</t>
  </si>
  <si>
    <t>https://euromedmonitor.org/en/article/6093/On-100th-day-of-Gaza-genocide:-100</t>
  </si>
  <si>
    <t>On 100th day of Gaza genocide: 100,000 Palestinians killed, missing or wounded</t>
  </si>
  <si>
    <t>Euro-Med Human Rights Monitor reports that about 100,000 Palestinians have been killed, reported missing, or wounded since October 7, 2023, due to ongoing Israeli military actions in the Gaza Strip.</t>
  </si>
  <si>
    <t>Genocide, Civilians, War Crimes, Collective Punishment, Public Health, Schools, Infrastructure, Destruction, Children, Women, Healthcare Workers</t>
  </si>
  <si>
    <t>https://euromedmonitor.org/en/article/6058/Euro-Med-Monitor-sends-UN-rapporteurs</t>
  </si>
  <si>
    <t>Euro-Med Monitor sends UN rapporteurs, ICC Prosecutor a report documenting dozens of field execution cases in Gaza</t>
  </si>
  <si>
    <t>Euro-Med Human Rights Monitor submitted a report to UN officials documenting field executions by the Israeli army in Gaza. The NGO calls for accountability and justice for victims. The notification also includes cases of attacks by artillery shells and airstrikes.</t>
  </si>
  <si>
    <t>December 22, 2023</t>
  </si>
  <si>
    <t>Civilians, Genocide, War Crimes, Execution</t>
  </si>
  <si>
    <t>https://time.com/6334409/is-whats-happening-gaza-genocide-experts/</t>
  </si>
  <si>
    <t>Is What's Happening in Gaza a Genocide? Experts Weigh In</t>
  </si>
  <si>
    <t>Experts discuss whether the ongoing conflict in Gaza can be classified as genocide, with voices arguing for either side. Part of the discussion refers to the definition of genocide, with some differentiation between the legal and colloquial uses of the term.</t>
  </si>
  <si>
    <t>November 13, 2023</t>
  </si>
  <si>
    <t>TIME</t>
  </si>
  <si>
    <t>Solcyré Burga</t>
  </si>
  <si>
    <t>Genocide, Civilians, War Crimes</t>
  </si>
  <si>
    <t>IDF (Israel Defense Forces), ICC (International Criminal Court), UN (United Nations)</t>
  </si>
  <si>
    <t>https://www.ynet.co.il/news/article/bjebbohyc</t>
  </si>
  <si>
    <t>Families of Hostages: Netanyahu is the obstacle to negotiations, we will work to replace him</t>
  </si>
  <si>
    <t>About 20 families of hostages accuse Prime Minister Netanyahu of being an obstacle to negotiations and announce their intention to push for his immediate replacement during a protest in Tel Aviv.</t>
  </si>
  <si>
    <t>Roee Rubenstein, Yael Tchaknover</t>
  </si>
  <si>
    <t>Hostage Deal, Protest (Israel), Hostages</t>
  </si>
  <si>
    <t>https://www.haaretz.co.il/news/politics/2024-04-30/ty-article/.premium/0000018f-2e6c-d502-a5bf-eeeeebb50000</t>
  </si>
  <si>
    <t>Smotrich: "No half measures...Rafah, Deir al Balah, Nuseirat - complete destruction"</t>
  </si>
  <si>
    <t>Finance Minister Bezalel Smotrich called for the complete destruction of cities and towns in the Gaza Strip during a celebration at a religious leader's home.</t>
  </si>
  <si>
    <t>Noa Spiegel</t>
  </si>
  <si>
    <t>Incitement to Genocide, Destruction, Incitement to Violence, Religious Right, Ethnic Cleansing</t>
  </si>
  <si>
    <t>Israel, Deir al Balah, Nuseirat Refugee Camp, Rafah</t>
  </si>
  <si>
    <t>https://www.ynet.co.il/news/article/h1takgiz1g</t>
  </si>
  <si>
    <t>Smotrich: We have been occupying Gaza for a year, we'll take their land to use as barter</t>
  </si>
  <si>
    <t>Finance Minister Bezalel Smotrich stated in an interview that while returning hostages is important, it should not be done through a surrender deal, and emphasized the significance of seizing land from Hamas for negotiation purposes.</t>
  </si>
  <si>
    <t>Sharon Kidon</t>
  </si>
  <si>
    <t>Hostages, Incitement to Violence, Ethnic Cleansing, Religious Right, Israeli Media</t>
  </si>
  <si>
    <t>https://tribunemag.co.uk/2024/11/if-this-is-not-genocide-what-is-francesca-albanese-palestine</t>
  </si>
  <si>
    <t>If This Is Not Genocide, What Is?</t>
  </si>
  <si>
    <t>UN Special Rapporteur for the Occupied Palestinian Territories, Francesca Albanese, discusses Israel's actions in Gaza, framing them as genocide and emphasizing the Palestinian cause as a symbol of resistance against exploitation.</t>
  </si>
  <si>
    <t>Tribune</t>
  </si>
  <si>
    <t>Owen Dowling</t>
  </si>
  <si>
    <t>London, UK</t>
  </si>
  <si>
    <t>Genocide, Civilians, Humanitarian Crisis, Violence, Academia, Forced Displacement, Interview, The Generals' Plan, Food, Water, Ethnic Cleansing, Apartheid, Campus protests</t>
  </si>
  <si>
    <t>Francesca Albanese</t>
  </si>
  <si>
    <t>https://www.theguardian.com/world/2024/oct/31/un-should-consider-suspending-israel-over-genocide-against-palestinians-says-special-rapporteur</t>
  </si>
  <si>
    <t>UN special rapporteur : UN should consider suspending Israel over 'genocide' against Palestinians,</t>
  </si>
  <si>
    <t>UN special rapporteur Francesca Albanese, calls for Israel's suspension from the UN over allegations of genocide against Palestinians, claiming that Israel defied UN resolutions.</t>
  </si>
  <si>
    <t>Patrick Wintour</t>
  </si>
  <si>
    <t>Genocide, Crimes Against Humanity, Forced Displacement, Starvation, Torture, Journalistic Report, Incitement to Genocide, Humanitarian Aid, War Crimes, International Sanctions</t>
  </si>
  <si>
    <t>United States, UN (United Nations), ICJ (International Court of Justice)</t>
  </si>
  <si>
    <t>https://www.hidabroot.org/article/1187840</t>
  </si>
  <si>
    <t>Galit Distal-Atbrian in a shocking post: "I fled in screams and with a trembling body"</t>
  </si>
  <si>
    <t>The text of a tweet by Israeli Member of Knesset Galit Distel-Atbaryan where she describes her reaction to the screening of a film depicting the October 7 massacres in southern Israel. Ditsel-Atbaryan urges unity against the enemy, and calls for revenge, including "the complete erasure of all Gaza from the face of the earth," the displacement of "the Gazans monsters" to Egypt or their deaths, as well as for "fire and brimstone" on the heads of "the Nazis in Judea and Samaria."</t>
  </si>
  <si>
    <t>Hidabroot</t>
  </si>
  <si>
    <t>https://x.com/GalitDistel/status/1719689095230730656</t>
  </si>
  <si>
    <t>Violence, Terrorism, Collective Punishment, Israeli Political Right, Incitement to Genocide, Incitement to Violence, Dehumanization</t>
  </si>
  <si>
    <t>https://www.bbc.com/news/world-middle-east-68513408</t>
  </si>
  <si>
    <t>Gaza medics tell BBC that Israeli troops beat and humiliated them after hospital raid</t>
  </si>
  <si>
    <t>Palestinian medical staff reported being beaten, humiliated and tortured by Israeli troops following a raid at their hospital, raising serious concerns about treatment of medical staff during armed conflict.</t>
  </si>
  <si>
    <t>February 15, 2023</t>
  </si>
  <si>
    <t>February 22, 2023</t>
  </si>
  <si>
    <t>Alice Cuddy</t>
  </si>
  <si>
    <t>Nasser Hospital</t>
  </si>
  <si>
    <t>Public Health, Humiliation, Hospital, Torture, Abuse, Healthcare Workers, Interview, Detainees, Detention Center, Electricity, Water, Hostages</t>
  </si>
  <si>
    <t>IDF (Israel Defense Forces), Gaza Health Ministry</t>
  </si>
  <si>
    <t>Khan Younis, Nasser Hospital, Al-Shifa Hospital, South Gaza, Gaza Strip</t>
  </si>
  <si>
    <t>https://www.npr.org/2024/02/29/1234159514/gaza-death-toll-30000-palestinians-israel-hamas-war</t>
  </si>
  <si>
    <t>Gaza death toll now exceeds 30,000. Here's why it's an incomplete count</t>
  </si>
  <si>
    <t>Gaza's death toll, as counted by the Gaza Healty Ministry has surpassed 30,000, but the count is considered incomplete due to ongoing conflict, an overwhelmed medical system, and communication disruptions.</t>
  </si>
  <si>
    <t>Aya Batrawy</t>
  </si>
  <si>
    <t>Public Health, Humanitarian Crisis, Civilians, Bombing, Hospital, Gaza Death Toll, Doubting the Gaza Death Toll, Children, Family, Infrastructure</t>
  </si>
  <si>
    <t>Gaza Health Ministry, Hamas</t>
  </si>
  <si>
    <t>Al-Shifa Hospital, Nasser Hospital, Khan Younis, Gaza City, South Gaza, North Gaza, Gaza Strip, Al Mawasi</t>
  </si>
  <si>
    <t>https://lithub.com/gazas-main-public-library-has-been-destroyed/</t>
  </si>
  <si>
    <t>Gaza’s main public library has been destroyed by Israeli bombing.</t>
  </si>
  <si>
    <t>Gaza’s main public library has been destroyed by Israeli bombing, leading to accusations of cultural genocide and calls for international intervention.</t>
  </si>
  <si>
    <t>November 27, 2023</t>
  </si>
  <si>
    <t>Literary Hub</t>
  </si>
  <si>
    <t>Dan Sheehan</t>
  </si>
  <si>
    <t>Destruction of Cultural Sites, Cultural Genocide, Bombing, Humanitarian Law</t>
  </si>
  <si>
    <t>https://www.theguardian.com/world/2024/feb/10/im-so-scared-please-come-hind-rajab-six-found-dead-in-gaza-12-days-after-cry-for-help</t>
  </si>
  <si>
    <t>‘I’m so scared, please come’: Hind Rajab, five, found dead in Gaza 12 days after cry for help</t>
  </si>
  <si>
    <t>Five-year-old Hind Rajab was found dead in Gaza City along with several family members after pleading for help during a three-hour long phone call to rescuers while she was trapped in a car with her deceased family members.</t>
  </si>
  <si>
    <t>Emine Sinmaz</t>
  </si>
  <si>
    <t>Children, Civilians, Humanitarian Crisis, Corpses, Death, Healthcare Workers, Shooting, Family</t>
  </si>
  <si>
    <t>IDF (Israel Defense Forces), PRCS (Palestinian Red Crescent Society)</t>
  </si>
  <si>
    <t>https://www.calcalist.co.il/local_news/article/hjnoxpf0a</t>
  </si>
  <si>
    <t>Winner of the Israel Prize in the category of Resurrection and Bravery is revealed to be the niece of one of Netanyahu's key supporters</t>
  </si>
  <si>
    <t>Dr. Cochav Elkayam Levy, a winner of the Israel Prize, is revealed to be the niece of political figure Yaakov Bardugo, highlighting familial connections within government appointments. She won the prize for being the head of "Devorah Institute" which is gathering evidence about war crimes and sexual crimes performed by the Hamas in the 7th of October attack. The report for which she won the prize was not published (as of cataloging this in June 2025).</t>
  </si>
  <si>
    <t>Women, Corruption</t>
  </si>
  <si>
    <t>Cochav Elkayam-Levy, Yaakov Bardugo</t>
  </si>
  <si>
    <t>https://edition.cnn.com/audio/podcasts/tug-of-war/episodes/0e6112dc-ae58-11ee-8bd1-6f9c6607fa1d</t>
  </si>
  <si>
    <t>How a Gaza Food Convoy Became an Israeli Target</t>
  </si>
  <si>
    <t>This episode of the Tug of War podcast investigates how a UN aid convoy in Gaza came under Israeli fire while attempting to deliver essential food supplies amidst a humanitarian crisis.</t>
  </si>
  <si>
    <t>Katie Polglase, David Rind</t>
  </si>
  <si>
    <t>Humanitarian Aid, Food, Humanitarian Crisis, Malnutrition, Water, Medicine, Aid Workers</t>
  </si>
  <si>
    <t>UNRWA (The UN Relief and Works Agency for Palestine Refugees), UN (United Nations), IDF (Israel Defense Forces)</t>
  </si>
  <si>
    <t>North Gaza, Gaza Strip, Al Rashid Coastal Road</t>
  </si>
  <si>
    <t>Famine imminent in northern Gaza, new report warns</t>
  </si>
  <si>
    <t>A new report warns of an imminent famine in northern Gaza, with 1.1 million people facing catastrophic hunger and urgent humanitarian access needed to prevent further loss of life.</t>
  </si>
  <si>
    <t>World Food Program</t>
  </si>
  <si>
    <t>Food, Malnutrition, Humanitarian Aid, Starvation, Famine</t>
  </si>
  <si>
    <t>World Food Programme</t>
  </si>
  <si>
    <t>https://www.jpost.com/diaspora/article-804548</t>
  </si>
  <si>
    <t>American Jews: Over 51% support Biden’s decision to withhold arms to Israel - survey</t>
  </si>
  <si>
    <t>A survey reveals that over half of American Jews support President Biden's potential decision to halt arms shipments to Israel amid concerns about the ongoing conflict. About one-third of the respondents agreed with the accusation that Israel was committing genocide in Gaza, while approximately half disagreed.</t>
  </si>
  <si>
    <t>May 09, 2024</t>
  </si>
  <si>
    <t>May 11, 2024</t>
  </si>
  <si>
    <t>The Jerusalem Post</t>
  </si>
  <si>
    <t>Jerusalem Post Staff</t>
  </si>
  <si>
    <t>Jerusalem Center for Public Affairs</t>
  </si>
  <si>
    <t>Public Opinion, Genocide, Arms Shipments, Campus Protests</t>
  </si>
  <si>
    <t>Israel, Rafah</t>
  </si>
  <si>
    <t>https://inews.co.uk/news/world/israel-gaza-superhighway-watchtower-post-war-plans-3090909</t>
  </si>
  <si>
    <t>Israel building watchtowers and outposts in Gaza in sign of post-war ambitions</t>
  </si>
  <si>
    <t>Israel is constructing infrastructure in and around Netzarim Corridor, indicating potential long-term ambitions following the recent conflict.</t>
  </si>
  <si>
    <t>June 05, 2024</t>
  </si>
  <si>
    <t>iNews</t>
  </si>
  <si>
    <t>Kieron Monks</t>
  </si>
  <si>
    <t>Infrastructure, War Crimes, Collective Punishment, Destruction of Cultural Sites, Humanitarian Crisis, Civilians, Destruction, Ethnic Cleansing, Military Bases</t>
  </si>
  <si>
    <t>https://www.nytimes.com/2024/03/18/world/middleeast/gaza-famine-report-starvation.html</t>
  </si>
  <si>
    <t>Famine Is Projected for Northern Gaza, Experts Say</t>
  </si>
  <si>
    <t>An IPC report warns that famine is imminent for northern Gaza, with projections indicating that 1.1 million people could face severe hunger conditions in the coming months.</t>
  </si>
  <si>
    <t>Gaya Gupta, Shashank Bengali</t>
  </si>
  <si>
    <t>IPC (Integrated Food Security Phase Classification)</t>
  </si>
  <si>
    <t>https://www.ipcinfo.org/fileadmin/user_upload/ipcinfo/docs/IPC_Gaza_Strip_Acute_Food_Insecurity_Feb_July2024_Special_Brief.pdf</t>
  </si>
  <si>
    <t>Food, Malnutrition, Humanitarian Crisis, Starvation, Civilians, Official Report, Death, Famine</t>
  </si>
  <si>
    <t>https://www.mako.co.il/news-education/2024_q2/Article-cd8e2891d687f81026.htm</t>
  </si>
  <si>
    <t>A teacher in Ganei Tikva participated in a Nakba march, leading to student protests for her dismissal</t>
  </si>
  <si>
    <t>Students in the school are expected to demonstrate, demanding that the teacher will be fired. The Ministry of Education announced that she will not return to teaching until the end of the inquiry procedure.</t>
  </si>
  <si>
    <t>Yael Odem</t>
  </si>
  <si>
    <t>Education, Nakba, Protest (Israel), Limiting Free Speech</t>
  </si>
  <si>
    <t>Israeli Education Ministry</t>
  </si>
  <si>
    <t>https://ononews.co.il/news-ganei-tikva/%D7%92%D7%A0%D7%99-%D7%AA%D7%A7%D7%95%D7%95%D7%94-%D7%9E%D7%95%D7%A8%D7%94-%D7%9C%D7%A2%D7%A8%D7%91%D7%99%D7%AA-%D7%AA%D7%95%D7%A2%D7%93%D7%94-%D7%91%D7%94%D7%A4%D7%92%D7%A0%D7%94-%D7%A2%D7%9D-%D7%93/</t>
  </si>
  <si>
    <t>Ganei Tikva: Arabic teacher filmed at protest with Palestinian flags, suspended pending investigation</t>
  </si>
  <si>
    <t>An Arabic teacher in Ganei Tikva was suspended after being filmed at a pro-Palestinian demonstration, leading to outrage among parents and students.</t>
  </si>
  <si>
    <t>OnoNews</t>
  </si>
  <si>
    <t>Ido Wingarten</t>
  </si>
  <si>
    <t>https://forward.com/opinion/608479/ucla-violence-campus-protests/</t>
  </si>
  <si>
    <t>I’m a UCLA professor. Why didn’t the administration stop last night’s egregious violence?</t>
  </si>
  <si>
    <t>A UCLA professor critiques the university's administration for failing to prevent violence during campus protests related to the Gaza conflict - specifically citing a three hour attack by counterprotestors against the encampment. The professor uses strong terms ("a total systems failure by the university, the city of Los Angeles and the state of California").</t>
  </si>
  <si>
    <t>The Forward</t>
  </si>
  <si>
    <t>David N. Myers</t>
  </si>
  <si>
    <t>UCLA, California, US</t>
  </si>
  <si>
    <t>Violence, Academia, Protest (International), Campus protests</t>
  </si>
  <si>
    <t>https://www.amnesty.org/en/latest/news/2023/11/israel-opt-horrifying-cases-of-torture-and-degrading-treatment-of-palestinian-detainees-amid-spike-in-arbitrary-arrests/</t>
  </si>
  <si>
    <t>Israel/OPT: ןincrease in cases of torture and degrading treatment of Palestinian detainees amid spike in arbitrary arrests</t>
  </si>
  <si>
    <t>Amnesty International reports on the alarming increase in torture and degrading treatment of Palestinian detainees by Israeli authorities amid a rise in arbitrary arrests.</t>
  </si>
  <si>
    <t>November 08, 2023</t>
  </si>
  <si>
    <t>Heba Morayef,</t>
  </si>
  <si>
    <t>Israel , OPT</t>
  </si>
  <si>
    <t>Torture, War Crimes, Collective Punishment, Abuse, Humiliation, Sexual Violence, Violence, Prisoners, Captivity Conditions, Administrative Detention</t>
  </si>
  <si>
    <t>Israeli Incarceration System, Israeli Prison, IDF (Israel Defense Forces), Amnesty International, HaMoked Center for the Defense of the Individual</t>
  </si>
  <si>
    <t>Israel, West Bank</t>
  </si>
  <si>
    <t>https://www.amnesty.org/en/documents/mde15/5141/2022/en/</t>
  </si>
  <si>
    <t>Israel’s apartheid against Palestinians: Cruel system of domination and crime against humanity</t>
  </si>
  <si>
    <t>Amnesty International's report (280 pages) analyzes Israel's system of oppression against Palestinians, concluding it constitutes apartheid and urging international action to dismantle this system.</t>
  </si>
  <si>
    <t>February 01, 2022</t>
  </si>
  <si>
    <t>Israel and OPT</t>
  </si>
  <si>
    <t>Crimes Against Humanity, Ethnic Cleansing, Analysis, Annexation, Apartheid</t>
  </si>
  <si>
    <t>Israel, West Bank, Gaza Strip</t>
  </si>
  <si>
    <t>https://www.haaretz.co.il/news/politics/2024-02-01/ty-article/.premium/0000018d-5f18-d0af-a3af-7fbcea840000</t>
  </si>
  <si>
    <t>"Illegal Combatant" from Gaza, an 82 year old woman with Alzheimer's, was imprisoned in Israel for about two months</t>
  </si>
  <si>
    <t>An 82-year-old woman from Gaza with Alzheimer's was detained in Israel for nearly two months under the law for illegal combatants. She was not allowed to see a doctor from Israel's PHR and could not recount many of the relevant details of her experience.</t>
  </si>
  <si>
    <t>December 01, 2023</t>
  </si>
  <si>
    <t>Amira Hass</t>
  </si>
  <si>
    <t>Damon Prison</t>
  </si>
  <si>
    <t>Abuse, Elderly, Detention Center, Civilians, Prisoners, Detainees</t>
  </si>
  <si>
    <t>Israeli Incarceration System, Israeli Prison, Physicians for Human Rights Israel</t>
  </si>
  <si>
    <t>Zaytun Neighborhood, Damon Prison</t>
  </si>
  <si>
    <t>https://www.haaretz.co.il/news/politics/2024-05-27/ty-article/.premium/0000018f-ba6b-dfb0-a7af-fb7b4c150000</t>
  </si>
  <si>
    <t>Since the outbreak of war about 4000 Gazans were arrested, of which 1500 were released for lack of evidence</t>
  </si>
  <si>
    <t>Approximately 4,000 Gazans were arrested since the outbreak of the war, with over 1,500 released due to lack of evidence, according to the state's response to the High Court. The Gazans are arrested because of the law regarding unlawful combatants, a law that has not seen much use in the 15 years before the current war.</t>
  </si>
  <si>
    <t>PCATI (The Public Committee Against Torture in Isael)</t>
  </si>
  <si>
    <t>Violence, Abuse, Torture, Dehumanization, Prisoners</t>
  </si>
  <si>
    <t>Israeli Government, Israeli Incarceration System, Israeli Supreme Court</t>
  </si>
  <si>
    <t>https://apnews.com/article/australia-unrwa-hamas-israel-gaza-funding-1b4bcb81251cf7eeed0904da9fe4144b</t>
  </si>
  <si>
    <t>Australia resumes funding for UNRWA and pledges more Gaza aid</t>
  </si>
  <si>
    <t>The Australian Foreign Minister expressed horror at the deteriorating humanitarian situation in Gaza and assessed that UNRWA is not a terrorist organization. This statement happened after Australia had froze funding to UNRWA back in January 2024.</t>
  </si>
  <si>
    <t>March, 15, 2024</t>
  </si>
  <si>
    <t>Australia</t>
  </si>
  <si>
    <t>Humanitarian Aid, Humanitarian Crisis, Campaign against UNRWA</t>
  </si>
  <si>
    <t>UNRWA (The UN Relief and Works Agency for Palestine Refugees), Australia</t>
  </si>
  <si>
    <t>https://www.semafor.com/article/11/09/2023/billionaires-discuss-50-million-anti-hamas-media-blitz</t>
  </si>
  <si>
    <t>Billionaires discuss $50 million anti-Hamas media blitz</t>
  </si>
  <si>
    <t>Billionaires from Wall Street and Hollywood are planning a $50 million media campaign to define Hamas as a terrorist organization to the American public following the October 7 attacks in Israel. As one billionaire wrote, "Public opinion will surely shift as scenes, real or fabricated by Hamas, of civilian Palestinian suffering will surely erode [Israel’s] current empathy in the world community... we must get ahead of the narrative”</t>
  </si>
  <si>
    <t>November 09, 2023</t>
  </si>
  <si>
    <t>Semafor</t>
  </si>
  <si>
    <t>Liz Hoffman, Ben Smith</t>
  </si>
  <si>
    <t>Media, Terrorism, Public Opinion, Propaganda, US-Israeli Relations</t>
  </si>
  <si>
    <t>United States, Hamas</t>
  </si>
  <si>
    <t>https://www.washingtonpost.com/nation/2024/05/16/business-leaders-chat-group-eric-adams-columbia-protesters/</t>
  </si>
  <si>
    <t>Business titans privately urged NYC mayor to use police on Columbia protesters</t>
  </si>
  <si>
    <t>A group of billionaires and business titans working to shape U.S. public opinion of the war in Gaza privately pressed New York City’s mayor last month to send police to disperse pro-Palestinian protests at Columbia University, according to a Whatsapp chat obtained by The Washington Post and people familiar with the group.</t>
  </si>
  <si>
    <t>Hannah Natanson, Emmanuel Felton</t>
  </si>
  <si>
    <t>New York City</t>
  </si>
  <si>
    <t>Public Opinion, Violence, Protest (International), Propaganda, US-Israeli Relations</t>
  </si>
  <si>
    <t>https://www.haaretz.co.il/news/politics/2024-03-19/ty-article/0000018e-584f-d88e-a39e-7dffc4580000</t>
  </si>
  <si>
    <t>Canada’s Foreign Minister: We will stop supplying arms to Israel</t>
  </si>
  <si>
    <t>Canada's Foreign Minister Mélanie Joly announced the cessation of arms shipments to Israel following a recent bill approval by the Canadian House of Commons. Canada is not a major exporter of arms to Israel (only $22M in 2022).</t>
  </si>
  <si>
    <t>Humanitarian Crisis, Public Opinion, Arms Shipments</t>
  </si>
  <si>
    <t>https://www.youtube.com/watch?v=FkXJwErm8DM</t>
  </si>
  <si>
    <t>CNN reports about the Israeli movement to resettle the Gaza strip</t>
  </si>
  <si>
    <t>CNN's Clarissa Ward reports about the Israeli movement of resettlement in Gaza. The report includes an interview with Daniella Weiss, a lead figure in Israel's settler movement, in which she is asked about allegations of ethnic cleansing.</t>
  </si>
  <si>
    <t>YouTube</t>
  </si>
  <si>
    <t>Clarissa Ward</t>
  </si>
  <si>
    <t>Ethnic Cleansing, Jewish Settlements in Gaza, Settlements, Israeli Far Right, Religious Right</t>
  </si>
  <si>
    <t>Nachala (settler movement)</t>
  </si>
  <si>
    <t>Daniella Weiss</t>
  </si>
  <si>
    <t>https://www.bbc.com/news/uk-68546268</t>
  </si>
  <si>
    <t>UK Foreign Secretary says BBC report into Nasser hospital raid 'very disturbing'</t>
  </si>
  <si>
    <t>David Cameron expresses concern over a BBC report detailing the alleged abuse of Palestinian medical staff by Israeli troops during a raid on Nasser hospital in Gaza. Three medical staff told the BBC they were humiliated, beaten, doused with cold water, and forced to kneel for hours. They were detained for days.</t>
  </si>
  <si>
    <t>Alex Binley</t>
  </si>
  <si>
    <t>Public Health, Hospital, Torture, Humanitarian Law, Detainees, Captivity Conditions, Prisoners, Healthcare Workers, Abuse</t>
  </si>
  <si>
    <t>United Kingdom</t>
  </si>
  <si>
    <t>Nasser Hospital, Gaza Strip</t>
  </si>
  <si>
    <t>https://www.theguardian.com/politics/2024/mar/21/david-cameron-accuses-israel-of-blocking-key-aid-crossing-in-gaza</t>
  </si>
  <si>
    <t>UK Foreign Secretary accuses Israel of blocking key aid crossing in Gaza</t>
  </si>
  <si>
    <t>David Cameron has accused Israel of blocking the Kerem Shalom crossing into Gaza which attributes the problems in distributing aid to Israeli policy. For example, he points out that some UK-funded aid was stuck at the border for three weeks waiting for approval. An Israeli official who denied the claim was suspended.</t>
  </si>
  <si>
    <t>Humanitarian Aid, Food, Water, Blockade, Blocking Aid</t>
  </si>
  <si>
    <t>https://www.israelhayom.co.il/news/local/article/15767757</t>
  </si>
  <si>
    <t>Gadi Kedem, six of whose family members were murdered on October 7, was attacked during a protest on Ayalon</t>
  </si>
  <si>
    <t>Gadi Kedem, six of whose family members were murdered on October 7 was protesting on the Ayalon highway for the release of the hostages, when he was attacked by a rightwing activist holding a sign which read "Leftists are Traitors."</t>
  </si>
  <si>
    <t>Avi Cohen</t>
  </si>
  <si>
    <t>Violence, Protest (Israel), Hostages, Israeli Society, Israeli Political Right</t>
  </si>
  <si>
    <t>https://www.democracynow.org/2024/1/17/gideon_levy_israel_gaza</t>
  </si>
  <si>
    <t>"They Don’t Show Gaza": Gideon Levy on How Israel’s Press Is Failing to Cover the War’s True Toll</t>
  </si>
  <si>
    <t>Gideon Levy discusses the failures of Israeli media in covering the war on Gaza, emphasizing the neglect of Palestinian casualties and the focus on Israeli narratives.</t>
  </si>
  <si>
    <t>Amy Goodman, Juan González</t>
  </si>
  <si>
    <t>Media, Civilians, Genocide, Humanitarian Crisis, Journalists, Israeli Media, Interview</t>
  </si>
  <si>
    <t>https://www.mako.co.il/news-politics/2024_q1/Article-7ce65d03aa05d81027.htm</t>
  </si>
  <si>
    <t>Members of Israel's government and ruling coalition call for population transfer during a conference to resettle Gaza</t>
  </si>
  <si>
    <t>Over 25 government officials and coalition members participated in a conference advocating for Jewish settlement in the Gaza Strip, discussing plans for new settlement initiatives and expressing controversial views on population transfer.</t>
  </si>
  <si>
    <t>Inbar Tuizar</t>
  </si>
  <si>
    <t>Incitement to Violence, Ethnic Cleansing, Religious Right, Israeli Society, Israeli Political Right, Jewish Settlements in Gaza</t>
  </si>
  <si>
    <t>Itamar Ben-Gvir, Bezalel Smotritch, Almog Cohen, Amihai Eliyahu, May Golan, Zvi Sukkot, Tali Gotliv</t>
  </si>
  <si>
    <t>https://www.dw.com/en/greta-thunberg-faces-backlash-for-pro-palestinian-post/a-67172344</t>
  </si>
  <si>
    <t>Greta Thunberg gets backlash for pro-Palestinian post</t>
  </si>
  <si>
    <t>Greta Thunberg faces backlash for posts she made in solidarity with people in Gaza. The posts included controversial imagery and led to significant criticism.</t>
  </si>
  <si>
    <t>October 21, 2023</t>
  </si>
  <si>
    <t>DW News</t>
  </si>
  <si>
    <t>Clare Roth</t>
  </si>
  <si>
    <t>Antisemitism, Limiting Free Speech, Protest (International), Social Media</t>
  </si>
  <si>
    <t>https://www.haaretz.co.il/news/politics/2024-04-14/ty-article/.premium/0000018e-de16-deb6-afee-ded71d110000</t>
  </si>
  <si>
    <t>Hamas proposes deal: hostages will be released after a six week ceasefire</t>
  </si>
  <si>
    <t>Hamas proposed a deal involving the release of hostages after a 42-day ceasefire, according to Palestinian and Arab sources familiar with the negotiations. The deal would include lifting the siege from the Gaza Strip</t>
  </si>
  <si>
    <t>Jackie Khouri, Jonatan Liss, Ben Samuels</t>
  </si>
  <si>
    <t>Hostage Deal, Ceasefire, Hostages</t>
  </si>
  <si>
    <t>Hamas, Israeli Government, United States</t>
  </si>
  <si>
    <t>https://www.theguardian.com/education/article/2024/may/28/harvard-policy-issues-institutional-neutrality</t>
  </si>
  <si>
    <t>Harvard will no longer take positions on issues that don’t affect its ‘core functions’</t>
  </si>
  <si>
    <t>Harvard University announced it will no longer take official positions on policy issues that do not directly affect its core functions, and will only speak on university matters. The statement followed student protests over the war in Gaza.</t>
  </si>
  <si>
    <t>Gloria Oladipo</t>
  </si>
  <si>
    <t>Harvard University</t>
  </si>
  <si>
    <t>Academia, Protest (International), Education</t>
  </si>
  <si>
    <t>Israel, USA</t>
  </si>
  <si>
    <t>https://www.hrw.org/news/2024/04/04/gaza-israeli-strike-killing-106-civilians-apparent-war-crime</t>
  </si>
  <si>
    <t>Gaza: Israeli Strike Killing 106 Civilians an Apparent War Crime</t>
  </si>
  <si>
    <t>Human Rights Watch reports on an Israeli airstrike in Gaza that killed at least 106 civilians, including 54 children, on October 31, 2023, characterizing it as an apparent war crime. The organization recommends that governments should suspend arms to Israel and support an ICC probe.</t>
  </si>
  <si>
    <t>October 31, 2023</t>
  </si>
  <si>
    <t>Human Rights Watch</t>
  </si>
  <si>
    <t>Engineers’ Building, south of the Nuseirat refugee camp</t>
  </si>
  <si>
    <t>Air Strike, Civilians, War Crimes, Children, Bombing, Ground Operation, Family</t>
  </si>
  <si>
    <t>Hamas, IDF (Israel Defense Forces), ICC (International Criminal Court)</t>
  </si>
  <si>
    <t>Nuseirat Refugee Camp, Al-Aqsa Hospital</t>
  </si>
  <si>
    <t>https://www.hrw.org/news/2022/06/14/gaza-israels-open-air-prison-15</t>
  </si>
  <si>
    <t>Gaza: Israel’s ‘Open-Air Prison’ after 15 years</t>
  </si>
  <si>
    <t>Human Rights Watch reports on the impact of Israel's closure policy on Gaza residents, marking the fifteenth anniversary of the closure and highlighting its effects on human rights and opportunities.</t>
  </si>
  <si>
    <t>June 14, 2022</t>
  </si>
  <si>
    <t>June 01, 2007</t>
  </si>
  <si>
    <t>Blockade, Crimes Against Humanity, Humanitarian Crisis, Economy, Education, Occupied Territories, Humanitarian Law, Women, Civilians, Apartheid</t>
  </si>
  <si>
    <t>Israeli Government, Palestinian Authority, Egypt, Hamas</t>
  </si>
  <si>
    <t>https://www.theguardian.com/world/2024/nov/14/israel-accused-of-crimes-against-humanity-over-forced-displacement-in-gaza</t>
  </si>
  <si>
    <t>Israel accused of crimes against humanity over forced displacement in Gaza</t>
  </si>
  <si>
    <t>Human Rights Watch reports that Israel's evacuation orders constitute deliberate forced displacement of Palestinian civilians in Gaza, amounting to crimes against humanity.</t>
  </si>
  <si>
    <t>October 13, 2023</t>
  </si>
  <si>
    <t>https://www.hrw.org/report/2024/11/14/hopeless-starving-and-besieged/israels-forced-displacement-palestinians-gaza</t>
  </si>
  <si>
    <t>Crimes Against Humanity, Forced Displacement, Civilians, Humanitarian Crisis, Jewish Settlements in Gaza, Humanitarian Law</t>
  </si>
  <si>
    <t>Israeli Government, Hamas, ICC (International Criminal Court)</t>
  </si>
  <si>
    <t>https://www.ochaopt.org/content/about-4000-palestinians-displaced-west-bank-2023</t>
  </si>
  <si>
    <t>About 4,000 Palestinians displaced in the West Bank in 2023</t>
  </si>
  <si>
    <t>In 2023, approximately 4,000 Palestinians were displaced in the West Bank due to Israeli policies and practices, marking the highest recorded displacement by OCHA in a single year (OCHA began collecting data in 2009).</t>
  </si>
  <si>
    <t>January 01, 2023</t>
  </si>
  <si>
    <t>Demolition, Forced Displacement, Collective Punishment, Settlers Violence, Children, Religious Right</t>
  </si>
  <si>
    <t>IDF (Israel Defense Forces), OCHA (UN Office for the Coordination of Humanitarian Affairs), Israeli Government</t>
  </si>
  <si>
    <t>https://www.zman.co.il/481871/</t>
  </si>
  <si>
    <t>There is no doubt that Netanyahu is preventing a hostage deal</t>
  </si>
  <si>
    <t>In an exclusive interview, former spokesperson for the families of hostages, Chaim Rubinstein, reveals that Netanyahu is preventing a deal for the release of hostages and discusses the pressures from the Prime Minister's office.</t>
  </si>
  <si>
    <t>Zman Israel</t>
  </si>
  <si>
    <t>Gideon Alon</t>
  </si>
  <si>
    <t>Israel, Gaza, Qatar</t>
  </si>
  <si>
    <t>Hostage Deal, Hostages, Interview, Israeli Negotiation Team</t>
  </si>
  <si>
    <t>Israeli Government, Hamas, Hostages and Missing Families Forum</t>
  </si>
  <si>
    <t>https://www.cnn.com/gaza-israel-big-bombs/index.html</t>
  </si>
  <si>
    <t>Gaza: Israel dropped hundreds of 2,000-pound bombs, analysis shows</t>
  </si>
  <si>
    <t>Israel dropped hundreds of 2,000-pound bombs, most probably made in the US, in highly populated areas of Gaza during the first month of the conflict, causing much death and destruction.</t>
  </si>
  <si>
    <t>November, 2023</t>
  </si>
  <si>
    <t>Tamara Qiblawi, Allegra Goodwin, Gianluca Mezzofiore, Nima Elbagir</t>
  </si>
  <si>
    <t>Bombing, Civilians, War Crimes, Air Strike, "2000 Pound Bomb"</t>
  </si>
  <si>
    <t>Al-Shati Refugee Camp, Jabaliya, Gaza Strip</t>
  </si>
  <si>
    <t>https://www.haaretz.co.il/news/politics/2024-03-11/ty-article/.premium/0000018e-2dbc-d468-a9ff-2fbdbafa0000</t>
  </si>
  <si>
    <t>Israel attempts to push UNRWA out of the Gaza Strip without finding a replacement</t>
  </si>
  <si>
    <t>Israel intensifies efforts to weaken UNRWA's presence in the Gaza Strip, West Bank, and East Jerusalem, aiming to undermine Hamas's civil governance in Gaza. In the meanwhile, several countries that had stopped funding UNRWA have resumed their funding.</t>
  </si>
  <si>
    <t>Yaniv Kobovich, Jackie Khoury</t>
  </si>
  <si>
    <t>Occupied Palestinian Territories</t>
  </si>
  <si>
    <t>Humanitarian Aid, Humanitarian Crisis, Education, Hospital, Children, Blocking Aid, Campaign against UNRWA, Looting, Forced Displacement</t>
  </si>
  <si>
    <t>Hamas, Israeli Government, UNRWA (The UN Relief and Works Agency for Palestine Refugees), IDF (Israel Defense Forces)</t>
  </si>
  <si>
    <t>Israel, Gaza Strip, Jerusalem, West Bank</t>
  </si>
  <si>
    <t>https://www.ynet.co.il/health/article/h17117hua6</t>
  </si>
  <si>
    <t>Drama at Tel HaShomer: Israel orders Palestinian children suffering from cancer be returned to Gaza</t>
  </si>
  <si>
    <t>Israel has ordered approximately 20 children and adults from Gaza who are cancer patients undergoing treatments or in recovery in medical institutions in Israel and in East Jerusalem be removed to Gaza. Human rights organizations oppose the move,expressing serious concerns about the inability of the patients to receive appropriate medical care in Gaza's devastated health system, as well as for the safety of the patients and those accompanying them amid ongoing military conflict.</t>
  </si>
  <si>
    <t>Adir Yanko</t>
  </si>
  <si>
    <t>Tel HaShomer Hospital, Augusta Victoria Hospital, Saint John's Hospital</t>
  </si>
  <si>
    <t>Public Health, Children, Humanitarian Crisis, Civilians, Humanitarian Law, Hospital, Disease</t>
  </si>
  <si>
    <t>Israeli Government, Physicians for Human Rights Israel, COGAT (The Coordination of the Israeli Government Activities in the Territories)</t>
  </si>
  <si>
    <t>Israel, Gaza Strip, Jerusalem</t>
  </si>
  <si>
    <t>https://www.haaretz.com/israel-news/2024-10-31/ty-article/.premium/haaretz-publisher-clarifies-hamas-remarks-as-netanyahu-govt-threatens-sanctions/00000192-e326-df50-a1bf-fbeef3fc0000</t>
  </si>
  <si>
    <t>Hamas Are Not Freedom Fighters' | Haaretz Publisher Clarifies Remarks, Netanyahu Government Threatens to Sanction Newspaper</t>
  </si>
  <si>
    <t>Haaretz publisher Amos Schocken clarifies his earlier remarks about Hamas and Israel's actions, while the Netanyahu government threatens sanctions against the newspaper. Several ministers and government offices announce measures against Haaretz.</t>
  </si>
  <si>
    <t>Censorship, Media, Limiting Free Speech, Israeli Media</t>
  </si>
  <si>
    <t>https://www.politico.eu/article/israel-calls-amnesty-international-antisemitic-and-biased-after-it-criticized-war-crimes-by-all-parties/</t>
  </si>
  <si>
    <t>Israel blasts ‘antisemitic’ Amnesty over finding of ‘war crimes, by all parties’</t>
  </si>
  <si>
    <t>Israel has criticized Amnesty International as biased after the organization stated that all parties to the conflict have committed serious violations of international humanitarian law and called for an immediate ceasefire by all parties.</t>
  </si>
  <si>
    <t>October 26, 2023</t>
  </si>
  <si>
    <t>Politico</t>
  </si>
  <si>
    <t>Paul Dallison, Peter Wilke</t>
  </si>
  <si>
    <t>Antisemitism, War Crimes, Humanitarian Law, Ceasefire, Civilians</t>
  </si>
  <si>
    <t>Israeli Foreign Ministry, Amnesty International</t>
  </si>
  <si>
    <t>https://www.nytimes.com/2024/01/01/world/middleeast/gaza-israel-hunger.html</t>
  </si>
  <si>
    <t>Half of Gazans Are at Risk of Starving, U.N. Warns</t>
  </si>
  <si>
    <t>The U.N. warns that half of the population in Gaza is at risk of starvation due to the ongoing humanitarian crisis exacerbated by the war. Over 90 percent of Palestinians in the Gaza Strip say they have regularly gone without food for a whole day.</t>
  </si>
  <si>
    <t>Liam Stack, Gaya Gupta, Abu Bakr Bashir</t>
  </si>
  <si>
    <t>www.ipcinfo.org/fileadmin/user_upload/ipcinfo/docs/IPC_Gaza_Acute_Food_Insecurity_Nov2023_Feb2024.pdf</t>
  </si>
  <si>
    <t>Food, Humanitarian Crisis, Starvation, Children, Civilians, Humanitarian Aid</t>
  </si>
  <si>
    <t>Israeli Government, UN (United Nations), Hamas</t>
  </si>
  <si>
    <t>Philippe Lazzarini</t>
  </si>
  <si>
    <t>https://www.nytimes.com/live/2024/02/18/world/israel-hamas-war-gaza-news</t>
  </si>
  <si>
    <t>Besieged Nasser Hospital ‘Not Functional,’ W.H.O. Director Says</t>
  </si>
  <si>
    <t>The World Health Organization reported that Nasser Hospital in Khan Younis - the largest functioning hospital left in the Strip - is no longer functional due to the IDF's military actions. About 20 of the 200 patients still sheltering there had to be moved to other hospitals.</t>
  </si>
  <si>
    <t>Vivek Shankar, Ephrat Livni</t>
  </si>
  <si>
    <t>Public Health, Hospital, Humanitarian Crisis, Civilians, Ground Operation, Healthcare Workers</t>
  </si>
  <si>
    <t>WHO (World Health Organization), UN (United Nations), IDF (Israel Defense Forces)</t>
  </si>
  <si>
    <t>https://www.ochaopt.org/content/hostilities-gaza-strip-and-israel-reported-impact-day-160</t>
  </si>
  <si>
    <t>Hostilities in the Gaza Strip and Israel - reported impact</t>
  </si>
  <si>
    <t>Hostilities in the Gaza Strip - reported impact, Day 160</t>
  </si>
  <si>
    <t>Water, Public Health, Healthcare Workers, Food, Humanitarian Aid, Women, Children, Death, Injury, Forced Displacement, Electricity, Mosques, Education, Destruction</t>
  </si>
  <si>
    <t>OCHA (UN Office for the Coordination of Humanitarian Affairs), Gaza Health Ministry</t>
  </si>
  <si>
    <t>https://www.ochaopt.org/content/hostilities-gaza-strip-and-israel-reported-impact-day-125</t>
  </si>
  <si>
    <t>Hostilities in the Gaza Strip - reported impact, Day 125</t>
  </si>
  <si>
    <t>https://www.ochaopt.org/content/hostilities-gaza-strip-and-israel-reported-impact-day-175</t>
  </si>
  <si>
    <t>Hostilities in the Gaza Strip and Israel - reported impact | Day 175</t>
  </si>
  <si>
    <t>Hostilities in the Gaza Strip - reported impact, Day 175</t>
  </si>
  <si>
    <t>March 29, 2024</t>
  </si>
  <si>
    <t>https://www.nytimes.com/2024/02/09/world/middleeast/israel-gaza-settlers.html</t>
  </si>
  <si>
    <t>Israeli Settlers Left Gaza in 2005. They Now See a Chance to Return.</t>
  </si>
  <si>
    <t>Israeli settlers long to return and resettle Gaza and attempt to rally support for Jewish settlements there. The issue highlights that Israel has not decided how postwar Gaza should be governed.</t>
  </si>
  <si>
    <t>Natan Odenheimer</t>
  </si>
  <si>
    <t>Jewish Settlements in Gaza, Israeli Far Right, Settlements, Religious Right, Ethnic Cleansing</t>
  </si>
  <si>
    <t>https://www.nytimes.com/2024/02/11/world/middleeast/israel-gaza-hostages-rescued.html</t>
  </si>
  <si>
    <t>What to Know About the 2 Hostages Israel Rescued From Rafah</t>
  </si>
  <si>
    <t>Report on the rescue of two hostages, Fernando Simon Marman and Louis Har, by Israeli security forces in Rafah. The report highlights their condition and the context of the rescue, briefly noting that "dozens of Palestinians" were killed.</t>
  </si>
  <si>
    <t>Mike Ives, Matthew Mpoke Bigg</t>
  </si>
  <si>
    <t>Hostage Rescue Operation, Hostages</t>
  </si>
  <si>
    <t>https://www.jpost.com/israel-hamas-war/article-793420</t>
  </si>
  <si>
    <t>US official accused Israel of sexually abusing Palestinians</t>
  </si>
  <si>
    <t>A former Israeli general says that a US State Department official accused Israel of abusing Palestinian women "systematically".</t>
  </si>
  <si>
    <t>Amir Avivi, Radio 103 FM</t>
  </si>
  <si>
    <t>Gaza Strip, Washington</t>
  </si>
  <si>
    <t>Abuse, Sexual Violence, Women</t>
  </si>
  <si>
    <t>https://www.nytimes.com/2024/06/06/world/middleeast/israel-gaza-detention-base.html</t>
  </si>
  <si>
    <t>Inside the base where Israel has detained thousands of Gazans</t>
  </si>
  <si>
    <t>Report, based on conversations with IDF commanders, soldiers, and released Palestinian detainees on the conditions and treatment of Gazan detainees held at the makeshift detention camp in Sde Teiman military base in Israel since the October 7 attacks.</t>
  </si>
  <si>
    <t>Patrick Kingsley, Bilal Shbair</t>
  </si>
  <si>
    <t>Detainees, Detention Center, Abuse, Humanitarian Crisis, Humiliation, Violence, Sexual Violence, Prisoners, Torture, Hospital, Injury, Winter conditions, Palestinian Testimony, Captivity Conditions</t>
  </si>
  <si>
    <t>IDF (Israel Defense Forces), Israeli Incarceration System, ICRC (International Committee of the Red Cross), UNRWA (The UN Relief and Works Agency for Palestine Refugees), Physicians for Human Rights Israel</t>
  </si>
  <si>
    <t>Sde Teiman Detention Center, Israel, Israeli Prison</t>
  </si>
  <si>
    <t>https://twitter.com/EmekShavehHeb/status/1749030636529008651</t>
  </si>
  <si>
    <t>Deputy Director General of the Israel Antiquities Authority examines antiquities in Gaza</t>
  </si>
  <si>
    <t>Israel Antiquities Authorities deputy director was sent to check archaeological findings that were found in a storage in Gaza. The video he uploaded includes a "Wow!" sticker against the backdrop of ancient amphorae and other antiquities.</t>
  </si>
  <si>
    <t>January 21,2024</t>
  </si>
  <si>
    <t>EmekShave (@EmekShavehHeb)</t>
  </si>
  <si>
    <t>Confiscated Assets, Archaeological findings</t>
  </si>
  <si>
    <t>Israel Antiquities Authority</t>
  </si>
  <si>
    <t>https://twitter.com/KhaledYousry22/status/1771974813491360211</t>
  </si>
  <si>
    <t>Israeli soldiers reading the Book of Esther in Shifa hospital in Gaza</t>
  </si>
  <si>
    <t>A group of Israeli soldiers praying and reading the Book of Esther inside Shifa Hospital during the second raid on the hospital</t>
  </si>
  <si>
    <t>Hospital, Confiscated Assets, Public Health</t>
  </si>
  <si>
    <t>Gaza City, Al-Shifa Hospital</t>
  </si>
  <si>
    <t>https://twitter.com/NBCNightlyNews/status/1784001112124932600</t>
  </si>
  <si>
    <t>NBC Investigation: Deadly Airstrikes Inside Gaza 'Safe Zones'</t>
  </si>
  <si>
    <t>An NBC News investigation found that at least seven deadly Israeli strikes targeted areas in southern Gaza which the Israeli military had previously designated as safe evacuation zones. The strikes targeted areas in Al-Mawasi, the Tel al-Sultan refugee camp, Al-Zuhur neighborhood and Al-Shaboura camp.</t>
  </si>
  <si>
    <t>Hala Gorani (@HalaGorani)</t>
  </si>
  <si>
    <t>NBC</t>
  </si>
  <si>
    <t>Air Strike, Civilians, Media, Corpses, Destruction, Bombing, Pregnancy, Children, Safe Zones</t>
  </si>
  <si>
    <t>Hamas, Human Rights Watch, IDF (Israel Defense Forces)</t>
  </si>
  <si>
    <t>Gaza Strip, Rafah, Al Mawasi</t>
  </si>
  <si>
    <t>https://twitter.com/NRC_MiddleEast/status/1741341343111110950</t>
  </si>
  <si>
    <t>Post-conflict Analysis by the Shelter Cluster in Gaza</t>
  </si>
  <si>
    <t>Post-conflict analysis by the Shelter Cluster in Gaza led by Norweigian Refugee Council Norway shows that as of December 30, 2023, it will take at least a year to clear the rubble; rebuilding housing will take 7-10 years; and the cost of reconstruction will be $3.5 billion, in addition to the cost of temporary shelter.</t>
  </si>
  <si>
    <t>December 31 ,2023</t>
  </si>
  <si>
    <t>December 30, 2023</t>
  </si>
  <si>
    <t>NRC Middle East and North Africa (@NRC_MiddleEast)</t>
  </si>
  <si>
    <t>https://www.wsj.com/world/middle-east/gaza-destruction-bombing-israel-aa528542?st=foif5bwf54tc98h&amp;reflink=desktopwebshare_permalink</t>
  </si>
  <si>
    <t>Infrastructure, Economy, Analysis, Destruction, Demolition, Reconstruction, Schools, Destruction of Cultural Sites, Hospital, Agriculture, Buildings, Women</t>
  </si>
  <si>
    <t>Norwegian Refugee Council, IDF (Israel Defense Forces)</t>
  </si>
  <si>
    <t>https://twitter.com/PeruginiNic/status/1747730495482310771</t>
  </si>
  <si>
    <t>The Israeli military blew up the University of Palestine in Gaza City</t>
  </si>
  <si>
    <t>The Israeli military blew up the University of Palestine in Gaza City. All the universities in Gaza have been damaged or destroyed. A subsequent tweet corrects the name of the university, which is not the University of Palestine but Israa University. The author calls for a full academic boycott of Israel.</t>
  </si>
  <si>
    <t>Nicola Perugini (@PeruginiNic)</t>
  </si>
  <si>
    <t>https://x.com/HShaqrah/status/1747726827991240715</t>
  </si>
  <si>
    <t>Al Zahra</t>
  </si>
  <si>
    <t>Bombing, Education, Academia, Destruction, Demolition, Explosives</t>
  </si>
  <si>
    <t>https://www.newsweek.com/65-year-old-man-lucky-alive-after-arrest-campus-protest-1895846</t>
  </si>
  <si>
    <t>65-Year-Old Man 'Lucky to Be Alive' After Arrest at Campus Protest</t>
  </si>
  <si>
    <t>A 65-year-old history professor was severely injured during his arrest at a pro-Palestinian protest at Washington University, prompting widespread concern and statements from both his family and university officials.</t>
  </si>
  <si>
    <t>Newsweek</t>
  </si>
  <si>
    <t>Maura Zurick</t>
  </si>
  <si>
    <t>Washington University</t>
  </si>
  <si>
    <t>Violence, Academia, Protest (International), Arrest</t>
  </si>
  <si>
    <t>https://x.com/DropSiteNews/status/1859718365360656672</t>
  </si>
  <si>
    <t>The Gaza Ministry of Health condemns the deliberate and escalating attacks on Kamal Adwan hospital.</t>
  </si>
  <si>
    <t>The Gaza Ministry of Health condemns the deliberate and escalating attacks on Kamal Adwan hospital. The press release concludes with an appeal to the International Community to immediately intervene to stop the attacks and safeguard the rights of medical personnel and patients.</t>
  </si>
  <si>
    <t>Disease, Electricity, Humanitarian Aid, Hospital, Healthcare Workers, Public Health, Humanitarian Law, Official Report, Infrastructure, Civilians, Water, Humanitarian Crisis, Bombing, Air Strike, Medicine, Official Statement, Medical Equipment, Medical Supplies</t>
  </si>
  <si>
    <t>Gaza Health Ministry, Israeli Government, WHO (World Health Organization)</t>
  </si>
  <si>
    <t>Kamal Adwan Hospital, Gaza Strip, North Gaza</t>
  </si>
  <si>
    <t>https://twitter.com/tzvisuccot/status/1754822778950148138</t>
  </si>
  <si>
    <t>Israeli MK (Religious Zionism) Zvi Succot appeals to the nations of the world to absorb the people of Gaza</t>
  </si>
  <si>
    <t>MK Zvi Succot appeals to the nations of the world to absorb the people of Gaza that want to leave, while referring in his post to an article in Ha'aretz depecting the destruction of buildings in Gaza.</t>
  </si>
  <si>
    <t>February 6, 2024</t>
  </si>
  <si>
    <t>Zvi Succot (@tzvisuccot)</t>
  </si>
  <si>
    <t>https://www.haaretz.co.il/news/politics/2024-02-06/ty-article-static/0000018c-edee-d0b4-a7ce-ffef76e60000?utm_source=dlvr.it&amp;utm_medium=twitter&amp;utm_campaign=haaretz</t>
  </si>
  <si>
    <t>Ethnic Cleansing, Forced Displacement, Israeli Far Right, Destruction, Religious Right</t>
  </si>
  <si>
    <t>Israel, Israeli Parliament (Knesset)</t>
  </si>
  <si>
    <t>Zvi Sukkot</t>
  </si>
  <si>
    <t>https://twitter.com/ytirawi/status/1759534834710352030</t>
  </si>
  <si>
    <t>IDF soldiers hold a sign promoting an American construction company</t>
  </si>
  <si>
    <t>IDF soldiers standing in a demolished street holding an American flag and a sign promoting Blue Creek Construction, a construction company in New Jersey. The sign says: “Coming soon… The luxury neighborhood of Michael Mansions! luxury buildings on the seafront (formerly Gaza).</t>
  </si>
  <si>
    <t>Humiliation, Demolition, Israeli Soldier Photos, Dehumanization, Mockery, Advertisement</t>
  </si>
  <si>
    <t>https://twitter.com/ytirawi/status/1760766861279391872</t>
  </si>
  <si>
    <t>A 3.5 min video of an IDF soldier flattening the Turkish-Palestinian Friendship Hospital</t>
  </si>
  <si>
    <t>A video of an IDF soldier flattening the Turkish-Palestinian Friendship Hospital in the Netzarim Corridor. The soldier mockingly writes: “The hospital accidentally broke”.</t>
  </si>
  <si>
    <t>Demolition, Hospital, Destruction, Israeli Soldier Movies, Dehumanization</t>
  </si>
  <si>
    <t>Gaza Strip, Netzarim Corridor, Turkish-Palestinian Friendship Hospital</t>
  </si>
  <si>
    <t>https://twitter.com/ytirawi/status/1765450350549487672</t>
  </si>
  <si>
    <t>IDF soldier draws a graffiti advertisement</t>
  </si>
  <si>
    <t>IDF soldier posted: "So that even those in the Qatari neighborhood will know". He left the grafitti: "Dor Shoval, a real estate agent".</t>
  </si>
  <si>
    <t>Hamed, North Khan Younis</t>
  </si>
  <si>
    <t>Abuse, Israeli Soldier Movies, Israeli Soldier Photos, Social Media, Dehumanization, Advertisement, Mockery</t>
  </si>
  <si>
    <t>https://x.com/SaulStaniforth/status/1800790290783248589</t>
  </si>
  <si>
    <t>Executions of civilians near the coastal road</t>
  </si>
  <si>
    <t>Several video segments aired by Al Jazeera showing what looks like an execution of Gazan civilians by IDF soldiers along Al-Rashid Road—a route connecting northern and southern Gaza that the Israeli military had declared a "safe zone." In the footage, some of the victims are seen with their hands raised, likely signaling surrender. One clip shows an IDF soldier dragging away a body just minutes after the shooting.</t>
  </si>
  <si>
    <t>June 12, 2014</t>
  </si>
  <si>
    <t>May 17, 2024</t>
  </si>
  <si>
    <t>Saul Staniforth (@SaulStaniforth)</t>
  </si>
  <si>
    <t>Al Rashid Road</t>
  </si>
  <si>
    <t>Execution, Civilians, Journalistic Report, Murder, Rules of Engagement, War Crimes, Shooting</t>
  </si>
  <si>
    <t>Gaza Strip, Gaza City, Nuseirat Refugee Camp</t>
  </si>
  <si>
    <t>https://x.com/yoavzitun/status/1792840386077171729</t>
  </si>
  <si>
    <t>Video documentation of the killing of Palestinian armed fighters by Israeli drones</t>
  </si>
  <si>
    <t>An IDF-released video, captured by surveillance drones, shows a group of four armed Palestinians within the Nur Shams refugee camp near Tulkarm. The footage depicts another drone dropping bombs on the militants, killing them. Finally, an additional reconnaissance drone arrives to confirm their deaths. The video opens with a Hebrew caption: "18-20/04/2024: Wide-scale operation in Nur Shams—closing the loop on eliminating militants via Battalion 400.”</t>
  </si>
  <si>
    <t>Yoav Zeitoun (@yoavzitun)</t>
  </si>
  <si>
    <t>Tulkarm, Nur Shams</t>
  </si>
  <si>
    <t>Occupied Territories, Drone / Quadcopter, Disturbing Content, Palestinian Militants, Combat Footage</t>
  </si>
  <si>
    <t>https://x.com/AbuLocation/status/1860991599427100897</t>
  </si>
  <si>
    <t>Refugees battle weather conditions in winter [part of a thread]</t>
  </si>
  <si>
    <t>Al Jazeera report on Gazans struggling with winter conditions in tents, facing a shortage of basic necessities, and attempting to salvage belongings and stay warm following heavy rains. This is part of a long thread that geolocates the event and includes much footage from the Al Yarmouk Stadium refugee camp.</t>
  </si>
  <si>
    <t>November 25, 2024</t>
  </si>
  <si>
    <t>Abu location (@AbuLocation)</t>
  </si>
  <si>
    <t>@HossamShabat</t>
  </si>
  <si>
    <t>Al Yarmouk Stadium Refugee Camp</t>
  </si>
  <si>
    <t>Civilians, Children, Forced Displacement, Electricity, Sanitation, Infrastructure, Women, Water, Humanitarian Crisis, Public Health, Winter conditions</t>
  </si>
  <si>
    <t>Gaza Strip, Al Yarmouk Stadium Refugee Camp</t>
  </si>
  <si>
    <t>https://x.com/HossamShabat/status/1857822501830598710</t>
  </si>
  <si>
    <t>Bombing of a shelter center in Al-Shati refugee camp</t>
  </si>
  <si>
    <t>Post by journalist Hossam Shabat reporting on the bombing of a shelter center in Al-Shati refugee camp. The accompanying video shows graphic scenes from the aftermath, including charred bodies and severed heads. One scene shows a woman attempting to identify the dead from dismembered body parts.</t>
  </si>
  <si>
    <t>Al-Shati Refugee Camp</t>
  </si>
  <si>
    <t>Air Strike, Bombing, Civilians, Corpses, Disturbing Content, Journalistic Report, Scholasticide, War Crimes</t>
  </si>
  <si>
    <t>North Gaza, Al-Shati Refugee Camp</t>
  </si>
  <si>
    <t>https://palestine.un.org/en/259747-food-convoy-waiting-move-northern-gaza-was-hit-israeli-naval-gunfire</t>
  </si>
  <si>
    <t>A food convoy waiting to move into northern Gaza was hit by Israeli naval gunfire</t>
  </si>
  <si>
    <t>A food convoy waiting to move into northern Gaza was hit by Israeli naval gunfire, highlighting the ongoing humanitarian crisis in the region. No one was injured in this event but a truck was damaged.</t>
  </si>
  <si>
    <t>February 06, 2024</t>
  </si>
  <si>
    <t>Tom White</t>
  </si>
  <si>
    <t>Humanitarian Aid, Civilians, Humanitarian Crisis, Food</t>
  </si>
  <si>
    <t>World Food Programme, UN (United Nations), OCHA (UN Office for the Coordination of Humanitarian Affairs), IDF (Israel Defense Forces), UNRWA (The UN Relief and Works Agency for Palestine Refugees)</t>
  </si>
  <si>
    <t>https://news.walla.co.il/item/3633138</t>
  </si>
  <si>
    <t>Senior IDF officials are demanding to reduce humanitarian aid to Gaza</t>
  </si>
  <si>
    <t>Anonymous IDF officials demand a reduction in humanitarian aid to Gaza until negotiations for the release of hostages are initiated. The rationale is that increasing the humanitarian crisis in the Gaza Strip would increase pressure on Hamas to reach a deal.</t>
  </si>
  <si>
    <t>Walla News</t>
  </si>
  <si>
    <t>Amir Buchbut</t>
  </si>
  <si>
    <t>Humanitarian Aid, Humanitarian Crisis, Food, Hostage Deal</t>
  </si>
  <si>
    <t>https://politicallycorret.co.il/tlv-jerus/</t>
  </si>
  <si>
    <t>From Jerusalem to Tel Aviv</t>
  </si>
  <si>
    <t>The article discusses the blocking of humanitarian aid trucks heading towards Gaza based on the author's own experience. The article highlights the tensions and interactions in Israeli society, and indicates that protesters are supported or tolerated by security forces.</t>
  </si>
  <si>
    <t>May 07, 2024</t>
  </si>
  <si>
    <t>May 6, 2024</t>
  </si>
  <si>
    <t>Politicallycorret</t>
  </si>
  <si>
    <t>Eden Klavien-Pakter</t>
  </si>
  <si>
    <t>Jerusalem-Tel Aviv Road</t>
  </si>
  <si>
    <t>Humanitarian Aid, Hostage Deal, Violence, Protest (Israel), Vandalism, Food, Israeli Political Right, Testimony, Blocking Aid</t>
  </si>
  <si>
    <t>Israeli Government, Israeli Police</t>
  </si>
  <si>
    <t>Israel, Erez Crossing</t>
  </si>
  <si>
    <t>https://twitter.com/NourNaim88/status/1743662116614070495</t>
  </si>
  <si>
    <t>Israeli army kills academic researcher and writer Dr. Nasser Ismael Al-Yafaawi and his son</t>
  </si>
  <si>
    <t>Photos of academic researcher and writer Dr. Nasser Ismael Al-Yafaawi and his son Baraa Nasser Al-Yafaawi , who were killed by IDF in the Central Gaza Strip. The author claims that academics and distinguished individuals in Gaza are targeted deliberately.</t>
  </si>
  <si>
    <t>Academia, Civilians, Death</t>
  </si>
  <si>
    <t>Gaza Strip, Central Gaza Strip</t>
  </si>
  <si>
    <t>https://www.haaretz.co.il/news/politics/2024-10-21/ty-article/.premium/00000192-aeaf-da5c-a9b7-febf25980000</t>
  </si>
  <si>
    <t>US and Europeans suspect Israel is acting to drive Gazans from North Gaza</t>
  </si>
  <si>
    <t>Although Israel has stated to the US and European countries that it is not going to evacuate the entire civilian population from northern Gaza, Western diplomats remain skeptical of Israel's statements yet struggle to gather reliable information about the situation.</t>
  </si>
  <si>
    <t>Amir Tivon</t>
  </si>
  <si>
    <t>Civilians, Humanitarian Aid, Forced Displacement, The Generals' Plan</t>
  </si>
  <si>
    <t>IDF (Israel Defense Forces), Hamas, United States</t>
  </si>
  <si>
    <t>North Gaza, Jabaliya</t>
  </si>
  <si>
    <t>https://www.nytimes.com/live/2024/02/21/world/israel-hamas-war-gaza-news#the-israeli-militarys-top-lawyer-reports-some-troop-conduct-that-crosses-the-criminal-threshold</t>
  </si>
  <si>
    <t>The Israeli military’s top lawyer reports some troop conduct that crosses ‘the criminal threshold.’</t>
  </si>
  <si>
    <t>The Israeli military’s top lawyer on Wednesday said that her office had discovered unacceptable conduct by Israeli forces in Gaza, including some that appeared criminal, and warned that commanders must prevent unjustified force and destruction or plunder of civilian property.</t>
  </si>
  <si>
    <t>Adam Sella</t>
  </si>
  <si>
    <t>Looting, Destruction, Accountability, Vandalism</t>
  </si>
  <si>
    <t>https://www.nytimes.com/2024/02/06/world/middleeast/israel-idf-soldiers-war-social-media-video.html</t>
  </si>
  <si>
    <t>What Israeli Soldiers’ Social Media Videos in Gaza Reveal: Cheering Destruction and Mocking Gazans</t>
  </si>
  <si>
    <t>The article analyzes social media videos shared by Israeli soldiers in Gaza, revealing many instances of destruction and abuse of Palestinians. The piece refers to hundreds of videos that the newspaper reviewed.</t>
  </si>
  <si>
    <t>Aric Toler, Sarah Kerr, Adam Sella, Arijeta Lajka, Chevaz Clarke</t>
  </si>
  <si>
    <t>Destruction, Vandalism, Social Media, Israeli Far Right, Israeli Soldier Movies, Israeli Soldier Photos, Israeli Political Right, Mockery, Civilians, Abuse</t>
  </si>
  <si>
    <t>https://www.nytimes.com/2023/11/15/world/middleeast/israel-gaza-war-rhetoric.html</t>
  </si>
  <si>
    <t>'Erase Gaza': War Unleashes Incendiary Rhetoric in Israel</t>
  </si>
  <si>
    <t>The article discusses the normalization of incendiary rhetoric in Israel following the Hamas attacks on October 7, 2023, highlighting statements from prominent Israeli leaders that normalize ideas like the killing of civilians in Gaza and mass deportations. The article notes that calls for Gaza to be flattened, erased or destroyed have been mentioned about 18,000 times in Hebrew posts on X (compared to only 16 times in the month and a half before the war).</t>
  </si>
  <si>
    <t>November 15, 2023</t>
  </si>
  <si>
    <t>Mark Landler</t>
  </si>
  <si>
    <t>Incitement to Violence, Ethnic Cleansing, Dehumanization, Civilians, Settlers Violence, Palestinian Citizens of Israel, Destruction</t>
  </si>
  <si>
    <t>IDF (Israel Defense Forces), Israeli Government, Hamas</t>
  </si>
  <si>
    <t>Benjamin Netanyahu, Yinon Magal, Itamar Ben-Gvir, Yoav Gallant, Naftali Bennett, Amihai Eliyahu</t>
  </si>
  <si>
    <t>https://www.nytimes.com/2024/03/03/world/middleeast/unrwa-gaza-detention-israel.html</t>
  </si>
  <si>
    <t>U.N. Aid Agency Researchers Allege Abuse of Gazans in Israeli Detention</t>
  </si>
  <si>
    <t>The U.N. aid agency UNRWA alleges that Israeli troops abused hundreds of Gazans detained during the conflict with Hamas, based on testimonies from over 100 detainees. The piece refers to an investigation that UNRWA is preparing to publish.</t>
  </si>
  <si>
    <t>Monika Pronczuk, Patrick Kingsley</t>
  </si>
  <si>
    <t>Abuse, Detainees, Detention Center, Torture, Humiliation, Humanitarian Law, Winter conditions, Public Health, Captivity Conditions, Palestinian Testimony, Sexual Violence, Campaign against UNRWA</t>
  </si>
  <si>
    <t>UNRWA (The UN Relief and Works Agency for Palestine Refugees), IDF (Israel Defense Forces), Israeli Incarceration System</t>
  </si>
  <si>
    <t>https://www.nytimes.com/2024/04/02/world/middleeast/iran-israel-damascus-strike.html</t>
  </si>
  <si>
    <t>Strike in Damascus Is an Escalation in Israel’s Undeclared War With Iran</t>
  </si>
  <si>
    <t>The recent Israeli airstrike on the Iranian embassy in Damascus escalates the ongoing conflict between Israel and Iran. The Israeli strike killed an Iranian general and at least six other people.</t>
  </si>
  <si>
    <t>April 02, 2024</t>
  </si>
  <si>
    <t>April 01, 2024</t>
  </si>
  <si>
    <t>Steven Erlanger</t>
  </si>
  <si>
    <t>Israel, Iran</t>
  </si>
  <si>
    <t>Air Strike, Bombing</t>
  </si>
  <si>
    <t>Iran, Syria</t>
  </si>
  <si>
    <t>https://www.nytimes.com/2024/02/27/us/politics/biden-netanyahu-israel-gaza.html</t>
  </si>
  <si>
    <t>After 4 Months of War, Biden and Netanyahu Are on Different Timetables</t>
  </si>
  <si>
    <t>President Biden and Prime Minister Netanyahu have different goals in cease-fire negotiations. Netanyahu wants to continue the war while Biden was more reluctant. Biden supposedly offered Netanyahu normalization with Saudi Arabia in return for moving towards a ceasefire.</t>
  </si>
  <si>
    <t>Peter Baker, Isabel Kershner</t>
  </si>
  <si>
    <t>Israel, United States</t>
  </si>
  <si>
    <t>Ceasefire, Hostage Deal, Hostages, US-Israeli Relations</t>
  </si>
  <si>
    <t>Israel, USA, Gaza Strip</t>
  </si>
  <si>
    <t>Benjamin Netanyahu, Joe Biden, Donald Trump</t>
  </si>
  <si>
    <t>https://www.nytimes.com/2024/04/13/world/europe/israel-weapons-sales-genocide.html</t>
  </si>
  <si>
    <t>For Many Western Allies, Sending Weapons to Israel Gets Dicey</t>
  </si>
  <si>
    <t>As civilian casualities increase in Gaza, Israel's Western Allies face a dilemma in supplying weapons to Israel amidst accusations of complicity in genocide and war crimes. The United States and Germany, who together supply 95% of major weapon systems sent to Israel, have not been swayed by pressure so far. Other countries - Belgium, Canada, Italy, the Netherlands and Spain - have all halted arms deals with Israel.</t>
  </si>
  <si>
    <t>Lara Jakes</t>
  </si>
  <si>
    <t>Genocide, War Crimes, US Military Aid, Arms Shipments</t>
  </si>
  <si>
    <t>Israeli Government, United States, ICJ (International Court of Justice), Germany, United Kingdom</t>
  </si>
  <si>
    <t>https://www.nytimes.com/2024/05/14/us/politics/biden-arms-sale-israel.html</t>
  </si>
  <si>
    <t>Biden Administration Advances $1 Billion Arms Sale to Israel</t>
  </si>
  <si>
    <t>The Biden administration is proceeding with a $1 billion arms sale to Israel while attempting to limit the delivery of other weapons amid ongoing tensions in Gaza.</t>
  </si>
  <si>
    <t>Robert Jimison</t>
  </si>
  <si>
    <t>Israel, Rafah, USA</t>
  </si>
  <si>
    <t>US Military Aid, Ceasefire, Hostage Deal, US-Israeli Relations</t>
  </si>
  <si>
    <t>Israel, Gaza Strip, USA</t>
  </si>
  <si>
    <t>https://www.nytimes.com/2023/10/22/world/middleeast/patriot-israel-hamas-iran-gaza-eisenhower-pentagon.html</t>
  </si>
  <si>
    <t>U.S. Sends More Missile Defense Systems to Middle East</t>
  </si>
  <si>
    <t>The United States sent additional missile defense systems to the Middle East (a Thaad battery and additional Patriot battalions) in response to "escalations" from Iran and its allies amid escalating tensions following Hamas's attacks on Israel. The US was sending an aircraft carrier, and has already sent 2,000 Marines and sailors to the region (with another 2,000 troops ordered to prepare to deploy).</t>
  </si>
  <si>
    <t>Andrés R. Martínez</t>
  </si>
  <si>
    <t>https://www.defense.gov/News/Releases/Release/Article/3564874/statement-from-secretary-of-defense-lloyd-j-austin-iii-on-steps-to-increase-for/</t>
  </si>
  <si>
    <t>US Military Aid, US-Israeli Relations</t>
  </si>
  <si>
    <t>Iran, Hamas, Hezbollah, United States, Lebanon</t>
  </si>
  <si>
    <t>USA, Israel</t>
  </si>
  <si>
    <t>https://www.theguardian.com/world/2024/apr/24/germany-to-resume-funding-of-unrwa-aid-operations-in-gaza</t>
  </si>
  <si>
    <t>Germany to resume funding of Unrwa aid operations in Gaza</t>
  </si>
  <si>
    <t>Germany has announced it will resume funding for Unrwa operations in Gaza following a review that found insufficient evidence for Israel's claims against the agency's employees.</t>
  </si>
  <si>
    <t>April 25, 2024</t>
  </si>
  <si>
    <t>Bethan McKernan and Julian Borger</t>
  </si>
  <si>
    <t>Humanitarian Aid, Campaign against UNRWA, Funding</t>
  </si>
  <si>
    <t>United States, UNRWA (The UN Relief and Works Agency for Palestine Refugees), United Kingdom, World Food Programme, Germany</t>
  </si>
  <si>
    <t>https://unipd-centrodirittiumani.it/en/news/United-Nations-Anatomy-of-a-genocide-Report-of-the-Special-Rapporteur-on-the-situation-of-human-rights-in-the-Palestinian-territories-occupied-since-1967-Francesca-Albanese-2024/6900</t>
  </si>
  <si>
    <t>United Nations: "Anatomy of a genocide", Report of the Special Rapporteur on the situation of human rights in the Palestinian territories occupied since 1967</t>
  </si>
  <si>
    <t>The introduction to the report presented by Francesca Albanese, the Special Rapporteur on human rights in the Palestinian territories, to the UN Human Rights Council asserting that Israel's actions in Gaza may constitute genocide.</t>
  </si>
  <si>
    <t>Human Rights Center Antonio Papisca</t>
  </si>
  <si>
    <t>Human Rights Center</t>
  </si>
  <si>
    <t>https://www.un.org/unispal/document/anatomy-of-a-genocide-report-of-the-special-rapporteur-on-the-situation-of-human-rights-in-the-palestinian-territory-occupied-since-1967-to-human-rights-council-advance-unedited-version-a-hrc-55/</t>
  </si>
  <si>
    <t>Genocide, Humanitarian Crisis, Crimes Against Humanity, Hostages, Humanitarian Law</t>
  </si>
  <si>
    <t>UN (United Nations), ICJ (International Court of Justice)</t>
  </si>
  <si>
    <t>https://x.com/ireallyhateyou/status/1814790277053243765</t>
  </si>
  <si>
    <t>Alon Ben David acknowledges Israeli war crimes in the West Bank on TV</t>
  </si>
  <si>
    <t>Israeli Channel 13 military correspondent Alon Ben David acknowledges on Channel 13 that "many war crimes have been committed in Judea and Samaria, and the world sees it". The context is the recent ICJ decision against Israel.</t>
  </si>
  <si>
    <t>July 21, 2024</t>
  </si>
  <si>
    <t>https://x.com/i/status/1814790277053243765</t>
  </si>
  <si>
    <t>War Crimes, Occupied territories, Media, Israeli Society, Violence, Terrorism, Settlements, Occupied Territories, Civilians, Religious Right</t>
  </si>
  <si>
    <t>ICJ (International Court of Justice)</t>
  </si>
  <si>
    <t>https://www.hrw.org/news/2023/12/18/israel-starvation-used-weapon-war-gaza</t>
  </si>
  <si>
    <t>Israel: Starvation Used as Weapon of War in Gaza</t>
  </si>
  <si>
    <t>Human Rights Watch reports that the Israeli government is using starvation and water deprivation of civilians in Gaza as a method of warfare, constituting a war crime.</t>
  </si>
  <si>
    <t>December 18, 2023</t>
  </si>
  <si>
    <t>December 4, 2023</t>
  </si>
  <si>
    <t>Children, Civilians, Starvation, War Crimes, Food, Electricity, Water, Air Strike, Official Report, Public Health, Fuel, Collective Punishment, Humanitarian Law</t>
  </si>
  <si>
    <t>United States, Israeli Government, World Food Programme, Human Rights watch</t>
  </si>
  <si>
    <t>Israel, Rafah, Beit Hanoun, North Gaza, Gaza Strip</t>
  </si>
  <si>
    <t>Yoav Gallant, Itamar Ben-Gvir, Israel Katz</t>
  </si>
  <si>
    <t>https://www.aljazeera.com/news/liveblog/2024/2/11/israels-war-on-gaza-live-leaders-warn-of-catastrophe-if-rafah-invaded?update=2700975</t>
  </si>
  <si>
    <t>Israeli offensive in Rafah will blow up captive talks: Hamas</t>
  </si>
  <si>
    <t>Hamas warns that an assault on Rafah would end negotiations for hostage deal as the UN and various nations express concern over a planned Israeli offensive.</t>
  </si>
  <si>
    <t>Lyndal Rowlands, John Power, Umut Uras</t>
  </si>
  <si>
    <t>Hostage Deal, Ground Operation</t>
  </si>
  <si>
    <t>Rafah, Israel, Gaza Strip</t>
  </si>
  <si>
    <t>https://x.com/ytirawi/status/1793934222341611526</t>
  </si>
  <si>
    <t>IDF blows up a school</t>
  </si>
  <si>
    <t>A video posted on a soldier's social media account shows a school exploding amid an area completely demolished into rubble. The soldiers who activated the bomb are cheering.</t>
  </si>
  <si>
    <t>Humiliation, Education, Destruction of Cultural Sites, Israeli Soldier Movies, Mockery, Destruction, Explosives, Social Media, Scholasticide</t>
  </si>
  <si>
    <t>https://apnews.com/article/israel-palestinians-gaza-hamas-famine-0056ceecdb4ae3bee5f64c54ab034c7e</t>
  </si>
  <si>
    <t>Famine is possibly underway in northern Gaza despite recent aid efforts, a new report warns</t>
  </si>
  <si>
    <t>An independent group of experts known as the Famine Early Warning Systems Network, warns that famine may be underway in northern Gaza. However, the ongoing war between Israel and Hamas and restrictions on humanitarian access have impeded the data collection to prove it.</t>
  </si>
  <si>
    <t>Sam Mednick</t>
  </si>
  <si>
    <t>FRC (Famine Review Committee)</t>
  </si>
  <si>
    <t>https://www.ipcinfo.org/fileadmin/user_upload/ipcinfo/docs/documents/IPC_Famine_Review_Committee_Report_FEWS_NET_Gaza_4June2024.pdf</t>
  </si>
  <si>
    <t>Food, Humanitarian Crisis, War Crimes, Malnutrition, Children, Genocide, Humanitarian Aid</t>
  </si>
  <si>
    <t>World Food Programme, UN (United Nations)</t>
  </si>
  <si>
    <t>https://twitter.com/AssalRad/status/1761979317779824767</t>
  </si>
  <si>
    <t>A survey of four mainstream media outlets' coverage of Aaron Bushnell's self-immolation</t>
  </si>
  <si>
    <t>Assal Rad shares screenshots of headlines by four major news outlets (The New York Times, CNN, Reuters, The Washington Post), covering Aaron Bushnell's self-immolation, pointing out that ‘Not one of them mentions the words “Gaza” or “genocide,” the reason for Aaron’s protest, or the word “Palestine,” his last words spoken.’</t>
  </si>
  <si>
    <t>Genocide, Media, Media bias</t>
  </si>
  <si>
    <t>Aaron Bushnell</t>
  </si>
  <si>
    <t>https://twitter.com/AssalRad/status/1762992473067130934</t>
  </si>
  <si>
    <t>A tweet pointing out inconsistency in media narrative regarding a ceasefire proposal that was rejected by hamas</t>
  </si>
  <si>
    <t>Assal Rad shares excerpts from major media coverage (New York Times, NPR) of a proposed ceasefire, all of which lay blame with Hamas for rejecting it, while pointing out that what was proposed was a temporary pause to the fighting, as Israel would not accept a permanent ceasefire.</t>
  </si>
  <si>
    <t>Ceasefire, Media, Media bias</t>
  </si>
  <si>
    <t>https://twitter.com/YakiAdamker/status/1787846143096828303</t>
  </si>
  <si>
    <t>First synagogue in Eastern Rafah</t>
  </si>
  <si>
    <t>Video showing a makeshift synagogue established in a tent in the Division 162 headquarters in Eastern Rafah.</t>
  </si>
  <si>
    <t>May 7 2024</t>
  </si>
  <si>
    <t>Yaki Adamker (YakiAdamker)</t>
  </si>
  <si>
    <t>Israeli Soldier Movies, Religious Right, Jewish Settlements in Gaza</t>
  </si>
  <si>
    <t>https://twitter.com/ireallyhateyou/status/1743588216630919271</t>
  </si>
  <si>
    <t>"Inauguration of a Torah scroll in Katif region (formerly Sheikh Radwan)"</t>
  </si>
  <si>
    <t>Soldiers celebrating in a school turned synagogue, alongside banners calling to return to the Gush Katif settlements. The soldiers pray and dance with a Torah Scroll and flags. Specific location is unclear.</t>
  </si>
  <si>
    <t>Sheikh Radwan or Khan Younis</t>
  </si>
  <si>
    <t>Annexation, Schools, Confiscated Assets, Jewish Settlements in Gaza, Religious Right</t>
  </si>
  <si>
    <t>Gaza Strip, Khan Younis, Sheikh Radwan</t>
  </si>
  <si>
    <t>https://twitter.com/ireallyhateyou/status/1756666882331988140</t>
  </si>
  <si>
    <t>An Israeli soldier appears to spray paint The Temple in Jerusalem on the ruins of a destroyed mosque</t>
  </si>
  <si>
    <t>An Israeli soldier spray painting The Temple in Jerusalem on the ruins of a destroyed mosque. The painting inlcudes a quote from the "prayer for restoration of temples service". The video appears to be edited to depict the soldier painting the Temple.</t>
  </si>
  <si>
    <t>Vandalism, Mosques, Religious Right, Israeli Soldier Movies, Destruction of Cultural Sites, Social Media</t>
  </si>
  <si>
    <t>https://twitter.com/ryangrim/status/1774422433736393207</t>
  </si>
  <si>
    <t>Israel is cutting off the flow of money to Gaza</t>
  </si>
  <si>
    <t>It is nearly impossible to get cash. Cited tweet adds that only 5 of 56 bank branches are still operations, and only 7 of 91 ATMs are left across the Strip. All banks in Central and Northern Gaza were destroyed by Israel.</t>
  </si>
  <si>
    <t>Ryan Grim (@ryangrim)</t>
  </si>
  <si>
    <t>https://x.com/ytirawi/status/1774252052417257831</t>
  </si>
  <si>
    <t>Food, Economy, Urbicide, Infrastructure</t>
  </si>
  <si>
    <t>https://twitter.com/yanivkub/status/1742189448006127715</t>
  </si>
  <si>
    <t>IDF soldiers building a synagogue in Khan Younis</t>
  </si>
  <si>
    <t>The video shows soldiers building a synagogue in Khan Younis and dedicating it to the memory of a soldier while also holding a Torah Scroll and dancing. The author ties this to lack of military disipline which is related to the high rate of soldiers killed by friendly fire (20% of 507).</t>
  </si>
  <si>
    <t>January 2, 2024</t>
  </si>
  <si>
    <t>Yaniv Kubovich (@yanivkub)</t>
  </si>
  <si>
    <t>Journalists, Religious Right, Annexation, Israeli Soldier Movies, Social Media, Jewish Settlements in Gaza</t>
  </si>
  <si>
    <t>https://twitter.com/ytirawi/status/1745979741931282775</t>
  </si>
  <si>
    <t>IDF soldier turns Palestinian home into a synagogue in Khan Younis</t>
  </si>
  <si>
    <t>Israeli soldier posted on tiktok this video showing a house of a Palestinian family in Khan Younis , full of debris and disarray after an attack, turned into a synagogue named "Vayisa'u vayachIanu" (And they journeyed and encamped). The walls include graffiti of Stars of David.</t>
  </si>
  <si>
    <t>Confiscated Assets, Vandalism, Annexation, Buildings</t>
  </si>
  <si>
    <t>https://twitter.com/ytirawi/status/1750793042850664750</t>
  </si>
  <si>
    <t>Israeli soldiers dancing and celebrating with a Torah Scroll inside the Islamic University of Gaza faculty of medicine in Gaza City</t>
  </si>
  <si>
    <t>Israeli military dancing and celebrating inside the Islamic University in Gaza's Faculty of Medicine in Gaza City. According to the author the building was blown up entirely earlier in that month (Jan. 2024).</t>
  </si>
  <si>
    <t>Islamic University of Gaza, Gaza City</t>
  </si>
  <si>
    <t>Religious Right, Confiscated Assets, Scholasticide, Education</t>
  </si>
  <si>
    <t>https://twitter.com/AGvaryahu/status/1763102777423659018/photo/1</t>
  </si>
  <si>
    <t>Gaza reporter's testimony from Rafah read at the religious left conference on February 28, 2024</t>
  </si>
  <si>
    <t>Gaza reporter Ahmed Mustafa's testimony was read at the religious left conference on 2/28/2024 ; while pleading anti war, he tells about his aunt's family killed in an Israeli airstrike, his own forced displacement from Khan Younis and the life struggle in Rafah, including stories about injuries and death.</t>
  </si>
  <si>
    <t>Avner Gvaryahu (@AGvaryahu)</t>
  </si>
  <si>
    <t>Rafah, Khan Younis,</t>
  </si>
  <si>
    <t>Civilians, Air Strike, Burial, Children, Collective Punishment, Journalists, Domicide, Forced Displacement, Elderly, Electricity, Food, Public Health, Infrastructure, Medicine, Sanitation, Testimony, Economy, Winter conditions</t>
  </si>
  <si>
    <t>Rafah, Gaza Strip, Khan Younis, Jerusalem</t>
  </si>
  <si>
    <t>https://twitter.com/MatanGolanPhoto/status/1766586400558739508</t>
  </si>
  <si>
    <t>IDF soldier's video of a 73 years old deaf Palestinian killed by an IDF soldier in his home while being unarmed</t>
  </si>
  <si>
    <t>Three and a half minutes video showing IDF soldiers clearing a house after one of them tells how he put four bullets into an unarmed old Palestinian man who was hidding under a bed; the commander praises thin soldier. It ends with the close-up of a unconscious/dead old man laying besides a bed in a pool of blood.</t>
  </si>
  <si>
    <t>Matan Golan (@MatanGolanPhoto)</t>
  </si>
  <si>
    <t>www.mistaclim.org</t>
  </si>
  <si>
    <t>Civilians, Rules of Engagement, Elderly, Ground Operation, Abuse, Execution</t>
  </si>
  <si>
    <t>Al Jazeera, IDF (Israel Defense Forces)</t>
  </si>
  <si>
    <t>https://twitter.com/NourNaim88/status/1745135460270096699</t>
  </si>
  <si>
    <t>IDF missile kills university lecturer, Dr. Mumin Shweideh and his family in their home in Gaza while they were asleep.</t>
  </si>
  <si>
    <t>Photo of the university lecturer Dr. Mumin Shweideh and his wife and five children, all of whom were killed by an IDF missile in their home in Gaza while they were asleep.</t>
  </si>
  <si>
    <t>Academia, Bombing, Children, Civilians, Infants, Women, Death</t>
  </si>
  <si>
    <t>https://twitter.com/NourNaim88/status/1759600702886748387</t>
  </si>
  <si>
    <t>A medical student's testimony about Al-Shifa hospital in Gaza transformed into a graveyard</t>
  </si>
  <si>
    <t>Ezz Lulu, a medical student, shares on video about how the area around Al-Shifa hospital in Gaza is transformed into a graveyard.</t>
  </si>
  <si>
    <t>February 19 ,2024</t>
  </si>
  <si>
    <t>Burial, Public Health, Hospital, Medicine, Academia, Testimony, Cemetery</t>
  </si>
  <si>
    <t>https://jewishcurrents.org/israel-policy-starvation-gaza-aid</t>
  </si>
  <si>
    <t>Israeli Aid Policies Drive Starvation</t>
  </si>
  <si>
    <t>The article discusses how Israeli aid policies are contributing to starvation in Gaza, highlighting the logistical challenges faced by humanitarian efforts amidst political issues. The article discusses US initiatives to bring aid into the Gaza Strip, specifics regarding aid trucks' entrance to and movement within the Gaza Strip, attempts to block aid, attacks on aid, and the damage caused by airdropped aid.</t>
  </si>
  <si>
    <t>March 07, 2023</t>
  </si>
  <si>
    <t>March 09, 2023</t>
  </si>
  <si>
    <t>Jewish Currents</t>
  </si>
  <si>
    <t>Elisheva Goldberg, Maya Rosen</t>
  </si>
  <si>
    <t>Humanitarian Aid, Starvation, Blockade, Humanitarian Crisis, Malnutrition, Airdrops, Food</t>
  </si>
  <si>
    <t>World Food Programme, COGAT (The Coordination of the Israeli Government Activities in the Territories), MSF - Médecins Sans Frontières (Doctors Without Borders), UN (United Nations), UNRWA (The UN Relief and Works Agency for Palestine Refugees)</t>
  </si>
  <si>
    <t>Gaza Strip, Rafah Crossing, Karni Crossing</t>
  </si>
  <si>
    <t>https://reliefweb.int/report/occupied-palestinian-territory/flash-analysis-report-over-two-months-attacks-food-security-gaza-december-2023</t>
  </si>
  <si>
    <t>Flash Analysis Report: Over Two Months of Attacks on Food Security in Gaza, December 2023</t>
  </si>
  <si>
    <t>The report analyzes the severe impact of violence on food security in Gaza following attacks and a blockade, detailing destruction of infrastructure and challenges faced by residents.</t>
  </si>
  <si>
    <t>December 21, 2023</t>
  </si>
  <si>
    <t>December 11, 2023</t>
  </si>
  <si>
    <t>Insecurity Insight</t>
  </si>
  <si>
    <t>https://reliefweb.int/attachments/bfd1c983-5268-455a-80ab-9f60438777bf/Flash-Analysis-Over-Two-Months-of-Attacks-on-Food-Security-in-Gaza.pdf</t>
  </si>
  <si>
    <t>Food, Humanitarian Crisis, Violence, Water, Destruction of Cultural Sites, Infrastructure, Agriculture</t>
  </si>
  <si>
    <t>Gaza Health Ministry, World Food Programme, OCHA (UN Office for the Coordination of Humanitarian Affairs), ICRC (International Committee of the Red Cross), Amnesty International</t>
  </si>
  <si>
    <t>Jabaliya, Deir al Balah</t>
  </si>
  <si>
    <t>https://www.washingtonpost.com/opinions/2023/10/31/antony-blinken-biden-aid-ukraine-israel-gazans/</t>
  </si>
  <si>
    <t>Blinken: Defending Israel is essential. So is aiding civilians in Gaza.</t>
  </si>
  <si>
    <t>Antony Blinken wrote an op-ed in which he emphasizes the importance of supporting both Israel's defense and humanitarian assistance for civilians in Gaza amidst ongoing conflict.</t>
  </si>
  <si>
    <t>Antony J. Blinken</t>
  </si>
  <si>
    <t>Civilians, Humanitarian Aid, Humanitarian Crisis, US Military Aid, US-Israeli Relations</t>
  </si>
  <si>
    <t>https://edition.cnn.com/2024/12/02/middleeast/israel-idf-gaza-moshe-yaalon-palestinians-ethnic-cleansing-intl/index.html</t>
  </si>
  <si>
    <t>Northern Gaza: Former defense minister Moshe Ya’alon accuses Israel of ethnic cleansing</t>
  </si>
  <si>
    <t>Former Israeli defense minister and chief of staff Moshe Ya’alon has accused Israel of ethnic cleansing of Palestinians in northern Gaza, sparking significant controversy.</t>
  </si>
  <si>
    <t>December 02, 2024</t>
  </si>
  <si>
    <t>Mick Krever, Dana Carni</t>
  </si>
  <si>
    <t>https://www.mako.co.il/news-politics/2024_q4/Article-a9ff57a14538391027.htm</t>
  </si>
  <si>
    <t>Ethnic Cleansing, Forced Displacement, Civilians, War Crimes, Humanitarian Crisis, Media, Religious Right, The Generals' Plan</t>
  </si>
  <si>
    <t>Beit Hanoun, Beit Lahiya, Jabaliya, North Gaza</t>
  </si>
  <si>
    <t>Moshe (Bogie) Yaalon</t>
  </si>
  <si>
    <t>https://english.palinfo.com/news/2024/03/20/316217/</t>
  </si>
  <si>
    <t>Hamas condemns the IOF assassination of 3 police officers in Gaza</t>
  </si>
  <si>
    <t>Hamas condemned the IDF for the assassination of three police officers in Gaza, highlighting the ongoing violence and chaos in the region. This article refers to part of the Israeli attempt to undermine Hamas' civilian control of the Gaza Strip.</t>
  </si>
  <si>
    <t>The Palestinian Information Center</t>
  </si>
  <si>
    <t>Violence, Murder, Official Statement, Civilians, Attacks on Police</t>
  </si>
  <si>
    <t>IDF (Israel Defense Forces), Hamas, Gaza Police</t>
  </si>
  <si>
    <t>https://www.msf.org/msf-briefing-gaza-un-security-council</t>
  </si>
  <si>
    <t>MSF head gives a briefing to the UN Security Council on Gaza</t>
  </si>
  <si>
    <t>Christopher Lockyear, Secretary General of Médecins Sans Frontières, briefed the UN Security Council on the urgent need for a ceasefire in Gaza and the protection of medical facilities amid ongoing violence. He described the health crisis caused by the war and the destruction of Healthcare facilities and staff by the Israeli army, including attacks on MSF staff.</t>
  </si>
  <si>
    <t>MSF - Médecins Sans Frontières (Doctors Without Borders)</t>
  </si>
  <si>
    <t>Christopher Lockyea</t>
  </si>
  <si>
    <t>Ceasefire, Civilians, Humanitarian Crisis, Public Health, Collective Punishment, Healthcare Workers, Hospital</t>
  </si>
  <si>
    <t>UN Security Council, United States, IDF (Israel Defense Forces), UN (United Nations)</t>
  </si>
  <si>
    <t>Gaza Strip, Khan Younis, Rafah</t>
  </si>
  <si>
    <t>https://www.haaretz.co.il/news/security/2024-03-28/ty-article-magazine/.premium/0000018d-9cc9-df62-a3fd-9ecdb8420000</t>
  </si>
  <si>
    <t>A Security Perimeter and a Control Corridor: This is what the IDF's entrenchment in Gaza looks like</t>
  </si>
  <si>
    <t>Israel is advancing a significant project in the Gaza Strip to establish a security perimeter along the border with Israel, which will cover 16% of the Strip once completed, as well as control corridor which will allow surveillance and control over Palestinians' movements between the north and south of the Gaza Strip.</t>
  </si>
  <si>
    <t>Yarden Michaeli and Avi Scharf</t>
  </si>
  <si>
    <t>Demolition, Destruction, Infrastructure, Forced Displacement, Annexation, Forced Displacement</t>
  </si>
  <si>
    <t>Gaza Strip, Western Negev (Otef)</t>
  </si>
  <si>
    <t>https://www.hrw.org/news/2024/07/17/october-7-crimes-against-humanity-war-crimes-hamas-led-groups</t>
  </si>
  <si>
    <t>October 7 Crimes Against Humanity, War Crimes by Hamas-led Groups</t>
  </si>
  <si>
    <t>Human Rights Watch released a long report (252 pp.) on war crimes and crimes against humanity committed by Hamas-led groups during the October 7 assault on southern Israel.</t>
  </si>
  <si>
    <t>July 17, 2024</t>
  </si>
  <si>
    <t>https://www.hrw.org/sites/default/files/media_2024/08/israel_palestine0724web.pdf</t>
  </si>
  <si>
    <t>Israel, Near the Gaza Strip</t>
  </si>
  <si>
    <t>War Crimes, Crimes Against Humanity, Civilians, Hostages, Destruction, Palestinian Militants, October 7th 2023</t>
  </si>
  <si>
    <t>Israeli Government, Hamas</t>
  </si>
  <si>
    <t>https://www.washingtonpost.com/world/2024/10/18/israel-gaza-war-aid-hospitals-doctors/</t>
  </si>
  <si>
    <t>Israel bars six medical NGOs from entry to Gaza, WHO says</t>
  </si>
  <si>
    <t>Israel has barred six medical NGOs from entering Gaza, exacerbating the healthcare crisis in the region, according to the World Health Organization. One of the named organizations was Glia. Some observers at the time believed that this event was linked to the October 2, 2024 letter of 99 healthcare workers to Biden in which they .</t>
  </si>
  <si>
    <t>Niha Masih, Cate Brown</t>
  </si>
  <si>
    <t>Public Health, Humanitarian Aid, War Crimes, Civilians, Healthcare Workers</t>
  </si>
  <si>
    <t>IDF (Israel Defense Forces), COGAT (The Coordination of the Israeli Government Activities in the Territories), WHO (World Health Organization), United States</t>
  </si>
  <si>
    <t>https://www.haaretz.co.il/news/politics/2024-06-08/ty-article/0000018f-f7e1-d084-abef-f7e94fff0000</t>
  </si>
  <si>
    <t>Hamas: At least 210 Palestinians killed in IDF strikes in the center of the Gaza Strip</t>
  </si>
  <si>
    <t>Hamas reports that at least 210 Palestinians have been killed and over 400 injured in IDF airstrikes in central Gaza during an operation to rescue four Israeli hostages.</t>
  </si>
  <si>
    <t>Jackie Khouri</t>
  </si>
  <si>
    <t>Air Strike, Civilians, Corpses, Healthcare Workers, Hostage Rescue Operation</t>
  </si>
  <si>
    <t>Hamas, IDF (Israel Defense Forces), Gaza Health Ministry</t>
  </si>
  <si>
    <t>Nuseirat Refugee Camp, Al-Aqsa Hospital, Deir al Balah</t>
  </si>
  <si>
    <t>Ismail Haniyeh, Mahmoud Abbas</t>
  </si>
  <si>
    <t>https://apnews.com/world-news/still-wrecked-from-past-israeli-raids-hospitals-in-northern-gaza-come-under-attack-again-00000192eebfd414a79fffbf88cc0000</t>
  </si>
  <si>
    <t>Still wrecked from past Israeli raids, hospitals in northern Gaza come under attack again</t>
  </si>
  <si>
    <t>The three hospitals in northern Gaza (Kamal Adwan, al-Awda and Indonesian) are once again under attack by Israeli troops amidst ongoing conflict with Hamas. Since the beginning of the war, Israel besieged and raided at least 10 hospitals, some several times. The piece refers to an AP investigation that pointed out that Israel showed only one tunnel shaft from all the hospitals it raided (in Al-Shifa)</t>
  </si>
  <si>
    <t>Isabel Debre, Julia Frankel, Lee Keath</t>
  </si>
  <si>
    <t>Hospitals in North Gaza</t>
  </si>
  <si>
    <t>Public Health, Hospital, War Crimes, Healthcare Workers, Corpses, Civilians</t>
  </si>
  <si>
    <t>Al-Shifa Hospital, The Indonesian Hospital, North Gaza, Kamal Adwan Hospital, Al-Awda Hospital</t>
  </si>
  <si>
    <t>Dr Hussam Abu Safiya, Daniel Hagari</t>
  </si>
  <si>
    <t>https://www.inss.org.il/he/publication/july-2024/</t>
  </si>
  <si>
    <t>Iron Swords Poll - Updated Situation Report (July 2024)</t>
  </si>
  <si>
    <t>The Institute for National Security Studies' July 2024 public opinion survey regarding national resilience and public trust. The survey found high levels of trust in the IDF and relatively high levels of optimism about the future and future outcomes of the war.</t>
  </si>
  <si>
    <t>July 18, 2024</t>
  </si>
  <si>
    <t>INSS (The Institute for National Security Studies)</t>
  </si>
  <si>
    <t>Moran Deutsch, Rivka Miller, Idit Shifran Gittelman, Anat Shapira</t>
  </si>
  <si>
    <t>https://www.inss.org.il/he/wp-content/uploads/sites/2/2024/07/%D7%A1%D7%A7%D7%A8-19-%D7%97%D7%A8%D7%91%D7%95%D7%AA-%D7%91%D7%A8%D7%96%D7%9C-21.07.24.xlsx</t>
  </si>
  <si>
    <t>Public Opinion, Analysis, Quantitative Data, Palestinian Citizens of Israel, Poll, US-Israeli Relations</t>
  </si>
  <si>
    <t>IDF (Israel Defense Forces), Israeli Police, Israeli Government, Hezbollah, United States, Lebanon, Hamas</t>
  </si>
  <si>
    <t>Herzi Halevi, Benjamin Netanyahu</t>
  </si>
  <si>
    <t>https://www.inss.org.il/he/publication/survey-october-2024/</t>
  </si>
  <si>
    <t>Iron Swords Poll - Updated Situation Report (October 2024)</t>
  </si>
  <si>
    <t>The Institute for National Security Studies' October 2024 public opinion survey regarding national resilience and public trust. The survey found high levels of trust in the IDF; some 60 percent of Jewish Israelis did not think their government had a plan to finish the war. The survey also found that most Israelis are optimistic about the future.</t>
  </si>
  <si>
    <t>https://www.inss.org.il/he/wp-content/uploads/sites/2/2024/10/%D7%93%D7%90%D7%98%D7%94-%D7%A1%D7%A7%D7%A8-%D7%97%D7%A8%D7%91%D7%95%D7%AA-%D7%91%D7%A8%D7%96%D7%9C-%D7%90%D7%95%D7%A7%D7%98%D7%95%D7%91%D7%A8-24-%D7%9B%D7%95%D7%9C%D7%9C-%D7%A0%D7%99%D7%AA%D7%95%D7%97.xlsx</t>
  </si>
  <si>
    <t>Public Opinion, Analysis, Palestinian Citizens of Israel, Quantitative Data, Poll, US-Israeli Relations</t>
  </si>
  <si>
    <t>IDF (Israel Defense Forces), Israeli Government, Hezbollah, United States, Lebanon, Iran, Hamas</t>
  </si>
  <si>
    <t>Herzi Halevi, Benjamin Netanyahu, Yoav Gallant</t>
  </si>
  <si>
    <t>https://www.inss.org.il/he/publication/survey-september-2024/</t>
  </si>
  <si>
    <t>Iron Swords Poll - Updated Situation Report (September 2024)</t>
  </si>
  <si>
    <t>The Institute for National Security Studies' September 2024 public opinion survey regarding national resilience and public trust. The survey found high levels of trust in the IDF; a minority that supported the two state solution, and very few Jewish Israelis concerned about the humanitarian conditions in the Gaza Strip.</t>
  </si>
  <si>
    <t>September 17, 2024</t>
  </si>
  <si>
    <t>September 12, 2024</t>
  </si>
  <si>
    <t>https://www.inss.org.il/he/wp-content/uploads/sites/2/2024/09/INSS-%D7%A1%D7%A4%D7%98-24-%D7%A0%D7%99%D7%AA%D7%95%D7%97.xlsx</t>
  </si>
  <si>
    <t>Public Opinion, Analysis, Palestinian Citizens of Israel, Quantitative Data, Poll, Religious Right, Humanitarian Crisis, Humanitarian Aid</t>
  </si>
  <si>
    <t>https://www.nytimes.com/2024/03/27/technology/israel-facial-recognition-gaza.html</t>
  </si>
  <si>
    <t>Israel Deploys Expansive Facial Recognition Program in Gaza</t>
  </si>
  <si>
    <t>Israel's facial recognition program is used to conduct mass surveillance of Palestinians in Gaza.</t>
  </si>
  <si>
    <t>Sheera Frenkel</t>
  </si>
  <si>
    <t>Civilians, Collective Punishment, Palestinian Testimony, Surveillance</t>
  </si>
  <si>
    <t>Mosab Abu Toha</t>
  </si>
  <si>
    <t>https://www.nytimes.com/2024/03/22/world/middleeast/us-cease-fire-resolution-vetoes.html</t>
  </si>
  <si>
    <t>A Look at the Three Previous U.N. Cease-Fire Resolutions the U.S. Vetoed</t>
  </si>
  <si>
    <t>A review of the previous three US vetoes on ceasefire resolutions related to Gaza in the UN Security Council. The piece was written in light of the US' own call for a ceasefire being vetoed.</t>
  </si>
  <si>
    <t>Shashank Bengali</t>
  </si>
  <si>
    <t>Ceasefire, Hostage Deal, Diplomacy</t>
  </si>
  <si>
    <t>UN Security Council, United States</t>
  </si>
  <si>
    <t>https://www.nytimes.com/2024/04/17/world/middleeast/iran-israel-attack.html</t>
  </si>
  <si>
    <t>Miscalculation Leads to Escalation as Israel and Iran Clash</t>
  </si>
  <si>
    <t>Miscalculation by Israeli officials led to an escalation in military conflict with Iran. Israel warned the US of the imminent strike only very shortly before it took place.</t>
  </si>
  <si>
    <t>Ronen Bergman, Farnaz Fassihi, Eric Schmitt, Adam Entous, Richard Pérez-Peña</t>
  </si>
  <si>
    <t>Destruction, Air Strike, US-Israeli Relations</t>
  </si>
  <si>
    <t>Iran, Israeli Government, United States, IDF (Israel Defense Forces)</t>
  </si>
  <si>
    <t>Israel, USA, Iran</t>
  </si>
  <si>
    <t>Joe Biden, Yoav Gallant, Benjamin Netanyahu, Lloyd Austin</t>
  </si>
  <si>
    <t>https://www.nytimes.com/2024/02/07/us/politics/us-strike-iraq-milita.html</t>
  </si>
  <si>
    <t>U.S. Strike in Baghdad Kills Iranian-Backed Militia Commander</t>
  </si>
  <si>
    <t>A U.S. drone strike in Baghdad killed a senior leader of the Iranian-backed militia Kata’ib Hezbollah, following a series of retaliatory actions against attacks on U.S. troops.</t>
  </si>
  <si>
    <t>February 07, 2024</t>
  </si>
  <si>
    <t>Helene Cooper, Alissa J. Rubin</t>
  </si>
  <si>
    <t>Baghdad</t>
  </si>
  <si>
    <t>Air Strike, Terrorism, Drone / Quadcopter</t>
  </si>
  <si>
    <t>Iran, United States</t>
  </si>
  <si>
    <t>USA, Iraq</t>
  </si>
  <si>
    <t>https://www.middleeastmonitor.com/20240324-women-in-gaza-are-being-raped-and-this-is-not-being-investigated-or-reported/</t>
  </si>
  <si>
    <t>Women in Gaza are being raped and this is not being investigated or reported</t>
  </si>
  <si>
    <t>Report on various aspects of the the severe humanitarian crisis in Gaza, including the high death toll, particularly among children. The report is based on an interview with Dr. Aliya Khan of the Union of Medical Care and Relief Organisations (UOSSM), who highlights instances of sexual assault and reports of rape, as well as the lack of international response to the atrocities.</t>
  </si>
  <si>
    <t>Middle East Monitor</t>
  </si>
  <si>
    <t>Anjuman Rahman (@AnjumanAleena)</t>
  </si>
  <si>
    <t>Children, Civilians, Genocide, Humanitarian Crisis, Malnutrition, War Crimes, Women, Sexual Violence, Hospital, Starvation, Testimony</t>
  </si>
  <si>
    <t>IDF (Israel Defense Forces), UNICEF (United Nations Children's Fund), UN (United Nations), Gaza Health Ministry</t>
  </si>
  <si>
    <t>Kamal Adwan Hospital, Nasser Hospital, Khan Younis, North Gaza</t>
  </si>
  <si>
    <t>https://www.inss.org.il/he/publication/swords-of-iron-14/</t>
  </si>
  <si>
    <t>INSS Findings of the "Iron Swords" Survey - March 2024</t>
  </si>
  <si>
    <t>Results of survey regarding attitudes towards the war on Gaza amongst the Israeli public. The survey finds that Israelis do not trust their government, the prime minister, believe in a victory against Gaza but are wary from another war against Hizbollah in Lebanon or increased violence in the West Bank. 19% of Israelis would like to resettle Gaza and 27% would prefer a permanent Israeli occupation.</t>
  </si>
  <si>
    <t>March 07, 2024</t>
  </si>
  <si>
    <t>Moran Deutsch. Rivka Miler. Idit Shifran Gittelman, Meir Alran,</t>
  </si>
  <si>
    <t>Public Opinion, Analysis, Poll</t>
  </si>
  <si>
    <t>https://www.unesco.org/en/gaza/assessment</t>
  </si>
  <si>
    <t>UNSECO's damage assessment of the Gaza Strip</t>
  </si>
  <si>
    <t>UNESCO is conducting a preliminary damage assessment of cultural properties in the Gaza Strip using satellite imagery due to the impossibility of on-the-ground assessments. As of 27 May 2025, UNESCO has verified damage to 110 sites since 7 October 2023 – 13 religious sites, 77 buildings of historical and/or artistic interest, 3 depositories of movable cultural property, 9 monuments, 1 museum and 7 archeological sites.</t>
  </si>
  <si>
    <t>May 28, 2025</t>
  </si>
  <si>
    <t>May 27, 2025</t>
  </si>
  <si>
    <t>UNESCO</t>
  </si>
  <si>
    <t>Destruction of Cultural Sites, Buildings, Mosques, Cemetery, Hospital</t>
  </si>
  <si>
    <t>"UNESCO (United Nations Educational, Scientific and Cultural Organization)"</t>
  </si>
  <si>
    <t>https://www.nytimes.com/2024/05/21/world/middleeast/gaza-aid-pier-food.html</t>
  </si>
  <si>
    <t>No Gaza Aid Delivered Through U.S.-Built Pier Has Been Distributed, Pentagon Says</t>
  </si>
  <si>
    <t>The Pentagon announced that none of the aid delivered through a U.S.-built temporary pier in Gaza has been distributed to Palestinians in its first five days of operation (a total of 569 metric tons had arrived).</t>
  </si>
  <si>
    <t>Gaya Gupta</t>
  </si>
  <si>
    <t>Gaza - US Pier</t>
  </si>
  <si>
    <t>Humanitarian Aid, Food, Looting, US-Israeli Relations, Gaza US Pier</t>
  </si>
  <si>
    <t>Israeli Government, United States, World Food Programme</t>
  </si>
  <si>
    <t>https://www.theguardian.com/world/2024/mar/31/israel-plan-un-dismantle-palestinian-relief-agency-unwra</t>
  </si>
  <si>
    <t>Israel lodges proposal with UN for dismantling of Palestinian relief agency</t>
  </si>
  <si>
    <t>Israel has proposed to the UN the dismantling of UNRWA, the UN relief agency dedicating to assisting Palestinian refugees, and the transfer of its staff to a new organization for food distribution in Gaza amidst ongoing humanitarian concerns.</t>
  </si>
  <si>
    <t>Julian Borger, Ruth Michaelson</t>
  </si>
  <si>
    <t>Gaza Strip, West Bank, East Jerusalem</t>
  </si>
  <si>
    <t>Humanitarian Aid, Children, Education, Food, Medicine, Campaign against UNRWA, Refugees</t>
  </si>
  <si>
    <t>IDF (Israel Defense Forces), UNRWA (The UN Relief and Works Agency for Palestine Refugees), UN (United Nations), United States</t>
  </si>
  <si>
    <t>Israel, Jerusalem, Gaza Strip, East Jerusalem</t>
  </si>
  <si>
    <t>Herzi Halevi, António Guterres</t>
  </si>
  <si>
    <t>https://www.nytimes.com/2024/06/09/world/middleeast/gaza-hostage-rescues-israel.html</t>
  </si>
  <si>
    <t>The Other War: How Israel Scours Gaza for Clues About the Hostages</t>
  </si>
  <si>
    <t>Following the IDF rescue operation of four Israeli hostages in a ferocious assault which resulted in the deaths of many civilians, the article examines Israel's ambitious intelligence operations in Gaza aimed at rescuing hostages held by Hamas amidst ongoing military actions. But it is acknowledged that only diplomatic activity can bring all the hostages home safely.</t>
  </si>
  <si>
    <t>June 09, 2024</t>
  </si>
  <si>
    <t>Julian E. Barnes, Ronen Bergman, Eric Schmitt, Adam Entous</t>
  </si>
  <si>
    <t>Hostages, Hostage Rescue Operation, Humanitarian Crisis, Civilians, Prisoners, Abuse, Talkbacks, Destruction, Hostage Deal, Terrorism</t>
  </si>
  <si>
    <t>Hamas, United States, IDF (Israel Defense Forces), Islamic Jihad</t>
  </si>
  <si>
    <t>Khan Younis, Rafah, Gaza City</t>
  </si>
  <si>
    <t>https://www.nytimes.com/2024/10/23/world/middleeast/gaza-displaced-winter-tents.html</t>
  </si>
  <si>
    <t>In Gaza Camps Where Tents Are Now a Luxury, a Harsh Winter Looms</t>
  </si>
  <si>
    <t>Displaced Gazans are facing a harsh winter with limited access to basic necessities like tents and warm clothing due to the Israeli siege of late 2024. The article refers to prices (tents sell for hundreds of dollars; a tarp costs $200).</t>
  </si>
  <si>
    <t>Hiba Yazbek</t>
  </si>
  <si>
    <t>Humanitarian Crisis, Forced Displacement, Civilians, Economy, Winter conditions, Palestinian Testimony, Humanitarian Aid</t>
  </si>
  <si>
    <t>UNRWA (The UN Relief and Works Agency for Palestine Refugees), Norwegian Refugee Council</t>
  </si>
  <si>
    <t>Rafah, Al Mawasi, Gaza Strip, Central Gaza Strip</t>
  </si>
  <si>
    <t>https://www.nytimes.com/2024/12/02/opinion/gaza-hospital-kamal-adwan.html</t>
  </si>
  <si>
    <t>I'm One of the Last Doctors in This Hospital in Gaza. I'm Begging the World for Help.</t>
  </si>
  <si>
    <t>Dr. Hussam Abu Safyia, a pediatrician and director of Kamal Adwan Hospital in northern Gaza, describes the daily situation at the hospital between October 30 and November 6. His reports include attacks on the hospital and its staff, the dwindling and insufficient supplies, and his own thoughts and concerns.</t>
  </si>
  <si>
    <t>October 30, 2023</t>
  </si>
  <si>
    <t>November 6, 2023</t>
  </si>
  <si>
    <t>Dr. Hussam Abu Safiya</t>
  </si>
  <si>
    <t>Public Health, Hospital, Humanitarian Crisis, Humanitarian Aid, Death, Healthcare Workers, Children, Civilians, Air Strike, Palestinian Testimony</t>
  </si>
  <si>
    <t>https://www.jdn.co.il/news/2157725/</t>
  </si>
  <si>
    <t>Israel is currently transferring orphans from Gaza to the Palestinian Authority without getting anything in return</t>
  </si>
  <si>
    <t>Israel is currently sending orphans from Gaza to the Palestinian Authority without any getting anything in return from Hamas and without the approval of the Israeli cabinet, while Palestinians are holding Israeli hostages.</t>
  </si>
  <si>
    <t>JDN editorial</t>
  </si>
  <si>
    <t>Bethlehem</t>
  </si>
  <si>
    <t>Children, Humanitarian Aid, Humanitarian Crisis, Israeli Society, Hostages</t>
  </si>
  <si>
    <t>Israeli Government, IDF (Israel Defense Forces), Palestinian Authority</t>
  </si>
  <si>
    <t>Gaza Strip, Israel, West Bank</t>
  </si>
  <si>
    <t>Amit Segal, Bezalel Smotritch</t>
  </si>
  <si>
    <t>https://twitter.com/RedRevDanny/status/1779844167226609787</t>
  </si>
  <si>
    <t>Israeli police arrest elderly protesters against the government</t>
  </si>
  <si>
    <t>Danny Gallant shares the story of a protester who describes how Israeli police intercepting elderly protesters at the home of one of them, arresting some. The post includes his opinions on the Kahanist and anti-democratic police force. The next tweet includes a video of the incident.</t>
  </si>
  <si>
    <t>Danny Gallant (@RedRevDanny)</t>
  </si>
  <si>
    <t>Central Israel</t>
  </si>
  <si>
    <t>Abuse, Protest (Israel), Israeli Society, Israeli Political Right</t>
  </si>
  <si>
    <t>Israeli Police, Israeli Government</t>
  </si>
  <si>
    <t>https://www.haaretz.com/israel-news/2024-06-13/ty-article/.premium/israel-finances-west-bank-outpost-owned-by-settlers-placed-under-u-s-u-k-eu-sanctions/00000190-1105-db28-a995-559d87720000</t>
  </si>
  <si>
    <t>Israel Finances West Bank Outpost Owned by Settler Placed Under U.S., U.K., EU Sanctions</t>
  </si>
  <si>
    <t>Israel's Agriculture Ministry funded a West Bank outpost owned by a settler who is under U.S., U.K. and EU sanctions, and who the state itself had administratively barred from the West Bank. The Agricultural Ministry also provided funding to other illegal outposts, including those operated by other U.S. and U.K. sanctioned settlers. All three outposts and their operators have been tied to violence against Palestinians and/or activitsts. The Ministry also provided volunteers sfor agricultural work in West Bank settlements.</t>
  </si>
  <si>
    <t>Settlements, Economy, Settlers Violence, Palestinian Citizens of Israel, Occupied Territories, Agriculture, International Sanctions, Israeli Far Right, Religious Right</t>
  </si>
  <si>
    <t>https://www.politico.eu/article/ron-prosor-israel-evoy-hamas-animals-must-be-destroyed</t>
  </si>
  <si>
    <t>Israeli envoy: Hamas ‘animals’ must be destroyed</t>
  </si>
  <si>
    <t>Israel’s Ambassador to Germany Ron Prosor emphasizes the need for the Western world to support Israel against Hamas, labeling the group as 'bloodthirsty animals' following Hamas deadly attack on October 7. Prosor stated that differentiating between Hammas and civilians was difficult given that the people who carried out the October 7 attacks were the people in Gaza.</t>
  </si>
  <si>
    <t>POLITICO</t>
  </si>
  <si>
    <t>Claudia Chiappa, Anne McElvoy</t>
  </si>
  <si>
    <t>Berlin</t>
  </si>
  <si>
    <t>Incitement to Violence, Terrorism, Dehumanization, Civilians</t>
  </si>
  <si>
    <t>Israeli Foreign Ministry, Hamas</t>
  </si>
  <si>
    <t>https://www.maariv.co.il/news/israel/Article-1094819</t>
  </si>
  <si>
    <t>Israeli academia concerned over antisemitism abroad: "Freedom of expression does not permit violence"</t>
  </si>
  <si>
    <t>The Association of University Heads in Israel issued a letter expressing deep concern over rising antisemitism and violence on US campuses amid pro-Palestinian protests.</t>
  </si>
  <si>
    <t>Maariv</t>
  </si>
  <si>
    <t>Protest (International), Academia, Antisemitism, Campus Protests, Violence</t>
  </si>
  <si>
    <t>https://english.wafa.ps/Pages/Details/150633</t>
  </si>
  <si>
    <t>Ten civilians killed and others injured in Israeli airstrikes on school housing displaced persons in north of the Strip</t>
  </si>
  <si>
    <t>Israeli artillery shelling of a school housing displaced persons in Jabaliya resulted in the deaths of at least 10 civilians and injuries to 30 others.</t>
  </si>
  <si>
    <t>Wafa News Agency</t>
  </si>
  <si>
    <t>Y.S.</t>
  </si>
  <si>
    <t>Jabaliya Refugee Camp</t>
  </si>
  <si>
    <t>Civilians, Humanitarian Crisis, Starvation, Bombing, Injury, Schools</t>
  </si>
  <si>
    <t>IDF (Israel Defense Forces), UNRWA (The UN Relief and Works Agency for Palestine Refugees)</t>
  </si>
  <si>
    <t>Jabaliya, Ramallah</t>
  </si>
  <si>
    <t>https://www.ynet.co.il/news/article/ryxikl7z6</t>
  </si>
  <si>
    <t>Defence Minister Galant to troops at Gaza Border: I'm releasing all restraints, we are moving to a full offensive</t>
  </si>
  <si>
    <t>Israeli Defense Minister Yoav Galant visited the Gaza border and spoke with soldiers, announcing a shift to full offensive operations against Hamas.</t>
  </si>
  <si>
    <t>Yoav Zeiton</t>
  </si>
  <si>
    <t>Outside Gaza Strip</t>
  </si>
  <si>
    <t>Violence, Incitement to Genocide, Ground Operation</t>
  </si>
  <si>
    <t>https://www.democracynow.org/2024/5/30/headlines/israel_seizes_entire_gaza_egypt_border_continues_deadly_invasion_of_rafah</t>
  </si>
  <si>
    <t>Israel Seizes Entire Gaza-Egypt Border, Continues Deadly Invasion of Rafah</t>
  </si>
  <si>
    <t>Israeli forces have seized control of Gaza’s entire border with Egypt, intensifying their attack on Rafah, resulting in casualties including paramedics.</t>
  </si>
  <si>
    <t>Philadelphi Corridor</t>
  </si>
  <si>
    <t>Air Strike, Civilians, Healthcare Workers, Ground Operation, US-Israeli Relations</t>
  </si>
  <si>
    <t>https://www.haaretz.com/israel-news/2023-11-12/ty-article/israeli-security-cabinet-member-calls-north-gaza-evacuation-nakba-2023/0000018b-c2be-dea2-a9bf-d2be7b670000</t>
  </si>
  <si>
    <t>We're Rolling Out Nakba 2023,' Israeli Minister Says on Northern Gaza Strip Evacuation</t>
  </si>
  <si>
    <t>Israeli Minister Avi Dichter calls the evacuation of northern Gaza Strip residents "the Gaza Nakba" and "Nakba 2023".</t>
  </si>
  <si>
    <t>November 12, 2023</t>
  </si>
  <si>
    <t>November 11, 2023</t>
  </si>
  <si>
    <t>Michael Hauser Tov</t>
  </si>
  <si>
    <t>Ethnic Cleansing, Nakba, Forced Displacement, Ground Operation, Israeli Political Right</t>
  </si>
  <si>
    <t>North Gaza, Gaza City</t>
  </si>
  <si>
    <t>https://www.theguardian.com/world/article/2024/may/21/israeli-soldiers-and-police-tipping-off-groups-that-attack-gaza-aid-trucks</t>
  </si>
  <si>
    <t>Israeli soldiers and police tipping off groups that attack Gaza aid trucks</t>
  </si>
  <si>
    <t>Members of the Israeli security forces provide information about the location of aid trucks heading to Gaza to settler groups who attack, block and vandalize the trucks to prevent aid from getting into Gaza.</t>
  </si>
  <si>
    <t>Lorenzo Tondo, Quique Kierszenbaum</t>
  </si>
  <si>
    <t>Humanitarian Aid, Blocking Aid, Settlers Violence, Vandalism, Burning, Israeli Far Right, Looting, Food, Starvation, Israeli Society</t>
  </si>
  <si>
    <t>IDF (Israel Defense Forces), Tsav 9, Israeli Police, Hamas, COGAT (The Coordination of the Israeli Government Activities in the Territories)</t>
  </si>
  <si>
    <t>https://msf.lu/en/articles/msf-alarmee-par-la-detention-du-dr-obeid-par-les-forces-israeliennes</t>
  </si>
  <si>
    <t>MSF alarmed by detention of colleague Dr Mohammed Obeid by Israeli forces</t>
  </si>
  <si>
    <t>Médecins Sans Frontières expresses alarm over the detention of Dr Mohammed Obeid, an orthopedic surgeon, by Israeli forces during a military operation in Kamal Adwan hospital.</t>
  </si>
  <si>
    <t>Public Health, Hospital, Humanitarian Crisis, Ground Operation, Violence, Healthcare Workers</t>
  </si>
  <si>
    <t>https://www.columbiaspectator.com/opinion/2024/04/10/jewish-faculty-reject-the-weaponization-of-antisemitism/</t>
  </si>
  <si>
    <t>Jewish faculty at Columbia University reject the weaponization of antisemitism on campus</t>
  </si>
  <si>
    <t>An open letter by Jewish faculty members to the President of Columbia University in which they oppose to the misuse of antisemitism in political discourse as a weapon against "wokesim" and supression of free speech, describing it as a "new McCarthyism".</t>
  </si>
  <si>
    <t>April 10, 2024</t>
  </si>
  <si>
    <t>The Columbia Daily Spectator</t>
  </si>
  <si>
    <t>Columbia Faculty Members</t>
  </si>
  <si>
    <t>Antisemitism, Academia, Limiting Free Speech, Public Debate</t>
  </si>
  <si>
    <t>Columbia University</t>
  </si>
  <si>
    <t>https://www.nytimes.com/2024/05/31/us/politics/biden-israel-remarks-speech.html</t>
  </si>
  <si>
    <t>Biden Calls for End to Gaza War, Endorsing Israeli Cease-Fire Proposal</t>
  </si>
  <si>
    <t>U.S. President Biden calls for a permanent cease-fire in Gaza and endorses an Israeli proposal to end the conflict and secure the release of hostages. Biden's true agenda in making the call, according to the report, was to make elements of the proposal public and exert public pressure on both Israel and Hamas to agree to its conditions.</t>
  </si>
  <si>
    <t>Zolan Kano-Yongs, David E. Sanger</t>
  </si>
  <si>
    <t>Washington D.C.</t>
  </si>
  <si>
    <t>Ceasefire, Terrorism, Hostage Deal, Hostages, US-Israeli Relations, Official Statement, Israeli Far Right, Israeli Political Right, American Society</t>
  </si>
  <si>
    <t>Hamas, Israeli Government, United States, Houthis (Ansar Allah)</t>
  </si>
  <si>
    <t>USA, Gaza Strip, Rafah</t>
  </si>
  <si>
    <t>Joe Biden, Benjamin Netanyahu, Itamar Ben-Gvir, Yahya Al-Sinwar</t>
  </si>
  <si>
    <t>https://www.nytimes.com/2024/01/29/us/politics/us-troops-drone-attack-jordan-iran.html</t>
  </si>
  <si>
    <t>3 American Soldiers Killed in Drone Strike in Jordan, U.S. Says</t>
  </si>
  <si>
    <t>The U.S. government has attributed the deaths of three American soldiers in Jordan to an Iranian-backed militia following a drone attack, marking the first fatalities from hostile fire amid escalating tensions in the Middle East.</t>
  </si>
  <si>
    <t>Eric Schmitt</t>
  </si>
  <si>
    <t>Rukban, Jordan</t>
  </si>
  <si>
    <t>Death, Drone / Quadcopter, Terrorism</t>
  </si>
  <si>
    <t>Iran, United States, Hezbollah, IDF (Israel Defense Forces)</t>
  </si>
  <si>
    <t>USA, Jordan</t>
  </si>
  <si>
    <t>https://twitter.com/i/broadcasts/1MYGNorgjgLJw</t>
  </si>
  <si>
    <t>The IDF shares some later disproven evidence of Hamas atrocities</t>
  </si>
  <si>
    <t>IDF spokesperson shares evidence of beheaded babies on October 7th, later this evidence is proven to be unverifiable.</t>
  </si>
  <si>
    <t>IDF (@IDF)</t>
  </si>
  <si>
    <t>Terrorism, Propaganda, Official Statement, Dehumanization, Murder, Palestinian Militants, Burning, Air Strike, Bombing, Ground Operation, Disturbing Content, Misleading/Partially False</t>
  </si>
  <si>
    <t>IDF (Israel Defense Forces), Hamas, Israeli Government, Hezbollah</t>
  </si>
  <si>
    <t>https://www.middleeastmonitor.com/20240122-israel-army-displays-artefacts-stolen-from-gaza-in-the-knesset/</t>
  </si>
  <si>
    <t>Israel: army displays artefacts stolen from Gaza in the Knesset</t>
  </si>
  <si>
    <t>The Israel Antiquities Authority (IAA) took artefacts from a warehouse in Gaza and then allegedly placed them in the Knesset. While the deputy of the IAA did visit Gaza to examine antiquities found there, the alleged placement of artifacts in the Knesset is not true.</t>
  </si>
  <si>
    <t>Archaeological findings, War Crimes, Looting, Misleading/Partially False</t>
  </si>
  <si>
    <t>IDF (Israel Defense Forces), UN (United Nations), Israel Antiquities Authority</t>
  </si>
  <si>
    <t>https://www.bbc.com/news/articles/cl55gzp7vn9o</t>
  </si>
  <si>
    <t>Israel, Hamas accused of war crimes in new UN report</t>
  </si>
  <si>
    <t>A new report submitted to the UN Human Rights Council by the Independent International Commission of Inquiry on the Occupied Palestinian Territory, including East Jerusalem, and Israel reviews the conduct of Israeli and Hamas forces from October 7, 2023 through December 2023, and accuses Israel and Hamas of committing war crimes and human rights abuses during the period.</t>
  </si>
  <si>
    <t>Matt Murphy</t>
  </si>
  <si>
    <t>https://www.un.org/unispal/wp-content/uploads/2024/06/a-hrc-56-26-auv.pdf</t>
  </si>
  <si>
    <t>War Crimes, Crimes Against Humanity, Collective Punishment, Sexual Violence, Civilians, Torture</t>
  </si>
  <si>
    <t>https://twitter.com/ytirawi/status/1785075803870404644</t>
  </si>
  <si>
    <t>Defence and Finance Minister Betzalel Smotrich calls to destroy Rafah, Nusseirat and Deir al-Balah and wipe out the memory of Amalek</t>
  </si>
  <si>
    <t>Defence and Finance Minister Betzalel Smotrich sits in a religious feast with other politicians around him, saying “Moments before redemption, we must not hesitate. We must destroy Rafah, Nusseirat, &amp; Dir al-Balah 'wipe out the memory of Amalek! …There's no half- measure. Rafah, Dir al-Balah Nusseirat absolute destruction!”.</t>
  </si>
  <si>
    <t>Incitement to Genocide, Ethnic Cleansing, Dehumanization, Amalek</t>
  </si>
  <si>
    <t>Nuseirat Refugee Camp, Deir al Balah, Rafah</t>
  </si>
  <si>
    <t>Bezalel Smotritch, Almog Cohen, Zvi Sukkot</t>
  </si>
  <si>
    <t>https://twitter.com/ytirawi/status/1762185882994425961</t>
  </si>
  <si>
    <t>An IDF soldiers posts: "Thou shalt blot out the remembrance of Amalek" with images from the Gaza Strip</t>
  </si>
  <si>
    <t>A Facebook post by an IDF soldier, posted on the 25th of February, 2024, including five photos, showing a soldier in full combat gear and a gun in Gaza, demolished buildings and smoke coming out of buildings, and a hand holding a hand grenade. The caption is a quote from the bible: "...thou shalt blot out the remembrance of Amalek from under heaven”.</t>
  </si>
  <si>
    <t>Incitement to Genocide, Domicide, Bombing, Social Media, Israeli Soldier Photos, Amalek</t>
  </si>
  <si>
    <t>https://x.com/ytirawi/status/1791770589985640847</t>
  </si>
  <si>
    <t>An IDF soldier breaking many plates at the entrance of a house (thread)</t>
  </si>
  <si>
    <t>An IDF soldier, standing in the entrance of a house, taking piles of chinaware from inside and breaking each one, then takes more. The caption says: "You have too much china at your kitchen. I was happy to help you residents of Khan Younis (as much as I had time to). Go sue me at the Hague you bastards". The rest of the thread shows more content by him, including Amalek calls, destruction of buildings, indiscriminate shooting, looting, and more vandalism.</t>
  </si>
  <si>
    <t>Vandalism, Humiliation, Israeli Soldier Movies, Dehumanization, Destruction, Looting, Mockery, Women's clothing (inc. lingerie), Amalek</t>
  </si>
  <si>
    <t>https://x.com/ytirawi/status/1792891418370781395</t>
  </si>
  <si>
    <t>An IDF officer calls to destroy Gaza on Facebook [two other voices in thread - a journalist and another officer]</t>
  </si>
  <si>
    <t>A picture of an IDF Major in full combat gear near his Facebook post from 10 Oct 2023: “Gaza must be destroyed. All of it. Every building, every home, every school, and also Shifa Hospital. This isn't said by Ben Gvir. This was said clearly by Giora Eiland a moment ago. Giving Gaza residents a few hours to leave to Egypt &amp; immediately start work. It doesn't take much time!! With intensive Air Force activity, it's a matter of a few days. There is no other way”. The rest of the thread includes one journalist calling to kill terrorists (as opposed to capturing them) and a third speaker calling to "erase the memory of Amalek"</t>
  </si>
  <si>
    <t>Incitement to Genocide, Social Media, Collective Punishment, Ethnic Cleansing, Israeli Soldier Photos, Opinion, Amalek</t>
  </si>
  <si>
    <t>https://euromedmonitor.org/en/article/6202</t>
  </si>
  <si>
    <t>Israeli tanks have deliberately run over dozens of Palestinian civilians alive</t>
  </si>
  <si>
    <t>Euro-Med Human Rights Monitor denounces the Israeli army's deliberate killings of Palestinian civilians by running them over with military vehicles, highlighting specific incidents and the broader implications of these actions.</t>
  </si>
  <si>
    <t>March 04,2024</t>
  </si>
  <si>
    <t>December 16, 2023</t>
  </si>
  <si>
    <t>Civilians, War Crimes, Dehumanization, Tanks, Running Over</t>
  </si>
  <si>
    <t>Gaza Strip, Gaza City, Kamal Adwan Hospital</t>
  </si>
  <si>
    <t>https://www.inss.org.il/he/publication/swords-of-iron-june/</t>
  </si>
  <si>
    <t>Findings of the "Iron Swords" Survey - June 2024</t>
  </si>
  <si>
    <t>The Institute for National Security Studies conducted a public opinion survey in June 2024 to assess national resilience and public trust in the wake of the Iron Swords War. Among the survey's findings are strong trust and confidence among Israeli Jews in the IDF, and high levels of concern for Israeli society's future and their own personal safety, among Palestinian Citizens in Israel. Palestinian citizens also overwhelmingly believe that military pressure in Gaza risks the lives of Israeli hostages there, whereas Israeli Jews believe that only military pressure will release the hostages at almost identical rates.</t>
  </si>
  <si>
    <t>June 01, 2024</t>
  </si>
  <si>
    <t>Moran Deitch, Rebecca Meller, Idit Shafran Gittleman, Meir Elran</t>
  </si>
  <si>
    <t>https://www.inss.org.il/he/wp-content/uploads/sites/2/2024/07/%D7%A1%D7%A7%D7%A8-18_%D7%A0%D7%99%D7%AA%D7%95%D7%97-%D7%9C%D7%A4%D7%99-%D7%9E%D7%A9%D7%AA%D7%A0%D7%99-%D7%A8%D7%A7%D7%A2.xlsx</t>
  </si>
  <si>
    <t>Public Opinion, Quantitative Data, Palestinian Citizens of Israel, Poll, Hostages, Public Debate</t>
  </si>
  <si>
    <t>IDF (Israel Defense Forces), Israeli Government, Iran, Hamas</t>
  </si>
  <si>
    <t>Israel, Lebanon, Iran, Gaza Strip</t>
  </si>
  <si>
    <t>https://www.theguardian.com/world/2024/apr/24/not-like-other-passovers-hundreds-of-jewish-demonstrators-arrested-after-new-york-protest-seder</t>
  </si>
  <si>
    <t>‘Not like other Passovers’: hundreds of Jewish demonstrators arrested after New York protest seder</t>
  </si>
  <si>
    <t>About 300 Jewish anti-war demonstrators were arrested during a Passover seder protest in New York, calling for a ceasefire and an end to US military aid to Israel.</t>
  </si>
  <si>
    <t>April 23, 2024</t>
  </si>
  <si>
    <t>Nina Lakhani</t>
  </si>
  <si>
    <t>Protest (International), Ceasefire, US Military Aid, US-Israeli Relations</t>
  </si>
  <si>
    <t>United States, JVP (Jewish Voice for Peace)</t>
  </si>
  <si>
    <t>https://news.sky.com/story/israel-completes-construction-of-road-which-cuts-across-gaza-strip-13089556</t>
  </si>
  <si>
    <t>Israel completes construction of road which bisects Gaza Strip [later: the Netzarim Corridor]</t>
  </si>
  <si>
    <t>Israel has completed the construction of a 7km-long road cutting across the Gaza Strip, connecting the Israeli border to the Mediterranean Sea, amidst significant destruction in the area. The road is called Highway 749.</t>
  </si>
  <si>
    <t>March 06, 2024</t>
  </si>
  <si>
    <t>Sam Doak</t>
  </si>
  <si>
    <t>Demolition, Destruction, Hospital</t>
  </si>
  <si>
    <t>IDF (Israel Defense Forces), United States</t>
  </si>
  <si>
    <t>Gaza Strip, Turkish-Palestinian Friendship Hospital, Netzarim Corridor</t>
  </si>
  <si>
    <t>https://www.inss.org.il/he/publication/august-2024/</t>
  </si>
  <si>
    <t>Iron Swords Poll - Updated Situation Report (August 2024)</t>
  </si>
  <si>
    <t>The Institute for National Security Studies' August 2024 public opinion survey regarding national resilience and public trust. The survey found relatively high levels of trust among Israelis and also found that some two thirds of Jewish respondents thought that IDF soldiers who abused Palestinians should receive disciplinary action rather than have criminal charges pressed against them. Almost half of Jewish Israelis thought that Israel should not follow international law.</t>
  </si>
  <si>
    <t>August 18, 2024</t>
  </si>
  <si>
    <t>August 07, 2024</t>
  </si>
  <si>
    <t>https://www.inss.org.il/he/wp-content/uploads/sites/2/2024/08/%D7%93%D7%90%D7%98%D7%94-%D7%9E%D7%90%D7%95%D7%97%D7%93-%D7%99%D7%94%D7%95%D7%93%D7%99%D7%9D-%D7%A2%D7%A8%D7%91%D7%99%D7%9D-%D7%9E%D7%A2%D7%95%D7%93%D7%9B%D7%9F-.xlsx</t>
  </si>
  <si>
    <t>Public Opinion, Analysis, Official Report, Quantitative Data, Poll, Palestinian Citizens of Israel, Hostages, US-Israeli Relations</t>
  </si>
  <si>
    <t>Israeli Government, IDF (Israel Defense Forces), United States, Lebanon, Hamas</t>
  </si>
  <si>
    <t>Benjamin Netanyahu, Herzi Halevi, Ismail Haniyeh</t>
  </si>
  <si>
    <t>https://www.centcom.mil/MEDIA/PRESS-RELEASES/Press-Release-View/Article/3787939/high-sea-states-impact-army-vessels/</t>
  </si>
  <si>
    <t>High Sea states impact Army Vessels</t>
  </si>
  <si>
    <t>Four U.S. Army vessels supporting humanitarian aid in Gaza were affected by heavy sea states, leading to recovery efforts with assistance from the Israeli Navy.</t>
  </si>
  <si>
    <t>U.S. Central Command</t>
  </si>
  <si>
    <t>US Central Command</t>
  </si>
  <si>
    <t>Mediterranean Coast</t>
  </si>
  <si>
    <t>Press Release</t>
  </si>
  <si>
    <t>Humanitarian Aid</t>
  </si>
  <si>
    <t>https://www.maariv.co.il/news/military/Article-1085677</t>
  </si>
  <si>
    <t>Former IDF spokesman reveals what is being concealed from the Israeli public during the Gaza war</t>
  </si>
  <si>
    <t>Former IDF spokesperson Ronen Manelis states that there will be no so-called total victory over Hamas in Gaza as part of the current war. This would take a much longer and more intense military effort.</t>
  </si>
  <si>
    <t>Ma'ariv Online</t>
  </si>
  <si>
    <t>https://x.com/kann_news/status/1770812784973873438</t>
  </si>
  <si>
    <t>Hostages, Public Opinion, Israeli Society, Ground Operation</t>
  </si>
  <si>
    <t>Israeli Government, IDF (Israel Defense Forces), Hamas</t>
  </si>
  <si>
    <t>https://www.cbsnews.com/losangeles/news/police-clear-out-pro-palestinian-encampment-at-ucla/</t>
  </si>
  <si>
    <t>Police issue unlawful assembly order at pro-Palestinian encampment at UCLA</t>
  </si>
  <si>
    <t>Police issued an unlawful assembly order to clear out a pro-Palestinian encampment at UCLA. The police order followed a night of violence, in which counter-protesters launched smoke bombs, fireworks and cones at the pro-Palestinian encampment as demonstrators tried to protect themselves with a makeshift wooden barricade and umbrellas.</t>
  </si>
  <si>
    <t>May 02, 2024</t>
  </si>
  <si>
    <t>CBS</t>
  </si>
  <si>
    <t>Matthew Rodriguez</t>
  </si>
  <si>
    <t>UCLA Los Angeles</t>
  </si>
  <si>
    <t>https://www.washingtonpost.com/politics/2024/02/08/biden-israel-gaza-speech-netanyahu/</t>
  </si>
  <si>
    <t>Biden says Israel’s military conduct in Gaza has been ‘over the top’</t>
  </si>
  <si>
    <t>President Biden criticized Israel's military actions in Gaza as excessive and expressed concern for the humanitarian situation while discussing negotiations for a hostage release.</t>
  </si>
  <si>
    <t>February 08, 2024</t>
  </si>
  <si>
    <t>Yasmeen Abutaleb</t>
  </si>
  <si>
    <t>Humanitarian Crisis, Civilians, Hostages, War Crimes, Ceasefire, Air Strike, Humanitarian Aid, Hostage Deal</t>
  </si>
  <si>
    <t>IDF (Israel Defense Forces), Egypt, United States, Gaza Health Ministry</t>
  </si>
  <si>
    <t>Gaza City, USA, Rafah, Rafah Crossing</t>
  </si>
  <si>
    <t>Joe Biden, Benjamin Netanyahu, Antony Blinken</t>
  </si>
  <si>
    <t>https://www.theguardian.com/us-news/live/2024/may/20/biden-trump-democrats-immigration-latest</t>
  </si>
  <si>
    <t>‘What’s happening is not genocide’: Biden criticizes ICC for seeking arrest warrants for Israeli officials – as it happened</t>
  </si>
  <si>
    <t>President Biden criticizes the ICC's request for arrest warrants against Israeli officials while reaffirming support for Israel and addressing the humanitarian situation in Gaza.</t>
  </si>
  <si>
    <t>Gabrielle Canon, Chris Stein</t>
  </si>
  <si>
    <t>Humanitarian Crisis, Genocide, Civilians, Two State Solution, US Military Aid</t>
  </si>
  <si>
    <t>Hamas, United States, ICC (International Criminal Court), Israeli Government</t>
  </si>
  <si>
    <t>https://www.npr.org/2023/10/19/1206997120/biden-israel-politics-democrat-republican-middle-east-hamas</t>
  </si>
  <si>
    <t>Biden walks a fine line on support for Israel</t>
  </si>
  <si>
    <t>President Biden delivers a speech balancing support for Israel with empathy for Palestinians amid ongoing conflict in the Middle East.</t>
  </si>
  <si>
    <t>October 20, 2023</t>
  </si>
  <si>
    <t>October 18, 2023</t>
  </si>
  <si>
    <t>Domenico Montanaro</t>
  </si>
  <si>
    <t>Terrorism, Humanitarian Crisis, Civilians, US-Israeli Relations, Hospital</t>
  </si>
  <si>
    <t>Joe Biden, Zvi Yehezkeli</t>
  </si>
  <si>
    <t>https://www.npr.org/2023/10/25/1208577490/biden-says-hes-worried-about-civilian-deaths-in-gaza-but-questions-death-toll-st</t>
  </si>
  <si>
    <t>Biden says he's worried about civilian deaths in Gaza but questions death toll stats</t>
  </si>
  <si>
    <t>President Biden expressed concern over civilian deaths in Gaza while questioning the accuracy of reported death toll figures, without providing explanation for his distrust of the data. He also warned Israeli settlers against attacks on Palestinians in the West Bank.</t>
  </si>
  <si>
    <t>October 25, 2023</t>
  </si>
  <si>
    <t>Deepa Shivaram</t>
  </si>
  <si>
    <t>Civilians, Humanitarian Aid, Settlers Violence, Doubting the Gaza Death Toll, Ground Operation, Hostages, US-Israeli Relations, Two State Solution</t>
  </si>
  <si>
    <t>Gaza Strip, West Bank, USA</t>
  </si>
  <si>
    <t>https://www.cbsnews.com/news/biden-schumer-speech-netanyahu-gaza/</t>
  </si>
  <si>
    <t>Biden praises Schumer's "good speech" criticizing Netanyahu</t>
  </si>
  <si>
    <t>President Biden praised Senate Majority Leader Chuck Schumer's speech criticizing Israeli Prime Minister Benjamin Netanyahu. In his speech, Schumer, the highest-ranking Jewish elected official in the U.S,. said Netanyahu "lost his way by allowing his political survival to take the precedence over the best interests of Israel" and that "[Netanyahu] has been too willing to tolerate the civilian toll in Gaza, which is pushing support for Israel worldwide to historic lows".</t>
  </si>
  <si>
    <t>Caitlin Yilek</t>
  </si>
  <si>
    <t>Humanitarian Crisis, Civilians, Gaza Death Toll, Public Opinion, US-Israeli Relations, Accountability</t>
  </si>
  <si>
    <t>United States, Hamas, Israeli Government</t>
  </si>
  <si>
    <t>https://www.lalibre.be/international/moyen-orient/2023/10/23/israel-a-concentre-sa-campagne-publicitaire-youtube-anti-hamas-sur-la-france-de-la-propagande-4MECZ54CHFFWRPWBVU5BVPIB6U/</t>
  </si>
  <si>
    <t>Israel has focused its anti-Hamas YouTube campaign on France</t>
  </si>
  <si>
    <t>Immediately following the Oct. 7 attack, Israel has focused its anti-Hamas YouTube advertising campaign on France. According to a cited researcher, Israel bought ads for almost $7.1 million, roughly half of it ($3.8M) was pent in France.</t>
  </si>
  <si>
    <t>October 23, 2023</t>
  </si>
  <si>
    <t>La Libre</t>
  </si>
  <si>
    <t>Editorial</t>
  </si>
  <si>
    <t>French</t>
  </si>
  <si>
    <t>Propaganda, Media, Social Media, October 7th 2023</t>
  </si>
  <si>
    <t>Israeli Government, Hamas, Israeli Foreign Ministry</t>
  </si>
  <si>
    <t>https://www.nbcnews.com/politics/white-house/biden-announces-us-will-airdrop-food-aid-gaza-rcna141436</t>
  </si>
  <si>
    <t>Biden announces U.S. will airdrop food aid into Gaza as famine concerns grow</t>
  </si>
  <si>
    <t>President Joe Biden announced that the U.S. will airdrop food aid into Gaza . The White House is growing increasingly concerned about possible famine for a sizeable portion of Gaza’s population.The president reiterated that the U.S. is trying to push for an immediate cease-fire between Hamas and Israel to allow more aid into Gaza.</t>
  </si>
  <si>
    <t>Rebecca Shabad</t>
  </si>
  <si>
    <t>Food, Humanitarian Aid, Humanitarian Crisis, Civilians, Starvation, Ceasefire, Airdrops, Indiscriminate Shooting, US-Israeli Relations</t>
  </si>
  <si>
    <t>USA, Gaza Strip</t>
  </si>
  <si>
    <t>https://apnews.com/article/biden-revitalized-palestinian-authority-israel-hamas-war-bf8defe81079d6e6371f228157f9be10</t>
  </si>
  <si>
    <t>Biden says 'revitalized Palestinian Authority' should eventually govern Gaza and the West Bank</t>
  </si>
  <si>
    <t>President Joe Biden emphasizes the need for a revitalized Palestinian Authority to govern Gaza and the West Bank as part of a two-state solution. He said that a temporary halt to the fighting wasn’t a real possibility and wouldn’t ultimately advance greater U.S. objectives. He aslo stressed that extremist violence against Palestinians in the West Bank must stop, and that those committing the violence must be held accountable.</t>
  </si>
  <si>
    <t>Will Weissert</t>
  </si>
  <si>
    <t>https://www.washingtonpost.com/opinions/2023/11/18/joe-biden-gaza-hamas-putin/</t>
  </si>
  <si>
    <t>Ceasefire, Violence, US Military Aid, Settlers Violence, Protest (International), Hostages, Gaza Death Toll</t>
  </si>
  <si>
    <t>Hamas, Palestinian Authority, United States</t>
  </si>
  <si>
    <t>USA, Gaza Strip, West Bank</t>
  </si>
  <si>
    <t>https://time.com/6898685/biden-israel-pressure-gaza-aid-pier-in-state-of-the-union/</t>
  </si>
  <si>
    <t>Biden Pressures Israel, Promises Gaza Aid Pier in State of the Union Speech</t>
  </si>
  <si>
    <t>President Joe Biden pressures Israel to change its strategy in Gaza during his State of the Union address.The President pressed for a ceasefire, humanitarian aid for Gaza, and a two-state solution.</t>
  </si>
  <si>
    <t>March 08, 2024</t>
  </si>
  <si>
    <t>Humanitarian Aid, Humanitarian Crisis, Ceasefire, Civilians, Gaza Death Toll, Starvation, Food, Water, Medicine, Children, Protest (International), Airdrops, Hostage Deal, US-Israeli Relations, Accountability</t>
  </si>
  <si>
    <t>https://www.cnn.com/2023/10/15/politics/biden-60-minutes-interview-gaza-israel/index.html</t>
  </si>
  <si>
    <t>Biden warns Israel against occupying Gaza as ground invasion appears near</t>
  </si>
  <si>
    <t>President Joe Biden warns Israel against occupying Gaza and emphasizes the need for humanitarian aid amid the ongoing conflict with Hamas.</t>
  </si>
  <si>
    <t>October 15, 2023</t>
  </si>
  <si>
    <t>Kyle Feldscher</t>
  </si>
  <si>
    <t>Humanitarian Crisis, Civilians, Ground Operation, Forced Displacement, Air Strike, US-Israeli Relations</t>
  </si>
  <si>
    <t>Israel, Gaza Strip, North Gaza</t>
  </si>
  <si>
    <t>https://www.pbs.org/newshour/politics/watch-al-shifa-hospital-in-gaza-must-be-protected-biden-says</t>
  </si>
  <si>
    <t>Al Shifa Hospital in Gaza ‘must be protected,’ Biden says</t>
  </si>
  <si>
    <t>President Joe Biden emphasizes the need to protect Al Shifa Hospital in Gaza amid ongoing conflict and calls for less intrusive actions by Israeli forces.</t>
  </si>
  <si>
    <t>PBS</t>
  </si>
  <si>
    <t>Associated Press</t>
  </si>
  <si>
    <t>Al-Shifa hospital</t>
  </si>
  <si>
    <t>Hospital, Prisoners, Water, Electricity, Bombing, Public Health, US-Israeli Relations</t>
  </si>
  <si>
    <t>Al-Shifa Hospital, USA, Gaza Strip</t>
  </si>
  <si>
    <t>https://www.nbcnews.com/politics/white-house/biden-walks-back-prediction-monday-ceasefire-deal-gaza-hopeful-probabl-rcna141161</t>
  </si>
  <si>
    <t>Biden walks back prediction of Monday cease-fire deal in Gaza: ‘Hopeful’ but ‘probably not’</t>
  </si>
  <si>
    <t>President Joe Biden expressed skepticism about a cease-fire agreement in the Israel-Hamas war by Monday, emphasizing hope but indicating it was unlikely.</t>
  </si>
  <si>
    <t>Ceasefire, Humanitarian Aid, Hostages, Violence, US-Israeli Relations</t>
  </si>
  <si>
    <t>USA, Gaza Strip, Israel</t>
  </si>
  <si>
    <t>https://apnews.com/article/biden-israel-hamas-oct-7-44c4229d4c1270d9cfa484b664a22071</t>
  </si>
  <si>
    <t>Biden takes tougher stance on Israel's 'indiscriminate bombing' of Gaza</t>
  </si>
  <si>
    <t>President Joe Biden expresses concern over Israel's bombing of Gaza, warning that it risks losing international support amid the ongoing Israel-Hamas conflict.</t>
  </si>
  <si>
    <t>December 13, 2023</t>
  </si>
  <si>
    <t>Colleen Long and Aamer Madhani</t>
  </si>
  <si>
    <t>Bombing, Civilians, US Military Aid, Ceasefire, Air Strike, US-Israeli Relations</t>
  </si>
  <si>
    <t>Joe Biden, Itamar Ben-Gvir, Benjamin Netanyahu, Jake Sullivan</t>
  </si>
  <si>
    <t>https://apnews.com/article/biden-netanyahu-red-line-frustration-gaza-0f23fa8d02288c1b9d862ddc4035872e</t>
  </si>
  <si>
    <t>Biden cajoles Netanyahu with tough talk, humanitarian concerns but Israeli PM remains dug in</t>
  </si>
  <si>
    <t>President Joe Biden increases pressure on Israeli Prime Minister Benjamin Netanyahu regarding the humanitarian crisis in Gaza, warning that continued military actions could harm Israel's interests. Biden warned Netanyahu that an attack on Rafah—where hundreds of thousands of displaced Gazans have congregated—would be a “red line”.</t>
  </si>
  <si>
    <t>Aamer Madhani, Tia Goldenberg and Zeke Miller</t>
  </si>
  <si>
    <t>MSNBC</t>
  </si>
  <si>
    <t>Humanitarian aid, Civilians, Gaza Death Toll, Humanitarian Crisis, Starvation, Airdrops, US Military Aid, Israeli Far Right, US-Israeli Relations</t>
  </si>
  <si>
    <t>Israel, USA, Rafah, Gaza Strip</t>
  </si>
  <si>
    <t>Joe Biden, Benjamin Netanyahu, Israel Katz, Yair Lapid</t>
  </si>
  <si>
    <t>https://apnews.com/article/biden-west-bank-israeli-settlers-palestinians-80f9e6be6f6a7bb75dc86360ac2fa6ce</t>
  </si>
  <si>
    <t>West Bank: Biden sanctions Israeli settlers accused of attacking Palestinians</t>
  </si>
  <si>
    <t>President Joe Biden issued an executive order imposing sanctions on Israeli settlers accused of violence against Palestinians and peace activists in the West Bank.</t>
  </si>
  <si>
    <t>Colleen Long, Zeke Miller and Aamer Madhani</t>
  </si>
  <si>
    <t>Israeli Far Right, Settlers Violence, Israeli Society, US-Israeli relations</t>
  </si>
  <si>
    <t>Israel, West Bank, USA</t>
  </si>
  <si>
    <t>Joe Biden, Benjamin Netanyahu, Jake Sullivan</t>
  </si>
  <si>
    <t>https://twitter.com/UNLazzarini/status/1760764594644013287</t>
  </si>
  <si>
    <t>Lazzarini letter to president of UN general assembly</t>
  </si>
  <si>
    <t>The commissioner-general of the UNRWA turns to the UN general assembly president calling for action, after more children, journalists, medical personel, UN staff are killed in Gaza than in any other conflict in the world.</t>
  </si>
  <si>
    <t>Philippe Lazzarini (@UNLazzarini)</t>
  </si>
  <si>
    <t>https://www.unrwa.org/newsroom/official-statements/letter-commissioner-general-president-general-assembly</t>
  </si>
  <si>
    <t>Humanitarian Aid, Blockade, Children, Journalists, Civilians, Campaign against UNRWA</t>
  </si>
  <si>
    <t>UN (United Nations), UNRWA (The UN Relief and Works Agency for Palestine Refugees)</t>
  </si>
  <si>
    <t>https://twitter.com/NourNaim88/status/1777521805420269651</t>
  </si>
  <si>
    <t>94-year-old woman found burnt on her bed after the Israeli army's incursion at Shifa Hospital</t>
  </si>
  <si>
    <t>A 94-year-old woman's remains were found by her sons on her bed inside her home which was burnt by the Israeli army during the incursion at Shifa Hospital.</t>
  </si>
  <si>
    <t>Gaza city</t>
  </si>
  <si>
    <t>Civilians, Women, Hospital, Ground Operation, Elderly, Burning</t>
  </si>
  <si>
    <t>https://x.com/AneraOrg/status/1856374235335123234</t>
  </si>
  <si>
    <t>Israel has failed to comply with U.S. humanitarian demands over October/November 2024</t>
  </si>
  <si>
    <t>A detailed report by Anera alongside 7 humanitarian partners that concludes that Israel did not comply with US humanitarian demands over a month, as indicated by 19 specific measures. This report was in response to a supposed attempt by the US to force Israel into allowing more aid in (itself in the context of the 2024 US elections).</t>
  </si>
  <si>
    <t>October 12, 2024</t>
  </si>
  <si>
    <t>Anera (@AneraOrg)</t>
  </si>
  <si>
    <t>https://d3jwam0i5codb7.cloudfront.net/wp-content/uploads/2024/11/Gaza-Scorecard-V2.pdf</t>
  </si>
  <si>
    <t>Humanitarian Crisis, Humanitarian Law, Water, Starvation, Public Health, Official Report, Malnutrition, Medicine, Blockade, Civilians, Food, Humanitarian Aid</t>
  </si>
  <si>
    <t>Gaza Strip, Israel, North Gaza</t>
  </si>
  <si>
    <t>https://apnews.com/article/pope-vatican-gaza-israel-genocide-book-62907898cead13dbcfd603592263904c</t>
  </si>
  <si>
    <t>Pope Francis calls for investigation of genocide allegations in Gaza</t>
  </si>
  <si>
    <t>Pope Francis has called for an investigation into allegations of genocide regarding Israel's actions in Gaza, as revealed in excerpts from an upcoming book. The pope said that Israel’s attacks in Gaza and Lebanon have been “immoral” and disproportionate</t>
  </si>
  <si>
    <t>Giada Zampano</t>
  </si>
  <si>
    <t>Hernán Reyes Alcaide</t>
  </si>
  <si>
    <t>Rome</t>
  </si>
  <si>
    <t>Genocide, War Crimes, Hostages</t>
  </si>
  <si>
    <t>Vatican</t>
  </si>
  <si>
    <t>Gaza Strip, Lebanon</t>
  </si>
  <si>
    <t>Pope Francis</t>
  </si>
  <si>
    <t>https://www.haaretz.co.il/news/world/europe/2024-11-17/ty-article/.premium/00000193-3a08-db66-aff3-7eab22680000</t>
  </si>
  <si>
    <t>Pope Francis calls for an investigation by the international community of genocide allegations in Gaza</t>
  </si>
  <si>
    <t>Pope Francis suggested that the international community investigate whether Israel's military operation in Gaza constitutes genocide against the Palestinian people. Lately the pope expressed severe criticism agains Israel's actions in Gaza.</t>
  </si>
  <si>
    <t>Reuters</t>
  </si>
  <si>
    <t>La Stampa</t>
  </si>
  <si>
    <t>Genocide, Children, Hostages</t>
  </si>
  <si>
    <t>https://www.cnn.com/2024/03/18/politics/joe-biden-netanyahu-phone-call/index.html</t>
  </si>
  <si>
    <t>Biden and Netanyahu speak for the first time in a month amid deepening rift</t>
  </si>
  <si>
    <t>President Joe Biden and Israeli Prime Minister Benjamin Netanyahu spoke by phone for the first time in over a month, discussing humanitarian aid and military operations in Gaza amid a deepening rift between the two leaders. The president voiced “deep concerns” over Israel’s plans for the Rafah operation.</t>
  </si>
  <si>
    <t>Kevin Liptak, Nikki Carvajal</t>
  </si>
  <si>
    <t>Humanitarian Aid, Civilians, US Military Aid, US-Israeli Relations, Ground Operation, Rafah red line</t>
  </si>
  <si>
    <t>USA, Rafah</t>
  </si>
  <si>
    <t>Benjamin Netanyahu, Joe Biden</t>
  </si>
  <si>
    <t>https://www.cnn.com/2024/05/08/politics/joe-biden-interview-cnntv/index.html</t>
  </si>
  <si>
    <t>Biden says he will stop sending bombs and artillery shells to Israel if it launches major invasion of Rafah</t>
  </si>
  <si>
    <t>President Joe Biden said that he would halt some shipments of American weapons to Israel if a major invasion of Rafah occurs, acknowledging the impact of these weapons on, and the US role in, civilian casualties in Gaza. Biden further discussed growing criticism in the US of his support for Israel's war in Gaza, while also mentioning tensions on college campuses.</t>
  </si>
  <si>
    <t>Kevin Liptak</t>
  </si>
  <si>
    <t>Civilians, US Military Aid, "2000 Pound Bomb", Air Strike, US-Israeli Relations, Campus Protests, Antisemitism, Protest (International), Rafah red line</t>
  </si>
  <si>
    <t>https://twitter.com/_waleedshahid/status/1775934807165272158</t>
  </si>
  <si>
    <t>Morning Joe hosts erupt at Israel’s economy minister and his government’s handling of the war in Gaza</t>
  </si>
  <si>
    <t>Morning Joe hosts erupt at Nir Barkat, calling out Netanyahu for funding Hamas and Israel's callousness regarding the humanitarian crisis in Gaza.</t>
  </si>
  <si>
    <t>April 4, 2024</t>
  </si>
  <si>
    <t>Waleed Shahid (@_waleedshahid)</t>
  </si>
  <si>
    <t>https://x.com/i/status/1775934807165272158</t>
  </si>
  <si>
    <t>post</t>
  </si>
  <si>
    <t>Humanitarian Crisis, Civilians, Hostages</t>
  </si>
  <si>
    <t>Qatar, Hamas, Israeli Government</t>
  </si>
  <si>
    <t>Benjamin Netanyahu, Nir Barkat</t>
  </si>
  <si>
    <t>Humanitarian Aid, Civilians, US Military Aid, US-Israeli Relations, Ground Operation, Rafah Red Line</t>
  </si>
  <si>
    <t>Civilians, US Military Aid, "2000 Pound Bomb", Air Strike, US-Israeli Relations, Campus Protests, Antisemitism, Protest (International), Rafah Red Line</t>
  </si>
  <si>
    <t>https://www.ynet.co.il/news/article/r11oner3a</t>
  </si>
  <si>
    <t>Demonstraters crossed 500 meters into the Gaza Strip, 9 arrested</t>
  </si>
  <si>
    <t>Rightwing Jewish protesters calling for the resettlement of Gaza by Jews attempted to cross into the Gaza Strip, nine individuals succeeded and were subsequently arrested by Israeli military forces.</t>
  </si>
  <si>
    <t>Matan Tzuri, Yoav Ziton</t>
  </si>
  <si>
    <t>Settlements, Religious Right, Protest (Israel), Jewish Settlements in Gaza</t>
  </si>
  <si>
    <t>https://www.ynet.co.il/news/article/sy3bfhu6p</t>
  </si>
  <si>
    <t>Rabbi of Jaffa Hesder Yeshiva: according to the Halachic principle - all Gazans should be killed, including infants</t>
  </si>
  <si>
    <t>Rabbi Eliyahu Mali, Head of the Hesder Yeshiva [a yeshiva which combines talmudic studies with military service], in Jaffa, stated at a conference that, according to halachic principles, because the war in Gaza is a Milhemet Mitzva [a religiously sanctioned war] all residents of Gaza, including infants, should be killed during wartime.</t>
  </si>
  <si>
    <t>NIna Fox</t>
  </si>
  <si>
    <t>Incitement to Genocide, Civilians, Children, Religious Right, Infants</t>
  </si>
  <si>
    <t>How can you blow up a building with all its residents?</t>
  </si>
  <si>
    <t>Roughly 100 people were killed, and dozens are still missing, as a result of an Israeli attack on a residential building. The Israeli military states the numbers do not match their data, and state that the attack targeted a lookout perched on the building's roof. Residents and rescue services continue to search for survivors in the rubble of a five-story building that was bombed in Beit Lahiya, northern Gaza. Videos and photos from the scene revealed mutilated bodies of women and children.</t>
  </si>
  <si>
    <t>Air Strike, Bombing, Civilians, Corpses, Humiliation, Detainees, Buildings</t>
  </si>
  <si>
    <t>Beit Lahiya, Jabaliya</t>
  </si>
  <si>
    <t>https://apnews.com/article/joe-biden-israel-hamas-gaza-palestinians-a85cb682fdc61b80285cf4ab354354ce</t>
  </si>
  <si>
    <t>Biden pledges solidarity with Israelis</t>
  </si>
  <si>
    <t>President Biden concludes his visit to Israel, emphasizing solidarity with Israelis while addressing the humanitarian crisis in Gaza and urging restraint amidst rising tensions. He said data from his Defense Department showed that the explosion in a hospital was not likely caused by an airstrike by the Israeli military.</t>
  </si>
  <si>
    <t>October 19, 2023</t>
  </si>
  <si>
    <t> October 18, 2023</t>
  </si>
  <si>
    <t>Aamer Madhani and Colleen Long</t>
  </si>
  <si>
    <t>Israel, Gaza</t>
  </si>
  <si>
    <t>Humanitarian Aid, Hospital, Air Strike, Civilians</t>
  </si>
  <si>
    <t>Israel, Gaza City, Al Ahli Baptist Hospital</t>
  </si>
  <si>
    <t>https://apnews.com/article/biden-netanyahu-3591fb5f82b22cf8e5d1060fccaef115</t>
  </si>
  <si>
    <t>Biden tells Israel’s Netanyahu future US support for war depends on new steps to protect civilians</t>
  </si>
  <si>
    <t>President Joe Biden warns Israeli Prime Minister Benjamin Netanyahu that future U.S. support for Israel's Gaza war depends on new measures to protect civilians and aid workers following recent airstrikes that killed food aid workers.</t>
  </si>
  <si>
    <t>April 05, 2024</t>
  </si>
  <si>
    <t>Aamer Madhani and Zeke Miller</t>
  </si>
  <si>
    <t>Humanitarian Aid, Civilians, US Military Aid, US-Israeli relations, Ceasefire, Hostages, Hostage Deal, Aid Workers, Air Strike</t>
  </si>
  <si>
    <t>Joe Biden, Benjamin Netanyahu, Antony Blinken, John Kirby</t>
  </si>
  <si>
    <t>https://www.cnn.com/2023/10/30/politics/biden-netanyahu-aid-gaza/index.html</t>
  </si>
  <si>
    <t>Biden pressed Netanyahu to get more humanitarian aid into Gaza as fears grow over conflict escalating</t>
  </si>
  <si>
    <t>President Joe Biden's administration urged Israel to increase humanitarian aid to Gaza amid escalating conflict and humanitarian crisis.</t>
  </si>
  <si>
    <t>Kevin Liptak and Betsy Klein</t>
  </si>
  <si>
    <t>Humanitarian Aid, Humanitarian Crisis, Food, Water, Medicine, Civilians, Infrastructure, Doubting the Gaza Death Toll, Children, US-Israeli relations</t>
  </si>
  <si>
    <t>Joe Biden, Benjamin Netanyahu, Mohammed bin Salman Al Saud, Jake Sullivan, John Kirby</t>
  </si>
  <si>
    <t>https://twitter.com/ytirawi/status/1756688401233817855</t>
  </si>
  <si>
    <t>Social media posts showing IDF soldiers damaging Palestinian property and humiliating detainees</t>
  </si>
  <si>
    <t>A series of video clips and photos show IDF soldiers damaging Palestinian shop equipment.</t>
  </si>
  <si>
    <t>December 5, 2023</t>
  </si>
  <si>
    <t>Abuse, Vandalism, Israeli Soldier Movies, Social Media, Humiliation, Ground Operation, Israeli Soldier Photos, Detainees, Crimes Against Humanity</t>
  </si>
  <si>
    <t>https://twitter.com/ytirawi/status/1756695309239939117</t>
  </si>
  <si>
    <t>A photo depicting money stolen from a Ramallah home</t>
  </si>
  <si>
    <t>An Instagram post of a taken from a home in Ramallah. The Hebrew caption reads: 'Great money in reserves.'</t>
  </si>
  <si>
    <t>Ramallah</t>
  </si>
  <si>
    <t>Looting, Israeli Soldier Photos, Ground Operation, Social Media, Confiscated Assets</t>
  </si>
  <si>
    <t>https://www.zman.co.il/453910/popup/</t>
  </si>
  <si>
    <t>Israel is in negotiations with Chad and Rwanda for the absorption of thousands of Palestinians from Gaza</t>
  </si>
  <si>
    <t>Israel's Foreign Ministry and Mossad is in negotiations with Chad and Rwanda to accept tens of thousands of Palestinian migrants from Gaza each. According to the plan, each emigrating Palestinian would receive financial support, with additional support (financial and military) given to the country to which the Palestinians would emigrate.</t>
  </si>
  <si>
    <t>Shalom Yerushalmi</t>
  </si>
  <si>
    <t>Israel, Chad, Rwanda</t>
  </si>
  <si>
    <t>Emigration, Forced Displacement</t>
  </si>
  <si>
    <t>Israeli Government, Israeli Foreign Ministry, Mossad</t>
  </si>
  <si>
    <t>Benjamin Netanyahu, Danny Danon</t>
  </si>
  <si>
    <t>https://www.calcalist.co.il/local_news/article/thpk0egl5</t>
  </si>
  <si>
    <t>Senior Defense Official: 20 Thousand Killed in Gaza, Mostly Terrorists; Biden: Moving Towards a Humanitarian Ceasefire</t>
  </si>
  <si>
    <t>A senior security official reported that 20,000 people have died in Gaza, mostly militants, while President Biden noted progress towards a humanitarian ceasefire.</t>
  </si>
  <si>
    <t>Calcalist; Ynet</t>
  </si>
  <si>
    <t>Gaza Death Toll, Ceasefire, Palestinian Militants, Civilians</t>
  </si>
  <si>
    <t>Hamas, IDF (Israel Defense Forces), United States</t>
  </si>
  <si>
    <t>https://www.abc.net.au/news/2024-04-19/allegations-of-gaza-abuse/103692464</t>
  </si>
  <si>
    <t>Gazan men who say they were detained by Israeli army detail shocking allegations of physical and sexual abuse</t>
  </si>
  <si>
    <t>Gazan men detail allegations of physical and sexual abuse they endured while detained by the Israeli army, highlighting inhumane treatment and poor conditions.</t>
  </si>
  <si>
    <t>ABC News</t>
  </si>
  <si>
    <t>Lauren Day, Orly Halpern, Haidarr Jones</t>
  </si>
  <si>
    <t>https://www.haaretz.com/israel-news/2024-04-04/ty-article/.premium/doctor-at-idf-field-hospital-for-detained-gazans-we-are-all-complicit-in-breaking-law/0000018e-a59c-dfed-ad9f-afdfb5ce0000</t>
  </si>
  <si>
    <t>Gaza Strip, Sde Teiman</t>
  </si>
  <si>
    <t>Detention Center, Torture, Sexual Violence, Humanitarian Crisis, Abuse, Detainees, Healthcare Workers, Interview</t>
  </si>
  <si>
    <t>Israeli Incarceration System, Israeli Prison</t>
  </si>
  <si>
    <t>Gaza Strip, North Gaza, Rafah, Sde Teiman Detention Center</t>
  </si>
  <si>
    <t>Mustafa Jamal Kahlout, Jibril Ghatab El-Kahlout, Dr Marwan Shafiq Alhamss</t>
  </si>
  <si>
    <t>https://x.com/KyungLahCNN/status/1790908711898165639</t>
  </si>
  <si>
    <t>Outside agitators arrived at UCLA to attack pro-Palestinian protesters</t>
  </si>
  <si>
    <t>A CNN report covering the riots at UCLA during protests against the war in Gaza shows pro-Israeli demonstrators attacking pro-Palestinian protesters.</t>
  </si>
  <si>
    <t>Kyung Lah (@KyungLahCNN)</t>
  </si>
  <si>
    <t>UCLA, Los Angeles CA, USA</t>
  </si>
  <si>
    <t>Violence, Journalistic Report, Academia, Campus protests, Protest (International), Limiting Free Speech</t>
  </si>
  <si>
    <t>April 6, 2025</t>
  </si>
  <si>
    <t>https://drive.google.com/file/d/1aUEgx0fT0POfF30ck79aeYUhtTLp7a6P/view?usp=drive_link</t>
  </si>
  <si>
    <t>https://x.com/PatrickQuinnTV/status/1783532600637681964</t>
  </si>
  <si>
    <t>Chair of Emory University's Philosophy Department arrested during campus protest</t>
  </si>
  <si>
    <t>Video footage captures the arrest of Noelle McAfee, Chair of Emory University's Philosophy Department, during a campus protest against the war.</t>
  </si>
  <si>
    <t>Patrick Quinn (@PatrickQuinnTV)</t>
  </si>
  <si>
    <t>Emory University, Geeorgia, USA</t>
  </si>
  <si>
    <t>Academia, Protest (International), Campus protests, Arrest, Limiting Free Speech</t>
  </si>
  <si>
    <t>https://drive.google.com/file/d/1PtZCAuYOv4VubyIVUG4xXjYFXHw8Cm5g/view?usp=drive_link</t>
  </si>
  <si>
    <t>https://x.com/ofercass/status/1783246682626400722</t>
  </si>
  <si>
    <t>Joint Passover Seder at Columbia University</t>
  </si>
  <si>
    <t>Video shows Jewish, Arab, and other Columbia University students gathering for a joint Passover Seder on campus.</t>
  </si>
  <si>
    <t>MK Ofer Cassif (@ofercass)</t>
  </si>
  <si>
    <t>Columbia University, New York, USA</t>
  </si>
  <si>
    <t>Academia, Antisemitism, Campus protests, Protest (International), Limiting Free Speech</t>
  </si>
  <si>
    <t>April 11, 2025</t>
  </si>
  <si>
    <t>https://drive.google.com/file/d/11BssVPtrsoAZYH9nbBx4Vp_vE0GHKcNR/view?usp=drive_link</t>
  </si>
  <si>
    <t>https://x.com/RyanChandlerTV/status/1783197539824468403</t>
  </si>
  <si>
    <t>Police attacks protesters at The University of Texas</t>
  </si>
  <si>
    <t>Police forcefully dispersing protesters during an anti-war protest at The University of Texas, Austin.</t>
  </si>
  <si>
    <t>Ryan Chandler (@RyanChandlerTV)</t>
  </si>
  <si>
    <t>The University of Texas, Austin, USA</t>
  </si>
  <si>
    <t>Academia, Journalistic Report, Campus protests, Protest (International), Arrest, Limiting Free Speech</t>
  </si>
  <si>
    <t>https://drive.google.com/file/d/1a16-tMi43zzmYpylx2TipiiOhCuGUhhU/view?usp=drive_link</t>
  </si>
  <si>
    <t>https://x.com/probablyreadit/status/1782569732538843267</t>
  </si>
  <si>
    <t>NYPD arrests at least twelve NYU faculty members</t>
  </si>
  <si>
    <t>Video footage of NYPD officers detaining NYU professors during the dismantling of the pro-Palestinian 'Liberated Zone' encampment at Gould Plaza.</t>
  </si>
  <si>
    <t>Katie Smith (@probablyreadit)</t>
  </si>
  <si>
    <t>NYU, New York, USA</t>
  </si>
  <si>
    <t>Academia, Campus protests, Protest (International), Limiting Free Speech</t>
  </si>
  <si>
    <t>https://drive.google.com/file/d/1R131lpiEVVAxsk9tnbYDEivQBl-xYfZH/view?usp=drive_link</t>
  </si>
  <si>
    <t>https://x.com/AnasAlSharif0/status/1846626226951409921</t>
  </si>
  <si>
    <t>Humanitarian Aid Is Not Reaching North Gaza</t>
  </si>
  <si>
    <t>Anas Al-Sharif states that the media publications of humanitarian aid that entered Gaza are misleading since no aid reached North Gaza</t>
  </si>
  <si>
    <t>July 10, 2023</t>
  </si>
  <si>
    <t>Anas Al-Sharif (@AnasAlSharif0)</t>
  </si>
  <si>
    <t>Starvation, Blockade, Civilians, Food, Humanitarian Aid, Media, News, Journalistic report, Collective Punishment, Humanitarian Crisis, Journalistic Report</t>
  </si>
  <si>
    <t>Gaza Strip, North Gaza, Jabaliya, Beit Lahiya, Beit Hanoun, South Gaza</t>
  </si>
  <si>
    <t>https://www.democracynow.org/2024/5/31/stacy_gilbert_state_dept_resignation_gaza</t>
  </si>
  <si>
    <t>“I Was Shocked”: Meet the State Dept. Official Who Quit After Report Denies Israel Blocking Gaza Aid</t>
  </si>
  <si>
    <t>Stacy Gilbert, a former State Department official, resigned in protest over a report she contributed to that denied Israel was obstructing humanitarian aid to Gaza. Despite much evidence that Israel was responsible for blocking aid, the report concluded that Israel was not blocking humanitarian assistance - against the view of subject matter experts and the humanitarian community</t>
  </si>
  <si>
    <t>Amy Goodman, Stacy Gilbert</t>
  </si>
  <si>
    <t>Washington, D.C.</t>
  </si>
  <si>
    <t>Humanitarian Aid, Humanitarian Crisis, Humanitarian Law, Civilians, US-Israeli Relations, Leahy Law, Famine</t>
  </si>
  <si>
    <t>USAID (United States Agency for International Development), US Department of State</t>
  </si>
  <si>
    <t>https://www.972mag.com/gaza-aid-convoy-massacre-testimonies/</t>
  </si>
  <si>
    <t>Survivors of Gaza aid convoy massacre describe ‘indiscriminate’ Israeli fire</t>
  </si>
  <si>
    <t>Survivors recount the tragic events of an aid convoy massacre in Gaza (the "flour massacre"), where Israeli forces allegedly opened fire on a crowd seeking humanitarian assistance. This piece was written to refute Israel's claims that it was not responsible for the killing of civilians despite the evidence.</t>
  </si>
  <si>
    <t>Mahmoud Mushtaha, Omar El Qattaa</t>
  </si>
  <si>
    <t>Humanitarian Aid, Civilians, War Crimes, Shooting, Tanks, Food, Indiscriminate Shooting</t>
  </si>
  <si>
    <t>Gaza City, Kamal Adwan Hospital, Al-Shifa Hospital, Al Rashid Coastal Road</t>
  </si>
  <si>
    <t>https://www.bbc.com/news/world-us-canada-68518468</t>
  </si>
  <si>
    <t>UNRWA: Sweden and Canada resume funding for UN agency for Palestinian refugees</t>
  </si>
  <si>
    <t>Sweden and Canada have resumed funding for UNRWA, the UN agency for Palestinian refugees. This followed a a pause (beginning late January 2024) due to allegations that members of UNRWA's staff particiapated in the 7th of October attack.</t>
  </si>
  <si>
    <t>March 09, 2024</t>
  </si>
  <si>
    <t>Lipika Pelham</t>
  </si>
  <si>
    <t>Blocking aid, Humanitarian Crisis, Detainees, Captivity Conditions, Campaign against UNRWA, Humanitarian Aid</t>
  </si>
  <si>
    <t>UNRWA (The UN Relief and Works Agency for Palestine Refugees), Israeli Incarceration System</t>
  </si>
  <si>
    <t>Gaza Strip, Israeli Prison</t>
  </si>
  <si>
    <t>https://www.haaretz.co.il/news/politics/2024-10-22/ty-article/.premium/00000192-b047-daee-a9fb-fedfab970000</t>
  </si>
  <si>
    <t>Tens of thousands of Palestinians have fled Jabaliya but do not cross to the southern Gaza Strip, fearing that they would not be able to return to its North</t>
  </si>
  <si>
    <t>The Palestinians left because of increased military pressure from Israel, the absence of humanitarian aid in the area, and the destruction of buildings. Medical facitlites are collapsing without provisions and personnel. According to estimates, between 250 and 300 thousand Palestinians remained in the northern Gaza Strip.</t>
  </si>
  <si>
    <t>Jacky Khoury</t>
  </si>
  <si>
    <t>Forced Displacement, Civilians, Humanitarian Crisis, Hospital, Indiscriminate Shooting, Water, Corpses, Public Health, Schools, Humanitarian Aid</t>
  </si>
  <si>
    <t>North Gaza, Jabaliya, Gaza City</t>
  </si>
  <si>
    <t>https://www.calcalistech.com/ctechnews/article/rkrug57na</t>
  </si>
  <si>
    <t>The Akooda team's innovative Words Of Iron advocacy project has become an online "Iron Dome" for Israel</t>
  </si>
  <si>
    <t>The Words Of Iron project, developed by Itamar Niddam, aims to enhance Israeli public diplomacy (propaganda) by promoting pro-Israel posts on social media and removing posts against it. The system they developed prepares everything for the user, even producing pro-Israel contnet using AI.</t>
  </si>
  <si>
    <t>Tech On Duty, Poalim Tech, Lior Avisar</t>
  </si>
  <si>
    <t>Media, Social Media, Propaganda</t>
  </si>
  <si>
    <t>https://x.com/BenTzionMacales/status/1857875008602636546</t>
  </si>
  <si>
    <t>Military operations in the Jabalia area in early-mid November 2024 based on satellite imagery</t>
  </si>
  <si>
    <t>Review of military activity that includes infrastructure destruction in the Jabalia refugee camp, agricultural land clearance near “Tzir Miflasim,” and extensive airstrikes north of Al-Shati camp. The sources are satellite images from November 5 and November 11.</t>
  </si>
  <si>
    <t>Ben Tzion Macales (@BenTzionMacales)</t>
  </si>
  <si>
    <t>Air Strike, Destruction, Ground Operation, Demolition</t>
  </si>
  <si>
    <t>Gaza Strip, North Gaza, Jabaliya, Beit Lahiya, Al-Shati Refugee Camp</t>
  </si>
  <si>
    <t>https://x.com/DmodosCutter/status/1862988412803862631</t>
  </si>
  <si>
    <t>Hundreds of Palestinians are forced to leave a school in Jabaliya at gunpoint</t>
  </si>
  <si>
    <t>An Israeli tank commander documents the moment of forcing hundreds of displaced Palestinians to leave a school in Jabalia refugee camp at gunpoint. This was part of the larger operation in North Gaza in late 2024.</t>
  </si>
  <si>
    <t>Daniella Modos - Cutter -SEN (@DmodosCutter)</t>
  </si>
  <si>
    <t>Civilians, Forced Displacement, Israeli Soldier Movies, Schools, Social Media</t>
  </si>
  <si>
    <t>https://x.com/Doron_Kadosh/status/1853844668535955848</t>
  </si>
  <si>
    <t>IDF announces that it split North Gaza from Gaza City and about to complete the removal of all Palestinians from Northern Gaza</t>
  </si>
  <si>
    <t>The IDF has divided northern Gaza into two isolated sections, nearing the complete clearance of militants and civilians, with significant combat and strategic advancements in Jabaliya, Beit Lahiya, and Al-Atatra. According to IDF estimates, only some 2,000 people remain in the northmost part of the Gaza Strip after 60 thousand people were removed from it. The IDF claims that 1,000 militants were killed and 700 were captured; 19 IDF soldiers were killed.</t>
  </si>
  <si>
    <t>Blockade, Civilians, Forced Displacement, Ground Operation, The Generals' Plan, Death, Detainees</t>
  </si>
  <si>
    <t>Beit Lahiya, Gaza Strip, Jabaliya, Beit Hanoun, North Gaza, Gaza City</t>
  </si>
  <si>
    <t>https://twitter.com/AssalRad/status/1764012307385053635</t>
  </si>
  <si>
    <t>NYT headline obscures Israel's responsibility for the killing of over 30,000 Gazans</t>
  </si>
  <si>
    <t>New York Times title and a following lead use passive language to describe the death toll in Gaza, refraining from mentioning Israel’s responsibility for the killings: “Lives Ended in Gaza”, “Since the war started, more than 30,000 people have been killed during bombardment and invasion.”</t>
  </si>
  <si>
    <t>https://www.nytimes.com/interactive/2024/03/02/world/middleeast/gaza-deaths.html</t>
  </si>
  <si>
    <t>Media, Gaza Death Toll, Bombing, Civilians, Media bias</t>
  </si>
  <si>
    <t>https://twitter.com/OmerArvili/status/1776192429709812033</t>
  </si>
  <si>
    <t>Israeli police stop protestors from reading names of Gazan casualties and demonstrating peacefully against the war</t>
  </si>
  <si>
    <t>Israeli police forcefully stop protestors from reading names of Gazan casualties and for demonstrating peacefully against the war in Jerusalem.</t>
  </si>
  <si>
    <t>April 5, 2024</t>
  </si>
  <si>
    <t>Omer Avrili (@OmerArvili)</t>
  </si>
  <si>
    <t>Protest (Israel), Israeli Society, Arrest</t>
  </si>
  <si>
    <t>Israel, Jerusalem</t>
  </si>
  <si>
    <t>https://www.haaretz.co.il/news/politics/2024-10-31/ty-article/.premium/00000192-de68-d6c4-adfe-feee52230000</t>
  </si>
  <si>
    <t>The amount of humanitarian aid entering the Gaza Strip in October is the lowest in 2024</t>
  </si>
  <si>
    <t>The amount of humanitarian aid entering the Gaza Strip in October is the lowest recorded in 2024, according to data from the Coordinator of Government Activities in the Territories.</t>
  </si>
  <si>
    <t>Kerem Shalom</t>
  </si>
  <si>
    <t>Humanitarian Aid, Humanitarian Crisis, Blocking Aid, Starvation, Food, Fuel</t>
  </si>
  <si>
    <t>Gaza Strip, Kerem Shalom Crossing , Erez Crossing, Israel</t>
  </si>
  <si>
    <t>https://www.haaretz.co.il/opinions/2024-11-09/ty-article-opinion/.premium/00000193-06cf-d3a2-a3d7-4fcf3c7b0000</t>
  </si>
  <si>
    <t>Eiland's explanations have one goal: to evade Israel's crimes in Gaza</t>
  </si>
  <si>
    <t>The article critiques General (Res) Giora Eiland's attempts at whitewashing Israel's actions in Gaza, highlighting a moral crisis in the country.</t>
  </si>
  <si>
    <t>November 09, 2024</t>
  </si>
  <si>
    <t>Daniel Blatmann</t>
  </si>
  <si>
    <t>Analysis, Crimes Against Humanity, Humanitarian Crisis, Forced Displacement, Ethnic Cleansing, Collective Punishment, War Crimes, The Generals' Plan, Disengagement (2005), Humanitarian Law, Infrastructure, Blockade, Genocide, Incitement to Genocide</t>
  </si>
  <si>
    <t>ICJ (International Court of Justice), IDF (Israel Defense Forces), Israeli Government, ICC (International Criminal Court)</t>
  </si>
  <si>
    <t>Deir al Balah, Gaza Strip</t>
  </si>
  <si>
    <t>https://twitter.com/AssalRad/status/1764752005673984066</t>
  </si>
  <si>
    <t>A NYT misleading headline asserting evidence of sexual violence by Hamas, while omitting allegations of similar abuses by Israeli forces made in the same report</t>
  </si>
  <si>
    <t>A New York Times headline falsely claiming that “U.N. Says Inquiry Finds Evidence of Sexual Assault in Hamas-led Attack on Israel”, although according to the article there are no such evidence but instead the organization “had found grounds to believe” that such events did occur on the October 7 attack. The headline is also ignoring IDF abuse against Palestinian women, although it is cited in the text that there are “allegations by Palestinian officials that Palestinian women in detention and in the West Bank had been assaulted.” An equivalent article covering abuse against Palestinians (covered in the next tweet) qualifies it with the word "allege".</t>
  </si>
  <si>
    <t>March 4 2024</t>
  </si>
  <si>
    <t>Sexual Violence, Women, Abuse, War Crimes, Civilians, Detainees, Detention Center</t>
  </si>
  <si>
    <t>Hamas, UN (United Nations), IDF (Israel Defense Forces), Israeli Incarceration System</t>
  </si>
  <si>
    <t>Gaza Strip, Israeli Prison, Israel, West Bank</t>
  </si>
  <si>
    <t>https://twitter.com/AssalRad/status/1767686506939068845</t>
  </si>
  <si>
    <t>BBC reports West Bank killings of two Palestinians while omitting Israel's responsibility in headline</t>
  </si>
  <si>
    <t>After Israeli forces fatally shot 10-year-old Amr Najjar in the head and killed a Palestinian man attempting to aid him in Burin village (West Bank), the BBC reported the incident while omitting Israel from its headline.</t>
  </si>
  <si>
    <t>https://www.bbc.com/news/world-middle-east-68514581.amp</t>
  </si>
  <si>
    <t>Burin</t>
  </si>
  <si>
    <t>Occupied territories, Murder, Civilians, Children, War Crimes, Shooting, Media, Media bias</t>
  </si>
  <si>
    <t>https://www.haaretz.com/israel-news/security-aviation/2024-06-05/ty-article-magazine/.premium/israel-secretly-targeted-american-lawmakers-with-gaza-war-influence-campaign/0000018f-e7c8-d11f-a5cf-e7cb62af0000</t>
  </si>
  <si>
    <t>Israel Secretly Targeted American Lawmakers With Gaza War Influence Campaign</t>
  </si>
  <si>
    <t>Report on Israel's large scale influence campaign targeting American lawmakers to sway public opinion in its favor regarding the Gaza war. The campaign was orchestrated by Israel's Diaspora Affairs Ministry.</t>
  </si>
  <si>
    <t>Omer Benjakob</t>
  </si>
  <si>
    <t>Israel and United States</t>
  </si>
  <si>
    <t>Propaganda, Public Opinion, US-Israeli Relations, Islamophobia, Antisemitism, Campus Protests, Campaign against UNRWA</t>
  </si>
  <si>
    <t>Israeli Government, Hamas, UNRWA (The UN Relief and Works Agency for Palestine Refugees)</t>
  </si>
  <si>
    <t>https://www.jpost.com/Opinion/Columnists/Mowing-the-grass-in-Gaza-368516</t>
  </si>
  <si>
    <t>Mowing the grass in Gaza</t>
  </si>
  <si>
    <t>Analysis of Israel's military strategy in Gaza during the 2014 war, emphasizing the challenges of eradicating Hamas and the ongoing cycle of violence, withno end in sight. The authors' solution is to "'mow the grass' once in a while to degrade the enemy's capabilities". This is an early reference to this idea which would become more popular in subsequent years.</t>
  </si>
  <si>
    <t>July 22, 2014</t>
  </si>
  <si>
    <t>Efraim Inbar, Eitan Shamir</t>
  </si>
  <si>
    <t>Opinion, Israeli Political Right, Ground Operation, Terrorism</t>
  </si>
  <si>
    <t>IDF (Israel Defense Forces), Hamas, Islamic Jihad</t>
  </si>
  <si>
    <t>https://warontherocks.com/2014/08/israel-and-the-demise-of-mowing-the-grass/</t>
  </si>
  <si>
    <t>Israel and the Demise of “Mowing the Grass”</t>
  </si>
  <si>
    <t>Analysis of Israel's military strategy of 'mowing the grass' in its ongoing conflict with Hamas, highlighting the cyclical nature of military operations and the implications for both Israeli and Palestinian casualties with the rise of new technologies available to both sides.</t>
  </si>
  <si>
    <t>August 19, 2014</t>
  </si>
  <si>
    <t>War on the Rocks</t>
  </si>
  <si>
    <t>T.X. Hammes</t>
  </si>
  <si>
    <t>See also article #951 July 2014</t>
  </si>
  <si>
    <t>Analysis, Civilians, Terrorism, Drone / Quadcopter, Poll, US-Israeli Relations</t>
  </si>
  <si>
    <t>https://www.ynet.co.il/news/article/sys5qltaa</t>
  </si>
  <si>
    <t>Hunger in Gaza? These are Israel's statistics</t>
  </si>
  <si>
    <t>Israel denies accusations that it is deliberately causing starvation in Gaza, detailing humanitarian efforts and the current situation regarding aid delivery which is supposedly larger than before the war even before aid incoming from air drops and ships. The article features part of the campaign against the UN and international organization, alleging that they are ineffective.</t>
  </si>
  <si>
    <t>Humanitarian Aid, Food, Humanitarian Crisis, Airdrops, Campaign against UNRWA, Starvation</t>
  </si>
  <si>
    <t>IDF (Israel Defense Forces), United States, World Central Kitchen, COGAT (The Coordination of the Israeli Government Activities in the Territories), UNRWA (The UN Relief and Works Agency for Palestine Refugees)</t>
  </si>
  <si>
    <t>https://www.rollingstone.com/culture/culture-features/israel-social-media-twitter-messaging-david-saranga-1234874381/</t>
  </si>
  <si>
    <t>Israel’s Social Media Chief Swears His Wild Campaign Is Working</t>
  </si>
  <si>
    <t>Report on Israel's social media strategy during the ongoing conflict with Hamas highlighting the efforts of David Saranga who claims success despite opposition backlash and alleged misinformation. The article emphasizes the amount of pro-Israel content and notes that Saranda has a 30-person team that posts hundreds of items a day (a total of 2,500 posts in the last month).</t>
  </si>
  <si>
    <t>November 10, 2023</t>
  </si>
  <si>
    <t>Rolling Stone</t>
  </si>
  <si>
    <t>Miles Klee</t>
  </si>
  <si>
    <t>Online</t>
  </si>
  <si>
    <t>Media, Propaganda, Social Media, Hostages, Hospital</t>
  </si>
  <si>
    <t>Hamas, Israeli Foreign Ministry</t>
  </si>
  <si>
    <t>https://foreignpolicy.com/2024/03/11/israel-gaza-hamas-netanyahu-warfare-misinformation/</t>
  </si>
  <si>
    <t>How Israel Mastered Information Warfare in Gaza</t>
  </si>
  <si>
    <t>Analysis of Israel's strategic use of information warfare in response to the October 7, 2023, attack by Hamas, highlighting the efforts to shape global public opinion and counter Palestinian narratives. The analysis points out that Israel placed much emphasis on dominating the flow of information during the conflict.</t>
  </si>
  <si>
    <t>Foreign Policy</t>
  </si>
  <si>
    <t>Alessandro Accorsi</t>
  </si>
  <si>
    <t>Propaganda, Civilians, Social Media, Antisemitism, Dehumanization, Destruction, Terrorism, Protest (International), Doubting the Gaza Death Toll, Hostages</t>
  </si>
  <si>
    <t>Hamas, IDF (Israel Defense Forces), Israeli Government, Gaza Health Ministry, United States</t>
  </si>
  <si>
    <t>https://www.ynet.co.il/environment-science/article/r1s9f11qfkl</t>
  </si>
  <si>
    <t>IDF soldiers rescue a kingfisher trapped in diesel oil</t>
  </si>
  <si>
    <t>Soldiers in the Gaza Strip rescue a kingfisher trapped in diesel fuel while searching for food.</t>
  </si>
  <si>
    <t>Ilana Korial, Einav Maor</t>
  </si>
  <si>
    <t>Southern Gaza Strip</t>
  </si>
  <si>
    <t>Ground Operation, Animals, Fuel, Media</t>
  </si>
  <si>
    <t>https://www.haaretz.co.il/news/politics/2024-04-02/ty-article/.premium/0000018e-9fa0-dbea-abde-bfe55d9e0000</t>
  </si>
  <si>
    <t>IDF sources: lack of discipline among commanderscaused killing of aid workers</t>
  </si>
  <si>
    <t>Sources in the IDF state that the killing of seven aid workers in Gaza was due to a lack of discipline among commanders rather than coordination issues with humanitarian organizations.</t>
  </si>
  <si>
    <t>Deir el Balah</t>
  </si>
  <si>
    <t>Humanitarian Aid, Aid Workers, Ground Operation, Indiscriminate Shooting, Journalistic Report, Rules of Engagement</t>
  </si>
  <si>
    <t>https://euromedmonitor.org/en/article/6254/Al-Shifa-Medical-Complex-Witnesses-One-of-the-Largest-Massacres-in-Palestinian-History</t>
  </si>
  <si>
    <t>Gaza: Shifa Medical Complex witnesses one of the largest massacres in Palestinian history</t>
  </si>
  <si>
    <t>A massive military operation by the IDF was conducted at the Al-Shifa Medical Complex in Gaza City, during which over 1,500 Palestinians were killed, injured, or reported missing. Around 25,000 Palestinian civilians were forced to evacuate their homes, and 1,200 housing units in the vicinity of the complex were demolished and set ablaze. Euro-Med claims this action is the most visible aspect yet of Israel’s systematic plan to destroy the Gaza Strip’s health sector, and a further proof of the genocide that Israel has been committing against the Palestinian people.</t>
  </si>
  <si>
    <t>Al-shifah hospital</t>
  </si>
  <si>
    <t>Civilians, Hospital, Forced Displacement, Humanitarian Law, Destruction, Burning, Bombing, Public Health, Massacres, Medical Equipment, Buildings, Demolition, Healthcare Workers, War Crimes, Genocide</t>
  </si>
  <si>
    <t>Al-Shifa Hospital, Gaza City</t>
  </si>
  <si>
    <t>https://www.middleeasteye.net/news/war-gaza-israel-palestinian-ran-over-tank-images-suggest</t>
  </si>
  <si>
    <t>War on Gaza: Images suggest Israel ran over Palestinian detainee with armoured vehicle</t>
  </si>
  <si>
    <t>The article discusses an incident where Israeli forces allegedly ran over a Palestinian detainee with an armored vehicle (unclear if he was dead or alive). This case is presented as allegedly representative of other such cases.</t>
  </si>
  <si>
    <t>Elis Gjevori</t>
  </si>
  <si>
    <t>Dehumanization, Violence, Tanks, Running Over</t>
  </si>
  <si>
    <t>https://x.com/DmodosCutter/status/1853435319384727784</t>
  </si>
  <si>
    <t>IDF airstrikes target residential buildings in Beit Lahiya</t>
  </si>
  <si>
    <t>More than 15 Palestinians killed with dozens more trapped under the rubble after IDF airstrike targeted residential buildings in Beit Lahia. Rescue teams are unable to reach or rescue those trapped under the rubble. This was part of the late 2024 broader operation in North Gaza.</t>
  </si>
  <si>
    <t>November 4, 2024</t>
  </si>
  <si>
    <t>Air Strike, Bombing, Civilians, Journalistic Report, Death, Rubble</t>
  </si>
  <si>
    <t>Gaza Strip, Beit Lahiya</t>
  </si>
  <si>
    <t>https://www.haaretz.co.il/news/security/2024-03-14/ty-article-magazine/.premium/0000018e-3bab-db12-a9ef-fbfb627d0000</t>
  </si>
  <si>
    <t>Satellite images show extensive air strike damage to Khan Yunis during low intensity warfare</t>
  </si>
  <si>
    <t>Satellite images reveal extensive destruction and flattened buildings in Khan Younis, Gaza, amid ongoing low-intensity conflict, as the IDF reduces its presence in the area.</t>
  </si>
  <si>
    <t>Yarden Michaeli, Avi Scharf</t>
  </si>
  <si>
    <t>https://www.planet.com/stories/khan-yunis-gaza-strip-OQ_61fzNR</t>
  </si>
  <si>
    <t>Destruction, Forced Displacement, Famine, Hospital, Buildings, Journalistic Report, Bombing, Demolition, Indiscriminate Shooting, Infrastructure, Safe Zones, Satellite images, Civilians</t>
  </si>
  <si>
    <t>IDF (Israel Defense Forces), Hamas, UN (United Nations), OCHA (UN Office for the Coordination of Humanitarian Affairs)</t>
  </si>
  <si>
    <t>Khan Younis, Nasser Hospital</t>
  </si>
  <si>
    <t>https://www.eurogamer.net/rovio-blocks-disturbing-pro-israel-ad-found-in-angry-birds-and-other-games</t>
  </si>
  <si>
    <t>Rovio blocks "disturbing" pro-Israel ad found in Angry Birds and other games</t>
  </si>
  <si>
    <t>Rovio has blocked a pro-Israel adovcacy advertisments featuring graphic content that was mistakenly served in its family-oriented games, including Angry Birds.</t>
  </si>
  <si>
    <t>Euro Gamer</t>
  </si>
  <si>
    <t>Matt Wales</t>
  </si>
  <si>
    <t>https://x.com/Rovio/status/1713978698787876920?s=20</t>
  </si>
  <si>
    <t>Censorship, Children, Propaganda, Video Games</t>
  </si>
  <si>
    <t>https://www.thedp.com/article/2024/05/penn-donors-react-encampment-university-response</t>
  </si>
  <si>
    <t>Penn alumni donors withdraw support from University following response to campus activism</t>
  </si>
  <si>
    <t>Prominent Penn alumni and donors, both pro-Israeli and pro-Palestinian, have expressed dissatisfaction with the university’s response to campus activism related to the Gaza Solidarity Encampment, leading some to withdraw financial support.</t>
  </si>
  <si>
    <t>The Daily Pennsylvanian</t>
  </si>
  <si>
    <t>Fiona Herzog</t>
  </si>
  <si>
    <t>Penn State University</t>
  </si>
  <si>
    <t>Campus Protests, Academia, Funding, American Society</t>
  </si>
  <si>
    <t>https://x.com/AnasAlSharif0/status/1847767278894608653</t>
  </si>
  <si>
    <t>Whole Residential Block Bombed, 73 Killed and Over 100 Injured</t>
  </si>
  <si>
    <t>Al Jazeera Video showing the extraction of bodies and injured people from the rubble of a residential block destroyed by Israeli airstrikes, which resulted in 73 deaths, over 100 injuries, and several people missing.</t>
  </si>
  <si>
    <t>Air Strike, Bombing, Civilians, Children, Journalistic report, Aid Workers, Buildings, Destruction, Journalistic Report, Death, Injury, Corpses, Disturbing Content, Indiscriminate Shooting</t>
  </si>
  <si>
    <t>https://x.com/AneraOrg/status/1858986152197583225</t>
  </si>
  <si>
    <t>Anera Team Distributed Thousands of Food Parcels From WCKitchen</t>
  </si>
  <si>
    <t>Anera team in Gaza distributed 3,875 food parcels from WCKitchen and had served 203,161 meals, primarly in Khan Younis.</t>
  </si>
  <si>
    <t>World Central Kitchen</t>
  </si>
  <si>
    <t>https://twitter.com/FakeReporter/status/1761696937256853788</t>
  </si>
  <si>
    <t>Israeli news anchor called out for sharing a nonexistent investigative report about Oct. 7</t>
  </si>
  <si>
    <t>A channel 14 news anchor made claims about an investigative report about the October 7, 2023 Hamas attacks and the Israeli military's conduct at the time. The anchor misattributed the report to the "military journal Atlantic." The report was later revealed not to exist.</t>
  </si>
  <si>
    <t>Fake Reporter (@FakeReporter)</t>
  </si>
  <si>
    <t>Media, Propaganda, Israeli Society, Misleading/Partially False, Debunked</t>
  </si>
  <si>
    <t>Shimon Riklin</t>
  </si>
  <si>
    <t>https://twitter.com/IDF/status/1716462311370633484</t>
  </si>
  <si>
    <t>IDF tweet claims that Hamas beheaded an unborn baby and cut it out of its mothers' belly on October 7, 2023</t>
  </si>
  <si>
    <t>IDF shares an alleged decleration that Hamas has beheaded an unborn baby and cut it out of its mothers' belly on October 7, 2023, claiming to have a photo of said event which cannot be shown on Twitter due to the platform's guidlines.</t>
  </si>
  <si>
    <t>Misleading/Partially False, Infants, Women, Terrorism, Pregnancy, Debunked, Social Media</t>
  </si>
  <si>
    <t>https://twitter.com/Israel/status/1717553687025815817</t>
  </si>
  <si>
    <t>IDF Col. shares eyewitness account of Hamas atrocities</t>
  </si>
  <si>
    <t>Post by the official State of Israel account containing a clip of IDF Col. Golan Vach sharing what he allegedaly saw on Oct 7: eight burned babies and one beheaded baby.</t>
  </si>
  <si>
    <t>Israel (@Israel)</t>
  </si>
  <si>
    <t>Kibbutz Be'eri</t>
  </si>
  <si>
    <t>Infants, Terrorism, Corpses, Civilians, Family, Misleading/Partially False, Debunked</t>
  </si>
  <si>
    <t>IDF (Israel Defense Forces), Israeli Government</t>
  </si>
  <si>
    <t>https://twitter.com/JoshBreiner/status/1772662679225635054</t>
  </si>
  <si>
    <t>Israeli police search the home of an Israeli activist</t>
  </si>
  <si>
    <t>Israeli police some in civilian clothing wrecklessly search the home of an Israeli activist suspected of coloring the water of a fountain in Jerusalem in red as part of protests calling for a hostage deal.</t>
  </si>
  <si>
    <t>Josh Breiner (@JoshBreiner)</t>
  </si>
  <si>
    <t>https://x.com/haaretznewsvid/status/1772524621662658874</t>
  </si>
  <si>
    <t>Israeli Society, Protest (Israel), Limiting Free Speech, Hostage Deal</t>
  </si>
  <si>
    <t>https://twitter.com/Kahlissee/status/1763587426163798282</t>
  </si>
  <si>
    <t>EU Commission to reinstate funding of UNRWA</t>
  </si>
  <si>
    <t>BBC clip revealing the EU Commission will reinstate its funding for UNRWA, after having previously stopped due to Israeli accusations that the UN body has Hamas ties.</t>
  </si>
  <si>
    <t>Kahlissee (@Kahlissee)</t>
  </si>
  <si>
    <t>Brussels</t>
  </si>
  <si>
    <t>Humanitarian Aid, Campaign against UNRWA, October 7th 2023, Funding</t>
  </si>
  <si>
    <t>UNRWA (The UN Relief and Works Agency for Palestine Refugees), EU (European Union)</t>
  </si>
  <si>
    <t>https://twitter.com/KnessetT/status/1769687691669430716</t>
  </si>
  <si>
    <t>MK Gottlieb calls MK Khatib-Yassin a supporter of terror, during a confrontation at a Knesset Committee meeting</t>
  </si>
  <si>
    <t>MK Gottlieb (Likud) is escorted out of a Knesset committee meeting after accusing fellow MK Khatib-Yassin (United Arab List) of supporting terror. MK Gottleib and Mk Distel-Atbaryan (Likud) aggresivly confronted MK Khatib-Yassin at a conference in the Knesset regarding a new policy to ease gun licensing.</t>
  </si>
  <si>
    <t>Knesset Channel (@KnessetT)</t>
  </si>
  <si>
    <t>Israeli Political Right, Limiting Free Speech, Israeli Far Right, Palestinian Citizens of Israel, Terrorism, Racism</t>
  </si>
  <si>
    <t>Israeli Government, Likud</t>
  </si>
  <si>
    <t>Tali Gotliv</t>
  </si>
  <si>
    <t>https://twitter.com/MartinKonecny/status/1783445318329147400</t>
  </si>
  <si>
    <t>Critical thread on Catherine Colonna's report on UNRWA</t>
  </si>
  <si>
    <t>A response to Colonna's UNRWA report by Martin Konečný of EuMEP, outlining how it skews in favor of Israel and Western donors. Konečný focuses mainly on the claim of antisemitic content in UNRWA textbooks and on the agency’s humanitarian role during the current war.</t>
  </si>
  <si>
    <t>Martin Konecny (@MartinKonecny)</t>
  </si>
  <si>
    <t>https://www.un.org/sites/un2.un.org/files/2024/04/unrwa_independent_review_on_neutrality.pdf</t>
  </si>
  <si>
    <t>Campaign against UNRWA, Humanitarian Aid, Funding, Education, Official Report, Diplomacy</t>
  </si>
  <si>
    <t>UNRWA (The UN Relief and Works Agency for Palestine Refugees), Israeli Government, UN (United Nations)</t>
  </si>
  <si>
    <t>Europe</t>
  </si>
  <si>
    <t>https://twitter.com/PulitzerPrizes/status/1787561713291645419</t>
  </si>
  <si>
    <t>Journalists and media workers covering the war in Gaza receive 2024 Pulitzer Prize Special Citation.</t>
  </si>
  <si>
    <t>Pulitzer Prize account on Twitter/X shares that journalists and media workers covering the war in Gaza have received a 2024 Pulitzer Prize Special Citation.</t>
  </si>
  <si>
    <t>Pulitzer Prize (@PulitzerPrizes)</t>
  </si>
  <si>
    <t>Media, Journalists</t>
  </si>
  <si>
    <t>https://www.npr.org/2023/11/07/1211133201/netanyahus-references-to-violent-biblical-passages-raise-alarm-among-critics</t>
  </si>
  <si>
    <t>Netanyahu's references to biblical passages validating violence against enemies raise alarm among critics</t>
  </si>
  <si>
    <t>An interview with Dr. Motti Inbari discussing Israeli Prime Minister Benjamin Netanyahu’s references to biblical passages that justify violence against enemies in the context of the ongoing conflict with Hamas—specifically, the use of the phrase “blot out the memory of Amalek” and the implications of framing the conflict as a holy war.</t>
  </si>
  <si>
    <t>October 28, 2023</t>
  </si>
  <si>
    <t>Leila Fadel</t>
  </si>
  <si>
    <t>United states</t>
  </si>
  <si>
    <t>Incitement to Genocide, Israeli Society, Amalek, Official Statement, October 7th 2023, Destruction, Protest (Israel), Indiscriminate Shooting, Propaganda</t>
  </si>
  <si>
    <t>Hamas, IDF (Israel Defense Forces), Israeli Government</t>
  </si>
  <si>
    <t>https://x.com/AnasAlSharif0/status/1848333440761872705</t>
  </si>
  <si>
    <t>IDF bombs displaced civilians taking alternate routes and those who comply en route to the checkpoint</t>
  </si>
  <si>
    <t>Anas Al-Sharif reports that after directing displaced people to head towards the checkpoint, the IDF bombs those who take alternate routes, and even those who comply are not spared. He also notes that Kamal Adwan Hospital has run out of shrouds due to the massive number of bodies.</t>
  </si>
  <si>
    <t>Jabalia</t>
  </si>
  <si>
    <t>Bombing, Civilians, Forced Displacement, Journalistic report, Corpses, Dehumanization, Injury, Death, Massacres</t>
  </si>
  <si>
    <t>North Gaza, Gaza Strip, Jabaliya, Kamal Adwan</t>
  </si>
  <si>
    <t>https://x.com/AnasAlSharif0/status/1859730966820028489</t>
  </si>
  <si>
    <t>IDF Drones Target Al-Awda Hospital and Its Medical Staff</t>
  </si>
  <si>
    <t>Anas Al-Sharif reports that IDF drones targeted Al-Awda Hospital and its medical staff following the bombing of Kamal Adwan Hospital.</t>
  </si>
  <si>
    <t>Al-Awda Hospital</t>
  </si>
  <si>
    <t>Hospital, Bombing, Healthcare Workers, Drone / Quadcopter</t>
  </si>
  <si>
    <t>North Gaza, Gaza Strip, Kamal Adwan</t>
  </si>
  <si>
    <t>https://www.theguardian.com/us-news/2024/apr/29/palestinian-israeli-protesters-clash-university-california</t>
  </si>
  <si>
    <t>Pro-Palestinian and pro-Israeli protesters clash at University of California, Los Angeles</t>
  </si>
  <si>
    <t>Pro-Palestinian and pro-Israeli protesters clashed at UCLA during a rally, leading to skirmishes and police presence on campus.</t>
  </si>
  <si>
    <t>April 28, 2024</t>
  </si>
  <si>
    <t>Maya Yang</t>
  </si>
  <si>
    <t>Violence, Protest (International), Academia, Campus Protests, International Sanctions</t>
  </si>
  <si>
    <t>https://x.com/MosabAbuToha/status/1864284704867856422</t>
  </si>
  <si>
    <t>IDF detains and opens fire towards evacuees at a checkpoint near Beit Lahia</t>
  </si>
  <si>
    <t>Mosab Abu Toha shares a photo of a new military checkpoint where evacuating families from Beit Lahia, Jabalia, and Beit Hanoun must pass in order to evacuate, noting that four of his relatives—two in-laws and two of his wife’s cousins—were detained there by the IDF. He also reports that Israeli forces have opened fire on people who passed the checkpoint and were heading toward Gaza City, wounding dozens.</t>
  </si>
  <si>
    <t>Mosab Abu Toha (@MosabAbuToha)</t>
  </si>
  <si>
    <t>Forced Displacement, Indiscriminate Shooting, Civilians, Abduction, Shooting, War Crimes, Social Media, Detainees, Arrest</t>
  </si>
  <si>
    <t>Jabaliya, North Gaza, Beit Hanoun, Gaza City, Beit Lahiya</t>
  </si>
  <si>
    <t>https://x.com/MosabAbuToha/status/1864314281384198597</t>
  </si>
  <si>
    <t>Palestinians fleeing under fire from Northern Gaza</t>
  </si>
  <si>
    <t>A video showing Palestinian civilians—men, women, and children—fleeing in panic as they try to evacuate northern Gaza through the Beit Lahiya checkpoint. They scramble through the rubble-strewn area, carrying bags and water containers, while continuous gunfire echoes around them.</t>
  </si>
  <si>
    <t>Indiscriminate Shooting, Forced Displacement, Destruction, Children, Women, Civilians, Dehumanization, Ethnic Cleansing, Humiliation, Shooting</t>
  </si>
  <si>
    <t>Beit Lahiya, North Gaza, Jabaliya</t>
  </si>
  <si>
    <t>https://twitter.com/ytirawi/status/1769761897358750158</t>
  </si>
  <si>
    <t>Soldiers escort a handcuffed Palestinian detainee, and torch a house</t>
  </si>
  <si>
    <t>The video shows a detainee followed by soldiers down a staircase, his head down, upper body naked, and hands tied in front. It then cuts to a soldier entering a house with a torch, other soldiers pointing the gun to the house. Twisted voice in Arabic in the background saying "I've been to Gaza, I've been in hell".</t>
  </si>
  <si>
    <t>Burning, Captivity Conditions, Prisoners, Dehumanization, Destruction, Torching Houses, Vandalism, Detainees</t>
  </si>
  <si>
    <t>Khan Younis, Gaza Strip, South Gaza</t>
  </si>
  <si>
    <t>https://twitter.com/DrSakriKaia/status/1754685268454785074</t>
  </si>
  <si>
    <t>"No evidence" of UNRWA 7.10 involvement</t>
  </si>
  <si>
    <t>UK's Channel 4 News shares Israeli document that provides "no evidence" of UNRWA staff involvement in October 7th.</t>
  </si>
  <si>
    <t>DrKaiaRSakri (@DrSakriKaia)</t>
  </si>
  <si>
    <t>https://x.com/i/status/1754685268454785074</t>
  </si>
  <si>
    <t>ICJ (International Court of Justice), Israeli Government, UNRWA (The UN Relief and Works Agency for Palestine Refugees)</t>
  </si>
  <si>
    <t>https://twitter.com/FPAIsPal/status/1777599364568875206</t>
  </si>
  <si>
    <t>Foreign Press Association statement regarding lack of journalistic access in Gaza</t>
  </si>
  <si>
    <t>The Foreign Press Association shares a statement expressing alarm over Israel's ban on journalists entering the Gaza Strip.</t>
  </si>
  <si>
    <t>Foreign Press Assoc. (@FPAIsPal)</t>
  </si>
  <si>
    <t>PFA - The Foreign Press Associaion</t>
  </si>
  <si>
    <t>Blockade, Journalists, Censorship, Misleading/Partially False, Limiting Free Speech</t>
  </si>
  <si>
    <t>Israeli Government, Israeli Supreme Court</t>
  </si>
  <si>
    <t>https://www.washingtonpost.com/politics/2024/03/18/biden-israel-gaza-rafah-palestinians/</t>
  </si>
  <si>
    <t>How Biden got enmeshed in a damaging Gaza war he can’t control</t>
  </si>
  <si>
    <t>Report on President Biden's complicated involvement in the Gaza conflict, highlighting internal doubts within his administration about Israel's military actions and the challenges he faces in managing U.S. support for Israel amidst rising casualties and humanitarian concerns.</t>
  </si>
  <si>
    <t>Yasmeen Abutaleb, John Hudson</t>
  </si>
  <si>
    <t>Bombing, Civilians, Humanitarian Crisis,Famine, Children, Hostages, Hospital, Blocking Aid, War Crimes, Terrorism, Doubting the Gaza Death Toll</t>
  </si>
  <si>
    <t>Hamas, IDF (Israel Defense Forces), USAID (United States Agency for International Development), United States, Gaza Health Ministry, Israeli Foreign Ministry, WHO (World Health Organization)</t>
  </si>
  <si>
    <t>Israel, West Bank, USA, Rafah, Jabaliya, Al-Shifa Hospital</t>
  </si>
  <si>
    <t>https://news.sky.com/story/israel-bulldozed-mass-graves-at-gaza-hospital-sky-news-analysis-shows-13121638</t>
  </si>
  <si>
    <t>Israel bulldozed mass graves at Gaza hospital, Sky News analysis shows</t>
  </si>
  <si>
    <t>Sky News, citing an analysis of satellite imagery and social media, reports that Israeli forces bulldozed mass graves at Nasser Hospital in Khan Yunis, following the burial of Palestinians there during the siege.</t>
  </si>
  <si>
    <t>Tom Cheshire, Ben van der Merwe and Sam Doak</t>
  </si>
  <si>
    <t>Burial, Civilians, Hospital, Corpses, Ground Operation, Palestinian Testimony, Analysis, War Crimes, Massacres, Hostages</t>
  </si>
  <si>
    <t>Nasser Hospital, Khan Younis</t>
  </si>
  <si>
    <t>https://twitter.com/ytirawi/status/1756696385510883830</t>
  </si>
  <si>
    <t>Soldiers jokingly advertise merchandise from a Hebron store</t>
  </si>
  <si>
    <t>A video filmed in Hebron and posted on TikTok shows Israeli soldiers humorously presenting furniture for sale in what appears to be a Palestinian shop.</t>
  </si>
  <si>
    <t>Hebron</t>
  </si>
  <si>
    <t>Ground Operation, Israeli Soldier Movies, Social Media, Confiscated Assets, Humiliation</t>
  </si>
  <si>
    <t>https://twitter.com/ytirawi/status/1756697908907233406</t>
  </si>
  <si>
    <t>IDF Soldiers mocking Palestinan detainees</t>
  </si>
  <si>
    <t>Palestinian detainees sitting on the ground while Israeli soldiers play a lively song chanting. The Hebrew caption reads: "Early morning rising."</t>
  </si>
  <si>
    <t>Detainees, Israeli Soldier Movies, Humiliation, Social Media</t>
  </si>
  <si>
    <t>https://twitter.com/ytirawi/status/1760462497943839127</t>
  </si>
  <si>
    <t>Humiliation of Palestinian detainees</t>
  </si>
  <si>
    <t>An Israeli soldier from the IDF’s 5060 Battalion assertively gripping the shoulders of two blindfolded, handcuffed Palestinian detainees.</t>
  </si>
  <si>
    <t>Ground Operation, Humiliation, Israeli Soldier Photos, Detainees, Social Media</t>
  </si>
  <si>
    <t>https://twitter.com/ytirawi/status/1761463527489900685</t>
  </si>
  <si>
    <t>IDF soldiers pose in trophy-style photo with bound, blindfolded Palestinian detainees</t>
  </si>
  <si>
    <t>Five IDF soldiers posing for the camera behind four blindfolded and kneeling Palestinian detainees.</t>
  </si>
  <si>
    <t>February 24,2024</t>
  </si>
  <si>
    <t>Tulkarem</t>
  </si>
  <si>
    <t>Humiliation, Israeli Soldier Photos, Detainees, Social Media</t>
  </si>
  <si>
    <t>Tul Karem</t>
  </si>
  <si>
    <t>https://twitter.com/ytirawi/status/1765313264324333905</t>
  </si>
  <si>
    <t>IDF reservists chanting a far-right-linked anti-Palestinian slogan in Hebron</t>
  </si>
  <si>
    <t>Israeli soldiers chanting ‘May Your Village Burn’ on a bus in Hebron.</t>
  </si>
  <si>
    <t>Israeli Soldier Movies, Racism, Israeli Far Right</t>
  </si>
  <si>
    <t>https://twitter.com/ytirawi/status/1765436458108653778</t>
  </si>
  <si>
    <t>IDF soldiers mock bound and blindfolded Palestinian detainees in the West Bank</t>
  </si>
  <si>
    <t>Two photos from the West Bank show two Palestinian detainees while an IDF soldier flips them off.</t>
  </si>
  <si>
    <t>March 6, 0202</t>
  </si>
  <si>
    <t>Israeli Soldier Photos, Israeli Soldier Movies, Detainees, Humiliation</t>
  </si>
  <si>
    <t>https://twitter.com/ytirawi/status/1765673191521874004</t>
  </si>
  <si>
    <t>IDF soldiers filming and humiliating Palestinian detainees</t>
  </si>
  <si>
    <t>Two photos and a video filmed in the West Bank, of IDF soldiers posing with Palestinian detainees in a humiliating fashion.</t>
  </si>
  <si>
    <t>March 7,2024</t>
  </si>
  <si>
    <t>Humiliation, Israeli Soldier Photos, Israeli Soldier Movies, Ground Operation, Women, Detainees</t>
  </si>
  <si>
    <t>https://www.ynet.co.il/news/article/hko00u9uma</t>
  </si>
  <si>
    <t>One coaliltion MK left the meting; another berated the mother of a hostage: "You are destroying the country"</t>
  </si>
  <si>
    <t>Report on a heated debate in the Israeli Knesset regarding protests related to the release of hostages held by Hamas. The report highlights tensions between lawmakers and families of the hostages.</t>
  </si>
  <si>
    <t>Nina Fox</t>
  </si>
  <si>
    <t>Text, Audio, Video</t>
  </si>
  <si>
    <t>Hostages, Hostage Deal, Protest (Israel), Israeli Political Right, Israeli Society, Religious Right</t>
  </si>
  <si>
    <t>Hostages and Missing Families Forum, Al Jazeera, Israeli Government</t>
  </si>
  <si>
    <t>https://www.haaretz.co.il/news/politics/2024-11-05/ty-article/.highlight/00000192-fd09-de0c-a7db-ff4d78930000</t>
  </si>
  <si>
    <t>The extent of the destruction of North Gaza by the IDF sends a clear message:"We are here to stay"</t>
  </si>
  <si>
    <t>Report of a phone conversation between U.S. Secretary of State Antony Blinken and Israeli Defense Minister Yoav Gallant regarding Israel's military actions in northern Gaza and the humanitarian situation there ahead of the U.S. presidential elections.</t>
  </si>
  <si>
    <t>November 05, 2024</t>
  </si>
  <si>
    <t>Amos Harel, Yaniv Kubovich</t>
  </si>
  <si>
    <t>Humanitarian Crisis, Destruction, Forced Displacement, Infrastructure, Israeli Far Right, Religious Right, Hostages, Hostage Deal, Campaign against UNRWA, Civilians, Food, Water, Violence, Humanitarian Aid</t>
  </si>
  <si>
    <t>https://www.972mag.com/northern-gaza-liquidation-scenario-eiland-rabi/</t>
  </si>
  <si>
    <t>A plan to liquidate northern Gaza is gaining steam</t>
  </si>
  <si>
    <t>Forecast of an imminent future in Gaza (and Israel) if the proposed "Generals' Plan" is carried out. The article highlights statements from Israeli politicians, academics and military personnel..</t>
  </si>
  <si>
    <t>Meron Rapoport</t>
  </si>
  <si>
    <t>Starvation, Forced Displacement, Protest (Israel), The Generals' Plan, Jewish Settlements in Gaza, Ethnic Cleansing, Israeli Society, Academia</t>
  </si>
  <si>
    <t>North Gaza, Deir al Balah, Khan Younis, Rafah</t>
  </si>
  <si>
    <t>Benjamin Netanyahu, Yoav Gallant, Itamar Ben-Gvir, Bezalel Smotritch</t>
  </si>
  <si>
    <t>https://www.ynet.co.il/news/article/r1zlcnoga</t>
  </si>
  <si>
    <t>Minister of Defence Gallant has established his own strategic advisory team</t>
  </si>
  <si>
    <t>Report on strategic advisory team formed by Yoav Gallant that includes former high-ranking security officials, and their role in supporting military efforts amid ongoing conflict.</t>
  </si>
  <si>
    <t>October 27, 2023</t>
  </si>
  <si>
    <t>Yossi Yehoshua</t>
  </si>
  <si>
    <t>Gaza Strip, Israel, USA</t>
  </si>
  <si>
    <t>https://www.mekomit.co.il/ps/138983/</t>
  </si>
  <si>
    <t>A visit to the beloved homeland, perhaps a lost homeland</t>
  </si>
  <si>
    <t>A visit home to Israel by Historian Omer Bartov, reflecting on the current social tensions and protests against his lecture on the Gaza conflict, as well as broader issues of antisemitism and genocide.</t>
  </si>
  <si>
    <t>June 19, 2025</t>
  </si>
  <si>
    <t>Omer Bartov</t>
  </si>
  <si>
    <t>Be'er Sheva</t>
  </si>
  <si>
    <t>Antisemitism, Genocide, Israeli Society, Protest (Israel), Academia, Campus protests, Israeli Political Right, Limiting Free Speech</t>
  </si>
  <si>
    <t>https://theintercept.com/2024/05/22/whatsapp-security-vulnerability-meta-israel-palestine/</t>
  </si>
  <si>
    <t>Undisclosed WhatsApp Vulnerability Lets Governments See Who You Message</t>
  </si>
  <si>
    <t>Report on a WhatsApp security vulnerability that allows governments to monitor user communications despite the app's encryption, raising concerns about surveillance, particularly in the context of the Israel-Palestine conflict.</t>
  </si>
  <si>
    <t>Sam Biddle</t>
  </si>
  <si>
    <t>Social Media, Protest (Israel), Protest (Palestinians), Media, Limiting Free Speech</t>
  </si>
  <si>
    <t>Israeli Government, IDF (Israel Defense Forces), Hamas, United States</t>
  </si>
  <si>
    <t>https://www.mako.co.il/news-politics/2024_q1/Article-7c6a192b2cbfd81026.htm</t>
  </si>
  <si>
    <t>Senior Israeli military source: Netanahu doesn't want to decide regarding "the day after"</t>
  </si>
  <si>
    <t>A report on ongoing military operations in Gaza, highlighting significant actions taken by the IDF against Hamas, while according to the source, Netanyahu’s deliberate refusal to address the political track and transfer Gaza’s governance to non-Hamas entities is creating a major problem.</t>
  </si>
  <si>
    <t>Nir Dvori</t>
  </si>
  <si>
    <t>Ground Operation, Humanitarian Aid, Israeli Political Right</t>
  </si>
  <si>
    <t>Zaytun Neighborhood, Gaza City, Khan Younis</t>
  </si>
  <si>
    <t>https://www.washingtonpost.com/politics/2023/10/27/biden-israel-palestine-muslim-americans-war/</t>
  </si>
  <si>
    <t>White House scrambles to salvage relationship with Arab, Muslim Americans</t>
  </si>
  <si>
    <t>A report on President Biden’s efforts to maintain relationships with Arab and Muslim Americans amid growing feelings of alienation and betrayal in these communities, partly triggered by his public doubts about the Palestinian death toll in the Israel-Gaza conflict.</t>
  </si>
  <si>
    <t>Hannah Allam, Michelle Boorstein</t>
  </si>
  <si>
    <t>Civilians, Children, Doubting the Gaza Death Toll, Islamophobia, Protest (Palestinians), Humanitarian Crisis, Destruction, Poll</t>
  </si>
  <si>
    <t>United States, IDF (Israel Defense Forces), Hamas</t>
  </si>
  <si>
    <t>USA, Israel, Gaza Strip</t>
  </si>
  <si>
    <t>Joe Biden, Antony Blinken</t>
  </si>
  <si>
    <t>https://www.ha-makom.co.il/post/revital-host-idf</t>
  </si>
  <si>
    <t>The IDF suspected that hostages were inside the building but carried out the strike nonetheless, resulting in the death of Yossi Sharabi.</t>
  </si>
  <si>
    <t>The article describes the deaths of hostages like Yossi Sharabi, who were killed as a result of IDF airstrikes while in captivity. It raises concerns that ongoing military operations are endangering the hostages’ lives, while the IDF states it was unaware of their exact locations and questions the link between some airstrikes and the hostages’ deaths.</t>
  </si>
  <si>
    <t>Hostages, Bombing, Captivity Conditions, Death</t>
  </si>
  <si>
    <t>Nuseirat Refugee Camp, Al-Shifa Hospital, Jabaliya</t>
  </si>
  <si>
    <t>Nitzan Alon</t>
  </si>
  <si>
    <t>https://twitter.com/BallouxFrancois/status/1743019663913537943</t>
  </si>
  <si>
    <t>Thread on civilian casualties and humanitarian crisis in Gaza</t>
  </si>
  <si>
    <t>Between Israel's incursion into Gaza and the publication of this article on January 3, 2024, Israel’s military offensive in Gaza has killed over 22,000 Palestinians (70% women and children) and injured 57,000 in under three months, while triggering a catastrophic humanitarian crisis. Nearly all of Gaza faces imminent famine, with 100% of children under five at risk of severe malnutrition, 60% of housing destroyed, and only 13 of 36 hospitals functional amid severe shortages of food, water, fuel, and medical supplies. Attacks on aid workers (144 UN staff, 312 health workers, and 106 journalists killed) compound the devastation, as does the trauma endured by 2.3 million Palestinians. Meanwhile, regional tensions escalate, including a Beirut explosion killing a Hamas leader and skirmishes displacing thousands in Lebanon—raising fears of wider conflict.</t>
  </si>
  <si>
    <t>Francis Balloux (@BallouxFrancois)</t>
  </si>
  <si>
    <t>https://reliefweb.int/attachments/210fefe4-0d9f-4f5f-8514-faa87449b34a/SitRep%235%20Israel-Gaza%20Conflict%201.3.2024.pdf</t>
  </si>
  <si>
    <t>Civilians, Gaza Death Toll, Starvation, Humanitarian Crisis, Destruction, Domicide, Food, Fuel, Healthcare Workers, Hospital, Medical Supplies, Water, Journalists, War Crimes, Quantitative Data, Public Health, Death, Hostages</t>
  </si>
  <si>
    <t>Gaza Health Ministry, UN (United Nations), Hamas, Hezbollah</t>
  </si>
  <si>
    <t>https://x.com/Nadav_Eyal/status/1849135512373592563</t>
  </si>
  <si>
    <t>Wounded child signaling for help before explosion hits would-be rescuers</t>
  </si>
  <si>
    <t>A video captures a wounded child waving for help in the middle of the street as a woman’s voice cries out, “He’s in pieces. He’s in pieces”. Just as several bystanders rush toward the child to help, a massive explosion erupts, killing at least one more person.</t>
  </si>
  <si>
    <t>Nadav Eyal (@Nadav_Eyal)</t>
  </si>
  <si>
    <t>Arabic, Hebrew</t>
  </si>
  <si>
    <t>Civilians, Children, Murder, Disturbing Content, Death, Rules of Engagement, Dehumanization, Indiscriminate Shooting</t>
  </si>
  <si>
    <t>IDF (Israel Defense Forces), Project HOPE</t>
  </si>
  <si>
    <t>https://x.com/ezzingaza/status/1858599026511540389</t>
  </si>
  <si>
    <t>An Israeli airstrike killed 17 members of a Gazan doctor's family</t>
  </si>
  <si>
    <t>A report on Dr. Hani Badran a dedicated doctor, whose whole family was wiped out in an airstrike that killed 17 people at one blow. A tragedy, alas not a unique one in Gaza.</t>
  </si>
  <si>
    <t>Dr Ezzideen (@ezzingaza)</t>
  </si>
  <si>
    <t>Air Strike, Civilians, Healthcare Workers, Medicine, Ground Operation</t>
  </si>
  <si>
    <t>https://x.com/ezzingaza/status/1861854116114485655</t>
  </si>
  <si>
    <t>The circumstances caused by a shortage of medical equipment</t>
  </si>
  <si>
    <t>Lack of functioning equipment and medical supplies costs lives of patients who might have been saved in other circumstances.</t>
  </si>
  <si>
    <t>Air Strike, Healthcare Workers, Medicine, Medical Equipment, Public Health</t>
  </si>
  <si>
    <t>https://x.com/ezzingaza/status/1862231344329498677</t>
  </si>
  <si>
    <t>Medical professionals are calling for solidarity from the global medical community in light of the ongoing medical disaster in Gaza</t>
  </si>
  <si>
    <t>A 16-year-old, admitted to the neonatal ICU due to the unavailability of appropriate ICU care, has died. As this case joins many similar ones, Dr. Ezzideen, writing on behalf of healthcare professionals, is calling for solidarity from the global medical community.</t>
  </si>
  <si>
    <t>November 28, 2024</t>
  </si>
  <si>
    <t>Air Strike, Children, Healthcare Workers, Public Health, Public Opinion, Medicine, Medical Equipment, Schools</t>
  </si>
  <si>
    <t>https://x.com/ezzingaza/status/1857909049532010610</t>
  </si>
  <si>
    <t>Books for bread? in absence of cooking fuel paper is hot curency</t>
  </si>
  <si>
    <t>In northern Gaza, where no cooking gas has entered since the beginning of the war, a baker offered Palestinian author and lecturer Dr. Mahmoud Assaf to buy his entire library in exchange for fuel.</t>
  </si>
  <si>
    <t>Dr Mahmoud Assaf</t>
  </si>
  <si>
    <t>Academia, Cultural Genocide, Books, Education, Fuel, Blockade, Cooking Gas</t>
  </si>
  <si>
    <t>https://x.com/gazanotice/status/1851262527893622978</t>
  </si>
  <si>
    <t>Live report from Kamal Adwan Hospital after an airstrike in Beit Lahiya, including one that struck nearby during the interview.</t>
  </si>
  <si>
    <t>Dr. Abu Safiya, director of Kamal Adwan Hospital, reports live during an airstrike in the vicinity. He describes the scale of injuries and the severe shortage of medical, surgical, and staff resources, noting that many patients die for lack of doctors able to perform life-saving operations. According to the post, 115 Palestinian civilians were killed in Gaza that day.</t>
  </si>
  <si>
    <t>Gaza Notifications (@gazanotice)</t>
  </si>
  <si>
    <t>kamal Adwan Hospital</t>
  </si>
  <si>
    <t>Text, Video, Audio</t>
  </si>
  <si>
    <t>Air Strike, Bombing, Corpses, Children, Civilians, Hospital, Healthcare Workers, Medicine, Destruction, Public Health, Amputation, Disturbing Content, Interview, Massacres</t>
  </si>
  <si>
    <t>Kamal Adwan Hospital, Beit Lahiya, North Gaza</t>
  </si>
  <si>
    <t>https://x.com/gazanotice/status/1852519949987668134</t>
  </si>
  <si>
    <t>A named list of 126 deceased members of the Nasser family from an airstrike on a residential building in Beit Lahiya.</t>
  </si>
  <si>
    <t>A named list of 126 members of the Nasser family, out of 255 killed in an airstrike on a five-story residential building in Beit Lahiya. The thread also features a video of a Palestinian woman reciting the names of her deceased and missing relatives. The post notes that the Nasser family has become a symbol of the genocide unfolding in Gaza.</t>
  </si>
  <si>
    <t>Civilians, Air Strike, Family, Bombing, Destruction, Genocide, Death</t>
  </si>
  <si>
    <t>https://x.com/gazanotice/status/1852805823157723314</t>
  </si>
  <si>
    <t>According to the Gaza Civil Defense spokesperson, an Israeli attack on a building belonging to the Abu Nasr family in Beit Lahiya killed 255 members of the family.</t>
  </si>
  <si>
    <t>An Israeli attack on a building belonging to the Abu Nasr family in Beit Lahiya killed 255 family members, with 177 buried and 134 still under the rubble at the time of the report. The five-story building was densely populated by displaced Palestinians, mainly women and children. First responders were reportedly prevented by the IDF from reaching the injured.</t>
  </si>
  <si>
    <t>Air Strike, Civilians, Children, Burial, Women, Humanitarian Aid, Public Health, Bombing, Rubble, Family, Destruction, Death, Massacres</t>
  </si>
  <si>
    <t>PCD (Palestinian Civil Defence)</t>
  </si>
  <si>
    <t>https://x.com/idanlandau/status/1850589992994718195</t>
  </si>
  <si>
    <t>IDF kills 45 in Gaza, including 3 journalists</t>
  </si>
  <si>
    <t>The IDF killed 45 people across the Gaza Strip in a single day, including victims of an airstrike on houses in the Jabalia refugee camp and another on a school sheltering displaced Palestinians in the Shati refugee camp. Among the dead were a 9-year-old girl and three local journalists.</t>
  </si>
  <si>
    <t>Air Strike, Civilians, Children, Journalists, Schools, Bombing, Death</t>
  </si>
  <si>
    <t>Jabaliya, Gaza Strip, North Gaza, Al-Shati Refugee Camp</t>
  </si>
  <si>
    <t>https://x.com/idanlandau/status/1854412734168772892</t>
  </si>
  <si>
    <t>IDF will not allow residents to return to Jabalia</t>
  </si>
  <si>
    <t>Commander of IDF division 162 confirms that residents of Northern Gaza will not be allowed to return to their homes</t>
  </si>
  <si>
    <t>Ethnic Cleansing, Forced Displacement, Humanitarian Aid, Aid Distribution, Blocking Aid, Starvation</t>
  </si>
  <si>
    <t>Jabaliya, North Gaza, Gaza Strip, Beit Lahiya</t>
  </si>
  <si>
    <t>https://euromedmonitor.org/en/article/6200</t>
  </si>
  <si>
    <t>In a press conference, Euro-Med accused the Israeli army of responsibility for the Gaza flour massacre</t>
  </si>
  <si>
    <t>Euro-Med Human Rights Monitor confirms Israel's responsibility for the Gaza flour massacre during a press conference, calling for an international investigation.</t>
  </si>
  <si>
    <t>Civilians, Humanitarian Aid, Massacres, Shooting, Indiscriminate Shooting, Hospital, Debunked, Famine, Food, Healthcare Workers, Humanitarian Crisis, Military Correspondent, Misleading/Partially False, Tanks, Violence</t>
  </si>
  <si>
    <t>https://twitter.com/JoshuaPHilll/status/1789407061555445951</t>
  </si>
  <si>
    <t>You'all already been dancing while blocking aid into Gaza</t>
  </si>
  <si>
    <t>"You'all already been dancing while blocking aid into Gaza" Response to Israel post saying "We will dance again"</t>
  </si>
  <si>
    <t>May 12, 2024</t>
  </si>
  <si>
    <t>Read Starting Somewhere (@JPHilllllll)</t>
  </si>
  <si>
    <t>https://x.com/Israel/status/1789381437440889252</t>
  </si>
  <si>
    <t>Blockade, Blocking Aid</t>
  </si>
  <si>
    <t>https://zeteo.com/p/israel-gaza-quadcopter-drone-warfare</t>
  </si>
  <si>
    <t>Israel's Armed Quadcopters in Gaza Mark a Dangerous New Era in Drone Warfare</t>
  </si>
  <si>
    <t>A report on Israel's use of armed quadcopters in Gaza presents different accounts of their use against civilians since the early phases of the Gaza war, highlighting the dangerous implications for 21st-century warfare and their lethal impact in Gaza and other international conflicts.</t>
  </si>
  <si>
    <t>Spencer Ackerman,</t>
  </si>
  <si>
    <t>https://www.middleeasteye.net/news/war-gaza-israeli-quadcopters-hi-tech-weapon-menacing-palestinian-civilians</t>
  </si>
  <si>
    <t>Civilians, Air Strike, Drone / Quadcopter, Children, Healthcare Workers, Hospital, Palestinian Testimony, Surveillance, Food, Indiscriminate Shooting, Shooting, AI (Artificial Intelligence)</t>
  </si>
  <si>
    <t>IDF (Israel Defense Forces), Elbit</t>
  </si>
  <si>
    <t>Gaza Strip, Khan Younis, Nuseirat Refugee Camp, North Gaza, Nasser Hospital, USA, Israel, Iran, Al Ahli Baptist Hospital, Rafah</t>
  </si>
  <si>
    <t>https://mondoweiss.net/2024/05/israels-extortion-leaflets-and-namecheap-how-to-do-corporate-accountability-during-a-genocide/</t>
  </si>
  <si>
    <t>Israel’s extortion leaflets and Namecheap: How to do corporate accountability during a genocide</t>
  </si>
  <si>
    <t>A report on Israel's use of leaflets in Gaza as psychological warfare also calls for corporate accountability from Namecheap, which hosts a website featured in the leaflets. The leaflets allegedly direct civilians to the site to solicit information and threaten to expose personal details, including criminal records, extramarital affairs, and queer identities. The report urges Namecheap to cut ties with any activity the ICC deems to constitute war crimes.</t>
  </si>
  <si>
    <t>Tali Shapiro</t>
  </si>
  <si>
    <t>https://x.com/ytirawi/status/1791817289899164073?ref_src=twsrc%5Etfw%7Ctwcamp%5Etweetembed%7Ctwterm%5E1791817289899164073%7Ctwgr%5E7a604e5480feaf9705a015acce29c42f714af924%7Ctwcon%5Es1_&amp;ref_url=https%3A%2F%2Fmondoweiss.net%2F2024%2F05%2Fisraels-extortion-leaflets-and-namecheap-how-to-do-corporate-accountability-during-a-genocide%2F</t>
  </si>
  <si>
    <t>Genocide, War Crimes, Civilians, Children, Abuse, Hostages, Surveillance, Accountability, Propaganda, Psychological Warfare</t>
  </si>
  <si>
    <t>Hamas, IDF (Israel Defense Forces), ICC (International Criminal Court), ICJ (International Court of Justice), UN (United Nations), United States</t>
  </si>
  <si>
    <t>Gaza Strip, USA</t>
  </si>
  <si>
    <t>https://www.haaretz.co.il/blogs/yossimelman/2024-03-26/ty-article/0000018e-7564-d787-a5de-75e616c60000</t>
  </si>
  <si>
    <t>Netanyahu is undermining the chances of releasing the hostages, and the defense establishment is struggling to remain silent.</t>
  </si>
  <si>
    <t>A report on Israeli Prime Minister Benjamin Netanyahu’s statements and actions, which are claimed to be undermining efforts to secure the release of hostages held by Hamas. It also provides further information regarding Hamas’s demands and representatives in Gaza and abroad, setbacks in the negotiations, and the establishment and operation of the Intelligence and Operations Command.</t>
  </si>
  <si>
    <t>Yossi Melman</t>
  </si>
  <si>
    <t>Hostage Deal, Hostages, Prisoners, Humanitarian Aid, Israeli Negotiation Team, Ceasefire, US-Israeli Relations</t>
  </si>
  <si>
    <t>Hamas, Qatar, Egypt, Palestinian Authority, Hostages and Missing Families Forum, United States, Israeli Government</t>
  </si>
  <si>
    <t>Gaza Strip, Rafah, Kerem Shalom Crossing , Erez Crossing, Nitzana Border Crossing, Zaytun Neighborhood, Qatar</t>
  </si>
  <si>
    <t>Benjamin Netanyahu, Yahya Al-Sinwar, Yoav Gallant, Herzi Halevi, Ismail Haniyeh, Ronen Bar, David Barnea, Nitzan Alon, Marwan Barghouti</t>
  </si>
  <si>
    <t>https://twitter.com/AssalRad/status/1764815517548994866</t>
  </si>
  <si>
    <t>Leading US media covers Gaza's flour massacre while omitting Israel's role in both the killings and its broader starvation campaign</t>
  </si>
  <si>
    <t>Headlines from four major Western outlets—The New York Times, The Wall Street Journal, The Washington Post, and NPR—covering Gaza's 'flour massacre' of February 29, 2024 all omit Israel's responsibility, despite its documented policy of starving Gaza and repeated attacks on civilians seeking aid.</t>
  </si>
  <si>
    <t>BBC, NPR, The New York Times, The Washington Post</t>
  </si>
  <si>
    <r>
      <t>https://www.npr.org/2024/02/29/1234906745/gaza-food-aid-convoy-israel-hamas</t>
    </r>
    <r>
      <rPr>
        <sz val="10"/>
        <color theme="1"/>
        <rFont val="Arial"/>
        <family val="2"/>
      </rPr>
      <t xml:space="preserve">, </t>
    </r>
    <r>
      <rPr>
        <u/>
        <sz val="10"/>
        <color rgb="FF1155CC"/>
        <rFont val="Arial"/>
        <family val="2"/>
      </rPr>
      <t>https://www.nytimes.com/2024/03/01/world/middleeast/israel-aid-convoy-killings-witnesses.html</t>
    </r>
    <r>
      <rPr>
        <sz val="10"/>
        <color theme="1"/>
        <rFont val="Arial"/>
        <family val="2"/>
      </rPr>
      <t xml:space="preserve">, </t>
    </r>
    <r>
      <rPr>
        <u/>
        <sz val="10"/>
        <color rgb="FF1155CC"/>
        <rFont val="Arial"/>
        <family val="2"/>
      </rPr>
      <t>https://www.washingtonpost.com/world/2024/03/01/gaza-aid-delivery-stampede-shots/</t>
    </r>
    <r>
      <rPr>
        <sz val="10"/>
        <color theme="1"/>
        <rFont val="Arial"/>
        <family val="2"/>
      </rPr>
      <t xml:space="preserve">, </t>
    </r>
    <r>
      <rPr>
        <u/>
        <sz val="10"/>
        <color rgb="FF1155CC"/>
        <rFont val="Arial"/>
        <family val="2"/>
      </rPr>
      <t>https://www.wsj.com/world/middle-east/how-an-israeli-attempt-to-coordinate-gaza-aid-went-horribly-wrong-b1857e6c</t>
    </r>
    <r>
      <rPr>
        <sz val="10"/>
        <color theme="1"/>
        <rFont val="Arial"/>
        <family val="2"/>
      </rPr>
      <t xml:space="preserve"> </t>
    </r>
  </si>
  <si>
    <t>Media, Media bias, Starvation, Massacres, Civilians, Food</t>
  </si>
  <si>
    <t>https://washingtonmonthly.com/2024/05/24/are-gaza-protests-happening-mostly-at-elite-colleges/</t>
  </si>
  <si>
    <t>Are Gaza Protests Happening Mostly at Elite Colleges in the US?</t>
  </si>
  <si>
    <t>The article analyzes the concentration of pro-Palestinian protests at colleges and universities in the U.S., highlighting disparities in protest activity based on student demographics and socioeconomic status, and concludes that such protests are overwhelmingly an elite college phenomenon.</t>
  </si>
  <si>
    <t>Washington Monthly</t>
  </si>
  <si>
    <t>Robert Kelchen, Marc Novicoff</t>
  </si>
  <si>
    <t>Text, Chart</t>
  </si>
  <si>
    <t>Academia, Analysis, Campus Protests, Protest (International), Public Debate, Quantitative Data</t>
  </si>
  <si>
    <t>United States, Columbia University</t>
  </si>
  <si>
    <t>https://www.haaretz.co.il/news/security/2024-11-24/ty-article-magazine/.premium/00000193-3eab-d5cd-a3bf-7eff92f00000</t>
  </si>
  <si>
    <t>Satellite images from Jabalia reveal: The largest refugee camp in the Gaza Strip has been almost completely destroyed</t>
  </si>
  <si>
    <t>Satellite images reveal extensive destruction in the Jabalia refugee camp in Gaza caused by the bombings and the ground operations in the camp, exacerbating the humanitarian crisis by leaving no single area fit for habitation.</t>
  </si>
  <si>
    <t>November 24, 2024</t>
  </si>
  <si>
    <t>Yaniv Kubovitch Jackie Khouri, Avi Scharf</t>
  </si>
  <si>
    <t>Humanitarian Crisis, Civilians, Destruction, Ground Operation, Forced Displacement, The Generals' Plan, Infrastructure, Bombing, Hospital, Schools, Food</t>
  </si>
  <si>
    <t>IDF (Israel Defense Forces), Hamas, UNRWA (The UN Relief and Works Agency for Palestine Refugees)</t>
  </si>
  <si>
    <t>Jabaliya, North Gaza</t>
  </si>
  <si>
    <t>https://www.washingtonpost.com/world/2024/10/22/blinken-israel-netanyahu-gaza-aid/</t>
  </si>
  <si>
    <t>Blinken presses Israel’s Netanyahu on dire conditions in northern Gaza</t>
  </si>
  <si>
    <t>U.S. Secretary of State Antony Blinken urged Israeli Prime Minister Benjamin Netanyahu to increase aid to Gaza and warned that worsening conditions could affect U.S. support. He also pressed Netanyahu to clarify reports of a strategy to starve northern Gaza, which Netanyahu denied.</t>
  </si>
  <si>
    <t>October 5, 2024</t>
  </si>
  <si>
    <t>Adam Taylor, John Hudson, Hajar Harb</t>
  </si>
  <si>
    <t>Humanitarian Aid, Humanitarian Crisis, Civilians, The Generals' Plan, Ground Operation, Healthcare Workers</t>
  </si>
  <si>
    <t>Gaza Health Ministry, OCHA (UN Office for the Coordination of Humanitarian Affairs), World Food Programme, COGAT (The Coordination of the Israeli Government Activities in the Territories), Jordan</t>
  </si>
  <si>
    <t>North Gaza, Jabaliya, Kerem Shalom Crossing, South Gaza</t>
  </si>
  <si>
    <t>Antony Blinken, Benjamin Netanyahu, Lloyd Austin, Ron Dermer</t>
  </si>
  <si>
    <t>https://www.haaretz.co.il/news/politics/2024-01-02/ty-article/.premium/0000018c-c6e5-d6c4-ab8d-e7f561840000</t>
  </si>
  <si>
    <t>Security prisoners in Gilboa Prison: Since October 7 we are froced to kiss the flag</t>
  </si>
  <si>
    <t>Security prisoners in Gilboa Prison report harsh detention conditions, abuse and mistreatment by guards, including being forced to kiss the national flag since October 7. Israel Prison Service (IPS or SHABAS) has denied the arguments.</t>
  </si>
  <si>
    <t>Decmber 2023</t>
  </si>
  <si>
    <t>Joshua (Josh) Breiner</t>
  </si>
  <si>
    <t>Gilboa Prison, Megido Prison</t>
  </si>
  <si>
    <t>Captivity Conditions, Violence, Collective Punishment, Prisoners, Abuse, Humiliation, Torture, Testimony</t>
  </si>
  <si>
    <t>Israeli Incarceration System, Israeli Supreme Court</t>
  </si>
  <si>
    <t>Israeli Prison, Megido Prison, Gilboa Prison</t>
  </si>
  <si>
    <t>Gali Baharav-Miara</t>
  </si>
  <si>
    <t>https://www.haaretz.co.il/news/politics/2023-12-10/ty-article/.premium/0000018c-542b-df2f-adac-fe2f4bf80000</t>
  </si>
  <si>
    <t>Security establishment assessments indicate that among the hundreds of detainees photographed in the Strip, about 10 to 15 percent are identified with Hamas</t>
  </si>
  <si>
    <t>Security sources estimates that 10% to 15% of Palestinian detainees identified in Gaza are linked to Hamas allegedly for security and Hamas demoralization causes. Experts said that the mass arrests and the humiliating treatment could be considered a violation of the laws of war.</t>
  </si>
  <si>
    <t>December 10, 2023</t>
  </si>
  <si>
    <t>Decmber 08, 2023</t>
  </si>
  <si>
    <t>Yaniv Kubovitch</t>
  </si>
  <si>
    <t>Abuse, Humiliation, War Crimes, Prisoners, Civilians, Violence, Winter conditions, Palestinian Testimony, Ethnic Cleansing, Forced Displacement, Collective Punishment</t>
  </si>
  <si>
    <t>Hamas, IDF (Israel Defense Forces), UNRWA (The UN Relief and Works Agency for Palestine Refugees)</t>
  </si>
  <si>
    <t>Gaza Strip, Shujjaiya, Jabaliya</t>
  </si>
  <si>
    <t>Daniel Hagari, Francesca Albanese</t>
  </si>
  <si>
    <t>https://www.mekomit.co.il/ps/133998/</t>
  </si>
  <si>
    <t>Settlers kill two Palestinians in braod daylight: "there is no law here"</t>
  </si>
  <si>
    <t>Settlers shot and killed two Palestinian shepherds on the lands of the Khirbet al-Tawil community in broad daylight. witnesses reporting the presence of soldiers who did not intervene. The army did not allow the evacuation of the bodies and transferred them for autopsy.</t>
  </si>
  <si>
    <t>Oren Ziv</t>
  </si>
  <si>
    <t>Maher Beni Fadel</t>
  </si>
  <si>
    <t>Aqraba / Khirbet al-Tawil</t>
  </si>
  <si>
    <t>Settlements, Murder, Settlers Violence, Palestinian Testimony, Violence, Forced Displacement, Annexation, Confiscated Assets</t>
  </si>
  <si>
    <t>IDF (Israel Defense Forces), Israeli Police, Israeli Prison</t>
  </si>
  <si>
    <t>West Bank, Nablus</t>
  </si>
  <si>
    <t>https://www.haaretz.co.il/news/politics/2024-05-20/ty-article/.premium/0000018f-9268-d212-abcf-d66d978d0000</t>
  </si>
  <si>
    <t>The Rabbi permitted to stop aid trucks on Shabbat: this is how rightwing activists organize blocking aid trucks to Gaza</t>
  </si>
  <si>
    <t>Hundreds of right-wing activists, part of a movement called "We Shall Not Forget," organize via Whatsapp to block aid trucks heading to Gaza. The actions were in part based on a controversial religious sanction, by rightwing Rabbi Dov Lior, to do so even on Shabbat.</t>
  </si>
  <si>
    <t>Bar Peleg, Eden Solomon</t>
  </si>
  <si>
    <t>Israel, Occupied West Bank</t>
  </si>
  <si>
    <t>Humanitarian Aid, Settlers Violence, Religious Right, Blocking Aid</t>
  </si>
  <si>
    <t>IDF (Israel Defense Forces), Israeli Police</t>
  </si>
  <si>
    <t>Erez Crossing, Nitzana Border Crossing, Jerusalem, West Bank, Kerem Shalom Crossing, Zikim Crossing</t>
  </si>
  <si>
    <t>https://apnews.com/article/israel-al-jazeera-qatar-hamas-war-gaza-49c2aa4afb3c3b0ee6ac314b63d80716</t>
  </si>
  <si>
    <t>Netanyahu vows to shut down Al Jazeera’s operations in Israel. Channel says Netanyahu’s incitement claim is a dangerous lie</t>
  </si>
  <si>
    <t>Prime Minister Benjamin Netanyahu has vowed to shut down Al Jazeera's operations in Israel, labeling it a 'terror channel' amid escalating tensions with Qatar and ongoing conflict in Gaza. The channel accuses Israel of targeting its staff. Israeli parliament passed a law clearing the way for closing the station.</t>
  </si>
  <si>
    <t>Josef Federman</t>
  </si>
  <si>
    <t>Censorship, Media, Journalists, Limiting Free Speech, Propaganda, October 7th 2023, Media bias</t>
  </si>
  <si>
    <t>Hamas, Al Jazeera, Qatar, Islamic Jihad, Israeli Government, Israeli Parliament (Knesset)</t>
  </si>
  <si>
    <t>Israel, Qatar</t>
  </si>
  <si>
    <t>Number Master</t>
  </si>
  <si>
    <t>Countries &amp; Organizations (tag)</t>
  </si>
  <si>
    <t>דו"ח חדש של UNDP אומר שחלה נסיגה של כ-69 שנים בהתפתחות עזה</t>
  </si>
  <si>
    <t>דו"ח חדש מטעם ארגון הפיתוח של האו"ם קובעת שבלי הסרת המגבלות הכלכליות ואפשרות שיקום והשקעות בפיתוח, צפויה עלייה בעוני, צמצום בתמ"ג וברמת התעסוקה בכלכלה הפלסטינית</t>
  </si>
  <si>
    <t>תכנית הפיתוח של האו"ם (UNPD)</t>
  </si>
  <si>
    <t>אנגלית</t>
  </si>
  <si>
    <t>רצועת עזה</t>
  </si>
  <si>
    <t>דוח רשמי</t>
  </si>
  <si>
    <t>טקסט</t>
  </si>
  <si>
    <t>כלכלה, סיוע הומניטרי, מצור, שיקום</t>
  </si>
  <si>
    <t>השקפת העולם של תא"ל ואך ידועה. למרות זאת הופקד על גזרה רגישה בעזה</t>
  </si>
  <si>
    <t>מאמר הדעה דן בפעילות הצבא ברצועת עזה וחילוקי הדעות סביב החלטות תא"ל וואך, למרות רגישות המצב</t>
  </si>
  <si>
    <t>הארץ</t>
  </si>
  <si>
    <t>יגיל לוי</t>
  </si>
  <si>
    <t>עברית</t>
  </si>
  <si>
    <t>מסדרון נצרים</t>
  </si>
  <si>
    <t>דעה</t>
  </si>
  <si>
    <t>טיהור אתני, כללי מעורבות, הימין הדתי</t>
  </si>
  <si>
    <t>צה״ל</t>
  </si>
  <si>
    <t>האו"ם: על ישראל לשאת בשלכות של הפרת הדין הבינלאומי</t>
  </si>
  <si>
    <t>מומחי האו"ם מאשימים את ישראל בהפרת החוק הבינלאומי בשטחים הפלסטינים הכבושים וקוראים להכרה בפשעים נגד האנושות ופשעי מלחמה.</t>
  </si>
  <si>
    <t>רצח, עינויים, עקירה בכפייה, אלימות מינית</t>
  </si>
  <si>
    <t>בית החולים כמאל עדואן</t>
  </si>
  <si>
    <t>סקר דצמבר 2024: רוב הציבור (57.5%) תומך בעסקה כוללת לשחרור כול החטופים בתמורה לסיום המלחמה</t>
  </si>
  <si>
    <t>סקר שערך מכון הישראלי לדמוקרטיה מצא, בין שאר הנושאים, רוב גדול התומך בעסקה כוללת לשחרור החטיפים בתמורה לסיום המלחמה.</t>
  </si>
  <si>
    <t>המכון הישראלי לדמוקרטיה</t>
  </si>
  <si>
    <t>פרופ' תמר הרמן, ד"ר ליאור יוחנני, ירון קפלן, אינה אורלי ספוז'ניקוב</t>
  </si>
  <si>
    <t>ישראל</t>
  </si>
  <si>
    <t>ניתוח</t>
  </si>
  <si>
    <t>עסקת בני ערובה, הפסקת אש, דעת קהל, החברה הישראלית</t>
  </si>
  <si>
    <t>להרוס את השליח: כך החריבה ישראל את מתקני העיתונות בעזה</t>
  </si>
  <si>
    <t>תחקיר של פורבידן סטוריז ושיחה מקומית בעקבות הפגיעה בעיתונאים ובמשרדיהם.</t>
  </si>
  <si>
    <t>שיחה מקומית</t>
  </si>
  <si>
    <t>לאה פרושון</t>
  </si>
  <si>
    <t>עיר עזה</t>
  </si>
  <si>
    <t>דיווח עיתונאי</t>
  </si>
  <si>
    <t>מדיה, אזרחים, תקיפה אווירית, כללי מעורבות, עיתונאים, פשעי מלחמה</t>
  </si>
  <si>
    <t>שלושה חיילי מילואים מספרים מדוע יסרבו לשרת בעזה גם אם ישלמו על כך</t>
  </si>
  <si>
    <t>שלושה חיילי מילואים מסבירים מדוע חתמו על מכתב סירוב לשרת בעזה</t>
  </si>
  <si>
    <t>ליזה רוזובסקי</t>
  </si>
  <si>
    <t>פשעי מלחמה, כללי מעורבות, מבצע קרקעי, עסקת בני ערובה</t>
  </si>
  <si>
    <t>המיתוס של 'מגינים אנושיים'</t>
  </si>
  <si>
    <t>המאמר חושף את השימוש לראה בטיעון 'מגינים אנושיים' בו משתמש הצבא הישראלי ברצועת עזה, וחושף את השפעתו על האוכלוסייה האזרחית</t>
  </si>
  <si>
    <t>מוחמד שחאדה</t>
  </si>
  <si>
    <t>אזרחים, כללי מעורבות, תקיפה אווירית, ענישה קולקטיבית</t>
  </si>
  <si>
    <t>מכתב 99 רופאים שהתנדבו לשרת בעזה לנשיא ארה"ב ביידן ולסגניתו האריס</t>
  </si>
  <si>
    <t>במכתב פתוח לנשיא ארה"ב ביידן ולסגניתו האריס פונים אנשי צוותי רפואה אמריקנים לפעול בדחיות למנוע המשך הקטקסטרופה בעזה ובישראל.</t>
  </si>
  <si>
    <t>צוותי רפואה אמריקנים שפעלו בעזה</t>
  </si>
  <si>
    <t>מכתב פתוח</t>
  </si>
  <si>
    <t>אזרחים, בית חולים, בריאות הציבור, עינויים</t>
  </si>
  <si>
    <t>ארצות הברית</t>
  </si>
  <si>
    <t>ג'ו ביידן, קמלה האריס</t>
  </si>
  <si>
    <t>איך אפשר להפציץ בניין על כל יושביו?: בבית לאהיא מחפשים ניצולים במבנה שקרס</t>
  </si>
  <si>
    <t>לפי הרשויות בעזה, כמאה בני אדם נהרגו ועוד עשרות נעדרים בתקיפת מבנה מגורים בן חמש קומות בבית לאהיא שאיכלס כ-200 איש. בצה"ל אומרים כי תצפיתן שהה על גג המבנה. אנשי שירותי ההצלה, המשיכו לנסות ולאתר ניצולים.</t>
  </si>
  <si>
    <t>ג'קי חורי</t>
  </si>
  <si>
    <t>בית לאהיא</t>
  </si>
  <si>
    <t>תקיפה אווירית, אזרחים</t>
  </si>
  <si>
    <t>וירוס פוליו מדבק התגלה בדגימות ביוב בעזה</t>
  </si>
  <si>
    <t>וירוס פוליו מדבק התגלה בדגימות ביוב בעזה ומעמיד בסכנה אלפי תושבים בגלל תנאי היגיינה ותשתיות פגועים.</t>
  </si>
  <si>
    <t>סוכנות הידיעות הצרפתית</t>
  </si>
  <si>
    <t>מים, בריאות הציבור</t>
  </si>
  <si>
    <t>מרכז רצועת עזה</t>
  </si>
  <si>
    <t>בתקיפה אווירית נהרגו מהנדסי מים ותשתיות נציגי העירייה שפעלו להחזיר לפעולה את אספקת המים</t>
  </si>
  <si>
    <t>בתקיפה אווירית ישראלית על בנין העירייה של עזה נהרגו לפחות ארבעה שעבדו על חידוש אספקת מים לבארות המים ובכך פגעו אנושות באספקת משאב חיוני בעזה הנצורה.</t>
  </si>
  <si>
    <t>נאגהם מוחאנה</t>
  </si>
  <si>
    <t>תקיפה אווירית, אזרחים, מים</t>
  </si>
  <si>
    <t>עזתים מחרימים שווקים מקומיים בשל הפקעת מחירים</t>
  </si>
  <si>
    <t>שווקים בעזה התרוקנו בשל חרם של העזתים במחאה על האשמת הסוחרים מחירים המופקעים</t>
  </si>
  <si>
    <t>סוכנות הידיעות הסינית</t>
  </si>
  <si>
    <t>מרכז ודרום רצועת עזה</t>
  </si>
  <si>
    <t>מזון, סיוע הומניטרי</t>
  </si>
  <si>
    <t>בתור לאוכל נמחצו למוות אישה ושני ילדים פלסטינים</t>
  </si>
  <si>
    <t>על רקע מצוקת המזון הגוברת ברצונת עזה נמחצו למוות אישה ושני ילדים פלסטינים בתור למאפיה.</t>
  </si>
  <si>
    <t>אביר סלמאן, מוחמד אל-סוואלי, איברהים דמאן, מישל מק'לאסקי</t>
  </si>
  <si>
    <t>סיוע הומניטרי, מזון, אזרחים</t>
  </si>
  <si>
    <t>דהומנציזציה של הפלסטינים מוצגת על ידי חיילים ישראלים בסרטונים במדיה החברתית</t>
  </si>
  <si>
    <t>בסרטונים תכנים מטרידים של חיילי ישראל, כולל תיאורי הרס, ביזה והתנהגות לא מכובדת כלפי פלסטינים</t>
  </si>
  <si>
    <t>מרי טורפה</t>
  </si>
  <si>
    <t>ונדליזם</t>
  </si>
  <si>
    <t>חיילי מילואים תוקפים נהגי משאיות עזתים העובדים עבור ארגוני סיוע</t>
  </si>
  <si>
    <t>חיילי מילואים תוקפים נהגי משאיות עזתים העובדים עבור ארגוני סיוע למרות שיש להם אישור מכוחות הביטחון</t>
  </si>
  <si>
    <t>יניב קובוביץ</t>
  </si>
  <si>
    <t>מעבר כרם שלום</t>
  </si>
  <si>
    <t>סיוע הומניטרי, אזרחים</t>
  </si>
  <si>
    <t>משרד החינוך קרא לבתי הספר לערוך הרקדות ומשלוחי מנות לתלמידים עקב חיסול נסראללה</t>
  </si>
  <si>
    <t>מינהל החינוך הדתי במשרד החינוך, האחראי על הפיקוח על רבני בתי הספר הממלכתיים־דתיים, הנחה בתי ספר לערוך חגיגות לציון הרג מנהיג חיזבאללה. היו גורמים במשרד שמתחו ביקורת על המהלך</t>
  </si>
  <si>
    <t>ליאור דטל</t>
  </si>
  <si>
    <t>החברה הישראלית</t>
  </si>
  <si>
    <t>חסן נסראללה</t>
  </si>
  <si>
    <t>סגן ראש העיר ירושלים נחקר בחשד להסתה לטרור לאחר שפרסם פוסטים נגד אונר"א</t>
  </si>
  <si>
    <t>סגן ראש העיר ירושלים נחקר בחשד להסתה לאלימות והסתה לטרור לאחר שפרסם פוסטים נגד אונר"א ועידוד לשריפת מבני אונר"א</t>
  </si>
  <si>
    <t>יעל פרידסון</t>
  </si>
  <si>
    <t>טרור</t>
  </si>
  <si>
    <t>משטרת ישראל, אונר״א</t>
  </si>
  <si>
    <t>ירושלים</t>
  </si>
  <si>
    <t>צה"ל משתמש באזרחים פלסטינים כמגינים חיים בעזה.</t>
  </si>
  <si>
    <t>חיילי צה"ל לפי דיווח בניו יורק טיימס מאלצים אזרחים פלסטינים לשמש כמגינים חיים ולבצע משימות מסכנות חיים.</t>
  </si>
  <si>
    <t>נתן אודנהיימר, בילאל שבאר, פטריק קינגסלי</t>
  </si>
  <si>
    <t>מבצע קרקעי, אזרחים</t>
  </si>
  <si>
    <t>לילה עם יחידת רפאים של צה"ל, שנלחמת ברצועה כבר שמונה חודשים</t>
  </si>
  <si>
    <t>לילה עם יחידת רפאים של צה"ל, שמכונה גם היחידה הרב-ממדית, שתפקידה לאתר ולפגוע במחבלים בעומק שטח הלחימה באמצעות יכולות טכנולוגיות מתקדמות</t>
  </si>
  <si>
    <t>בני ערובה</t>
  </si>
  <si>
    <t>הזמנה מטעם הליכוד לאירוע בעוטף הופצה תחת הכותרת "נערכים להתיישב בחבל עזה"</t>
  </si>
  <si>
    <t>לפי ההזמנה, הליכוד יקים סוכה כחלק מ"עיר סוכות" בעוטף עזה של תנועת "נחלה", שפועלת להקמת מאחזים בלתי חוקיים בגדה. בהזמנה נכתב כי ח"כים מהליכוד צפויים להגיע</t>
  </si>
  <si>
    <t>נועה שפיגל</t>
  </si>
  <si>
    <t>עוטף עזה</t>
  </si>
  <si>
    <t>החברה הישראלית, התנחלויות</t>
  </si>
  <si>
    <t>בני גנץ, בנימין נתניהו</t>
  </si>
  <si>
    <t>ילדי עזה החלו את שנת הלימודים בתוך חורבן, אובדן ואי ודאות</t>
  </si>
  <si>
    <t>מורים ואנשי חינוך בעזה החרבה מנסים לספק לילדים תוכניות חינוכיות בכיתות, באוהלים או במבנים הרוסים, אך ספק אם התוכניות האלה ישרדו תחת ההתקפות המתמשכות והחורף המתקרב</t>
  </si>
  <si>
    <t>רווידה כמאל עמאר ואיבתיסאם מהדי</t>
  </si>
  <si>
    <t>סקולסטיסייד (השמדת מערכת חינוך)</t>
  </si>
  <si>
    <t>תחקיר זמן אמת: בסיוע חיילים הצליחה פעילת הימין להיכנס לנצרים</t>
  </si>
  <si>
    <t>רכב צבאי הסיע את דניאלה וייס, ממייסדות תנועת ההתיישבות, לתוך שטח צבאי סגור ברצועת עזה. שלטונות הצבא היו מודעים לכך.</t>
  </si>
  <si>
    <t>כאן 11</t>
  </si>
  <si>
    <t>אבי עמית</t>
  </si>
  <si>
    <t>הימין הדתי, התנחלויות</t>
  </si>
  <si>
    <t>ישראל התחייבה לאפשר קיום עבודות לשיקום הרצועה בתחילת השלב הראשון של העסקה</t>
  </si>
  <si>
    <t>במסגרת ההסכם יוקמו ערי קראוונים לתושבי הרצועה במימון בינלאומי. לאחר שהממשלה אישרה הלילה את העסקה, הודיע דובר משרד החוץ הקטארי כי הפסקת האש תיכנס לתוקף מחר ב-8:30. חמאס מחויב לשלוח לישראל היום את שמות שלוש החטופות הראשונות שישוחררו</t>
  </si>
  <si>
    <t>יניב קובוביץ ויהונתן ליס</t>
  </si>
  <si>
    <t>צפון רצועת עזה</t>
  </si>
  <si>
    <t>עסקת בני ערובה, שיקום, הפסקת אש</t>
  </si>
  <si>
    <t>קטאר</t>
  </si>
  <si>
    <t>נתניהו מציע 5 מיליון דולר עבור כל חטוף שישוחרר</t>
  </si>
  <si>
    <t>נתניהו מציע פרס כספי עבור שחרור חטופים תוך שהוא דוחה הצעה להפסקת אש ומאיים להעניש מי שיפגע בחטופים.</t>
  </si>
  <si>
    <t>אפרת ליבני</t>
  </si>
  <si>
    <t>עסקת בני ערובה, בני ערובה</t>
  </si>
  <si>
    <t>בנימין נתניהו, יואב גלנט</t>
  </si>
  <si>
    <t>סרבנות שקטה ומושתקת: לוחמים בסדיר לא מוכנים יותר להמשיך להילחם</t>
  </si>
  <si>
    <t>מנח״ל ועד חטיבת הקומנדו, מגבעתי ועד הצנחנים - יותר ויותר לוחמים, מכלל יחידות החי״ר, מעידים שהשחיקה והאטימות של צה"ל לא הותירה להם ברירה אלא לסרב</t>
  </si>
  <si>
    <t>המקום הכי חם בגיהנום</t>
  </si>
  <si>
    <t>רביטל חובל</t>
  </si>
  <si>
    <t>בכיר בצוות המו"מ: ראשי מערכת הביטחון מעריכים שנתניהו לא מעוניין לקדם עסקה</t>
  </si>
  <si>
    <t>ידיעות על משבר ביחסים בין נתניהו למערכת הביטחון. במערכת הביטחון, וכן בארה"ב בקטאר ובמצרים, מעריכים כבר חודשים ארוכים כי נתניהו אינו מעוניין בעסקה. זאת, בין היתר כדי לשמור על שרידות הממשלה שלו.</t>
  </si>
  <si>
    <t>מיכאל האוזר טוב, יהונתן ליס ובר פלג</t>
  </si>
  <si>
    <t>עסקת בני ערובה</t>
  </si>
  <si>
    <t>שב״כ</t>
  </si>
  <si>
    <t>מסדרון נצרים, ציר פילדלפי</t>
  </si>
  <si>
    <t>רונן בר, בנימין נתניהו</t>
  </si>
  <si>
    <t>צה"ל ושב"כ חילצו מרצועת עזה את גופתו של החייל אורון שאול שנהרג במבצע צוק איתן ב-2014</t>
  </si>
  <si>
    <t>גופתו של שאול נחטפה למנהרה בשג'אעייה לאחר שטיל RPG נורה על הנגמ"ש שבו היה עם חבריו. כוחות מיוחדים, בהם לוחמי שייטת 13, השתתפו בהשבתו לישראל. צה"ל: מחויבים להשיב גם את הדר גולדין ושאר החטופים</t>
  </si>
  <si>
    <t>יניב קובוביץ, עדי חשמונאי ובר פלג</t>
  </si>
  <si>
    <t>אתר "סרוגים" פירסם מאמר שתומך בטרור יהודי נגד פלסטינים</t>
  </si>
  <si>
    <t>בתגובה למהומות המתנחלים בג'ית שבהן נורה פלסטיני למוות, פרסם סמנכ"ל "חוננו" לשעבר, אורי קירשנבום, באתר החדשות הדתי־לאומי "סרוגים", טור תחת הכותרת "דין ג'ית כדין רפיח": "שמישהו יסביר לי למה מה שנכון בעזה לא נכון בג'נין, בחברון ובשכם"</t>
  </si>
  <si>
    <t>עדו דוד כהן</t>
  </si>
  <si>
    <t>הגדה המערבית</t>
  </si>
  <si>
    <t>הימין הדתי</t>
  </si>
  <si>
    <t>הגדה המערבית, שכונת זיתון</t>
  </si>
  <si>
    <t>ממשלת נתניהו לא סתם מאפשרת את הטרור היהודי בגדה. היא מממנת אותו. תחקיר</t>
  </si>
  <si>
    <t>המתנחלים מדברים על זה במונחים של מהפכה: במקום התנחלויות מגודרות על הגבעות, הוקמו בתוך שבע שנים יותר מ–60 חוות שהשתלטו על מאות אלפי דונם בגדה. הפרויקט הנוסק הזה, שמתבסס על כוח עבודה של בני נוער שנפלטו ממסגרות, הפך למחולל המרכזי של אלימות נגד פלסטינים. והוא ממומן בעשרות מיליונים בידי המדינה</t>
  </si>
  <si>
    <t>הילו גלזר, הגר שיזף</t>
  </si>
  <si>
    <t>ממשלת ישראל</t>
  </si>
  <si>
    <t>בביקור במנהל האזרחי אמר סמוטריץ' כי הוא פועל לסגור אותו: "דיברתי עם נתניהו</t>
  </si>
  <si>
    <t>שר האוצר רוצה לנצל את מומנטום כניסת ממשל טראמפ, ולקדם את סיפוח יהודה ושומרון והחלת ריבונות על השטח. הכתבה מרחיבה על המשמעויות הדרמטיות של צעד כזה</t>
  </si>
  <si>
    <t>ynet</t>
  </si>
  <si>
    <t>אלישע בן קימון</t>
  </si>
  <si>
    <t>הימין הדתי, סיפוח</t>
  </si>
  <si>
    <t>בצלאל סמוטריץ'</t>
  </si>
  <si>
    <t>בן גביר דורש מהמשטרה לתעדף הריסת מבנים לא חוקיים שמאכלסים משפחות</t>
  </si>
  <si>
    <t>השר לביטחון לאומי איתמר בן גביר התערב במדיניות האכיפה של המשטרה בהריסת מבנים לא חוקיים, והורה לבכירים בארגון לתעדף הריסת בתים המאוכלסים על ידי משפחות על אף שאין לו הסמכות לקבוע את מדיניות ההריסה</t>
  </si>
  <si>
    <t>יהושע (ג'וש) בריינר</t>
  </si>
  <si>
    <t>נגב</t>
  </si>
  <si>
    <t>משטרת ישראל</t>
  </si>
  <si>
    <t>איתמר בן גביר</t>
  </si>
  <si>
    <t>במחנה הפליטים שועפט לא מאמינים שהרשויות ייכנסו לנעלי אונר"א</t>
  </si>
  <si>
    <t>כמו בהחלטות רבות שנוגעות לירושלים מאז 1967, גם החוק לסילוק אונר"א לא הגיע על רקע רצון לפתור בעיה כלשהי, להקל על תושבי ירושלים או לקדם עתיד טוב יותר. גם אם יש בעיות בסוכנות, לא מדובר בארגון טרור, אלא בארגון שמספק שירותים חיוניים למאות אלפי בני אדם</t>
  </si>
  <si>
    <t>ניר חסון</t>
  </si>
  <si>
    <t>מזרח ירושלים</t>
  </si>
  <si>
    <t>קמפיין נגד אונר״א</t>
  </si>
  <si>
    <t>האומות המאוחדות</t>
  </si>
  <si>
    <t>אושר בטרומית: המשטרה תוכל לחדור למחשב או לטלפון אישי בלא ידיעת בעליו</t>
  </si>
  <si>
    <t>מליאת הכנסת אישרה בקריאה טרומית הצעה, לפיה קצין בדרגת ניצב־משנה ומעלה יוכל לבקש אישור מנשיא בית המשפט המחוזי או מסגנו לחדור למחשבים אישיים ולהעתיק מהם חומרים, אם שוכנע שהפעולה נדרשת למניעת "פשע חמור". החוק לא יחול על עבירות שחיתות כגון שוחד, מרמה והפרת אמונים</t>
  </si>
  <si>
    <t>נעה שפיגל</t>
  </si>
  <si>
    <t>אזרחים</t>
  </si>
  <si>
    <t>מדוע נחשבים הנתונים שמספק משרד הבריאות הפלסטיני בעזה לגבי מספר המתים אמינים?</t>
  </si>
  <si>
    <t>המאמר סוקר את חילוקי הדעות לגבי נתונים שמספק משרד הבריאות בעזה. במאמר נטען שהנתונים אמינים ומקובלים.</t>
  </si>
  <si>
    <t>אסמה אעד</t>
  </si>
  <si>
    <t>חמאס, משרד הבריאות בעזה, צה״ל</t>
  </si>
  <si>
    <t>פעילים ישראלים נעצרו על צביעת כביש בירושלים לפני שנה וחצי</t>
  </si>
  <si>
    <t>שני פעילים נעצרו לחקירה בחשד ששלפני יותר משנה צבעו כביש בירושלים במחאה נגד המהפכה המשטרית.</t>
  </si>
  <si>
    <t>בר פלג</t>
  </si>
  <si>
    <t>החברה הישראלית, ונדליזם, מחאה (בישראל)</t>
  </si>
  <si>
    <t>הריס מציעה תמיכה לישראל אך מדגישה את מצוקתם של הפלסטינים לאחר שיחה עם נתניהו</t>
  </si>
  <si>
    <t>סגנית הנשיא קמלה האריס מביעה תמיכה בזכותה של ישראל להגן על עצמה, אך גם מדגישה את הסבל של הפלסטינים במהלך פגישה עם ראש הממשלה בנימין נתניהו.</t>
  </si>
  <si>
    <t>פיטר בייקר</t>
  </si>
  <si>
    <t>אזרחים, בני ערובה, עקירה בכפייה, רעב כבד</t>
  </si>
  <si>
    <t>בנימין נתניהו, קמלה האריס, ג'ו ביידן</t>
  </si>
  <si>
    <t>כמה פקידים אמריקאים, ישראלים וערבים רואים את מוחמד דחלאן הפלסטיני כמנהיג אפשרי של כוח ביטחון זמני אחרי המלחמה.</t>
  </si>
  <si>
    <t>כחלק מהדיונים על מה שמכונה "היום שאחרי" בעזה, פקידים אמריקאים, ערבים וישראלים הציעו שמוחמד דחלאן, שהיה בעבר ראש כוחות הביטחון של הרשות הפלסטינית וחי כיום באבו דאבי, ימונה לאחראי על הביטחון ברצועת עזה, לאחר שהמלחמה תסתיים.</t>
  </si>
  <si>
    <t>סאמר סייד, פאטימה עבדולכרים, וסטיבן קלין</t>
  </si>
  <si>
    <t>חמאס, ארצות הברית</t>
  </si>
  <si>
    <t>ביבי במלחמה: בנימין נתניהו על המשבר ההיסטורי של ישראל ועל מדיניתו</t>
  </si>
  <si>
    <t>הנהגת בנימין נתניהו בתקופה של סכסוך וביקורת, עם דגש על אתגרי הביטחון של ישראל ויחסים בינלאומיים.</t>
  </si>
  <si>
    <t>אריק קורטלסה</t>
  </si>
  <si>
    <t>החברה הישראלית, בני ערובה, מבצע קרקעי, הפסקת אש, מחאה (בינלאומית), מחאה (בישראל)</t>
  </si>
  <si>
    <t>חמאס, צה״ל</t>
  </si>
  <si>
    <t>בנימין נתניהו, אנתוני בלינקן</t>
  </si>
  <si>
    <t>שנה של מאמץ אמריקאי לשחרר את בני הערובה, לסיים את הלחימה בעזה ולהביא שלום למזרח התיכון</t>
  </si>
  <si>
    <t>המאמר מספק תיאור כרונולוגי של המאמצים האמריקאיים לתווך שלום במזרח התיכון, תוך התמקדות במעורבות של ממשלת ביידן במהלך הסכסוך בין ישראל לחמאס.</t>
  </si>
  <si>
    <t>פרנקלין פויר</t>
  </si>
  <si>
    <t>בני ערובה, כיפת ברזל, תקיפה אווירית</t>
  </si>
  <si>
    <t>בני גנץ, בנימין נתניהו, אנתוני בלינקן, ג'ו ביידן, יואב גלנט, חסן נסראללה, יחיא סינואר, מוחמד בן סלמאן אאל סעוד</t>
  </si>
  <si>
    <t>בבית לאחיא הנצורה, גופות מרקיבות מפוזרות בין ההריסות</t>
  </si>
  <si>
    <t>המאמר מתאר את המצב הקשה בבית לאהיא, עזה, שבו התושבים מתמודדים עם הפצצות ישראליות מתמשכות, מחסור במזון ובמים, ותנאי חיים מתדרדרים.</t>
  </si>
  <si>
    <t>איברהים מוחמד</t>
  </si>
  <si>
    <t>אורביסייד (השמדת ערים), בית חולים, עקירה בכפייה, תקיפה אווירית</t>
  </si>
  <si>
    <t>מצעד המוות מבית לאהיא</t>
  </si>
  <si>
    <t>חוסאם שבת מדווח על הגירוש ההמוני מבית לאהיא, עזה, תחת הפגזות ארטילריה כבדות וירי.</t>
  </si>
  <si>
    <t>חוסאם שבת</t>
  </si>
  <si>
    <t>אזרחים, עיתונאים, עקירה בכפייה, מצור, מבצע קרקעי, תקיפה אווירית</t>
  </si>
  <si>
    <t>צפון רצועת עזה, בית החולים כמאל עדואן, בית החולים האינדונזי, ג'באליה, בית לאהיא</t>
  </si>
  <si>
    <t>דיווחים פלסטיניים: צה"ל מגביר את התקיפות על בתי חולים בצפון הרצועה ומפנה בכוח מטופלים</t>
  </si>
  <si>
    <t>דיווחים פלסטיניים מצביעים על כך שהצבא הישראלי מגביר את התקפותיו על בתי חולים בצפון רצועת עזה, מפנה בכוח מטופלים וגורם נזק.</t>
  </si>
  <si>
    <t>רואן סלימאן, ג'קי חורי</t>
  </si>
  <si>
    <t>בית חולים, תקיפה אווירית</t>
  </si>
  <si>
    <t>בית החולים כמאל עדואן, בית החולים האינדונזי, עיר עזה</t>
  </si>
  <si>
    <t>תוכנית ה'גנרלים' השנויה במחלוקת בצפון עזה צוברת תאוצה</t>
  </si>
  <si>
    <t>חברי ועדת החוץ והביטחון של הכנסת דורשים ממשרד הביטחון הישראלי ליישם את מה שמכונה "תוכנית הגנרלים", הכוללת פינוי כפוי של אזרחים ושלילת אנרגיה, מזון ומים בצפון עזה.</t>
  </si>
  <si>
    <t>ישראל היום</t>
  </si>
  <si>
    <t>שירית אביטן כהן</t>
  </si>
  <si>
    <t>אזרחים, מזון, עקירה בכפייה, מים</t>
  </si>
  <si>
    <t>פשרת הרווארד ואנטישמיות - פיצוי</t>
  </si>
  <si>
    <t>אוניברסיטת הרווארד הגיעה להסכם עם סטודנטים יהודים ומרכז ברנדייס לזכויות האדם בעקבות האשמות על כך שלא טיפלה באנטישמיות בקמפוס. ההסכם כולל פיצוי, אימוץ ההגדרה של IHRA לאנטישמיות, והקמת שותפויות עם אוניברסיטאות ישראליות.</t>
  </si>
  <si>
    <t>דניאל אדלסון</t>
  </si>
  <si>
    <t>ארה"ב</t>
  </si>
  <si>
    <t>אנטישמיות, אקדמיה</t>
  </si>
  <si>
    <t>סטודנטים ואנשי סגל במכללות מחפשים מרחב לדעות מורכבות על מלחמת ישראל-חמאס בקמפוסים המפולגים עמוקות.</t>
  </si>
  <si>
    <t>המאמר דן במאמצים של סטודנטים ואנשי סגל במכללות ליצור מרחב לדעות מורכבות על מלחמת ישראל-חמאס על רקע הפיצולים בקמפוסים.</t>
  </si>
  <si>
    <t>שרון אוטרמן</t>
  </si>
  <si>
    <t>דעת קהל, אקדמיה, מחאה (בינלאומית)</t>
  </si>
  <si>
    <t>פרופסור מאוניברסיטת תל אביב האשים את ישראל בפשעי מלחמה</t>
  </si>
  <si>
    <t>CAMERA בקמפוס, ארגון המנטר את השיח בקמפוסים אוניברסיטאיים בארצות הברית ובישראל, הקליט בסתר שיחה מאורגנת על ידי סטודנטים על המצב בעזה עם הפרופסור הישראלי עידן לנדו באוניברסיטת תל אביב וסיפק לעיתון הימני "מקור ראשון" את ההקלטות, וטען כי פרופ' לנדו האשים את ישראל ללא בסיס בפשעי מלחמה בעזה.</t>
  </si>
  <si>
    <t>מקור ראשון</t>
  </si>
  <si>
    <t>אביגיל זית</t>
  </si>
  <si>
    <t>פשעים נגד האנושות, אקדמיה</t>
  </si>
  <si>
    <t>70 אנשים הודו שהם העמידו פנים שהם קורבנות של ה-7 באוקטובר</t>
  </si>
  <si>
    <t>עשרות חשודים נמצאים בחקירה על כך שטוענים שהם קורבנות הטבח במפגש 'סופרנובה סוכות' (נובה) ליד קיבוץ רעים וקהילות בגבול עזה ב-7 באוקטובר. החוקרים חושדים בטענות שקריות על טראומה כדי לקבל מענק מביטוח לאומי ושוקלים להגיש נגדם כתבי אישום.</t>
  </si>
  <si>
    <t>רשת 13</t>
  </si>
  <si>
    <t>אלי סניור, אביעד גליקמן</t>
  </si>
  <si>
    <t>כנס היסטוריונים מגנה את השמדת הידע והחינוך בעזה</t>
  </si>
  <si>
    <t>חברי האגודה ההיסטורית האמריקאית בכנס השנתי הצביעו נהשמדת הידע והחינוך בעזה ומימון המלחמה של ישראל על ידי ארצות הברית, וקוראים להפסקת אש קבועה ולתמיכה בתשתית החינוכית של עזה.</t>
  </si>
  <si>
    <t>ראיין קווין</t>
  </si>
  <si>
    <t>סקולסטיסייד (השמדת מערכת חינוך), אקדמיה, חינוך, בתי ספר</t>
  </si>
  <si>
    <t>האומות המאוחדות, צה״ל</t>
  </si>
  <si>
    <t>בן גביר וחשוד בפשע: מתברר שהדמות הדומיננטית במשטרה היא המפקח על שירות בתי הסוהר הישראלי קובי יעקבי.</t>
  </si>
  <si>
    <t>דרמה במשרדו של שר הביטחון הלאומי, איתמר בן גביר, עם סירובו של מפקד משטרה ללוות אותו להר הבית, חושפת מאבקים על סמכויות בתוך כוחות המשטרה.</t>
  </si>
  <si>
    <t>הימין הקיצוני בישראל, הימין הפוליטי בישראל</t>
  </si>
  <si>
    <t>משטרת ישראל, שירות בתי הסוהר</t>
  </si>
  <si>
    <t>קובי יעקובי</t>
  </si>
  <si>
    <t>משפחה שנאלצה בעקבות הנסיבות לעזוב את האוהל ולחפש מקלט בדירה שכורה</t>
  </si>
  <si>
    <t>משפחה נאלצה לעזוב את האוהל ולחפש מגורים בשכירות בדירה שרופה ב-1200 ש"ח (330$), בגלל התנאים הקשים באזורים המוגדרים בטוחים.</t>
  </si>
  <si>
    <t>חאן יונס</t>
  </si>
  <si>
    <t>פוסט</t>
  </si>
  <si>
    <t>טקסט, תמונה</t>
  </si>
  <si>
    <t>עקירה בכפייה, מחלות, עדות</t>
  </si>
  <si>
    <t>תיעוד של מתקפת רחפן של צה"ל על עזה</t>
  </si>
  <si>
    <t>התקפת רחפן על עזה תועדה על ידי חיילי צה"ל. הרחפן הופל והצילומים שלו שודרו על ידי אל ג'זירה.</t>
  </si>
  <si>
    <t>וידאו, טקסט</t>
  </si>
  <si>
    <t>הפצצות, תקיפה אווירית, רחפן / קוואדקופטר</t>
  </si>
  <si>
    <t>איתמר בן-גביר מכריז על כוונה ליישב מחדש את עזה ולפנות אותה מפלסטינים</t>
  </si>
  <si>
    <t>איתמר בן גביר מכריז על כוונה לפנות את עזה מפלסטינים, במטרה לכבוש אותה ולהקים בה יישובים.</t>
  </si>
  <si>
    <t>אנגלית, ערבית</t>
  </si>
  <si>
    <t>טקסט, וידאו</t>
  </si>
  <si>
    <t>טיהור אתני, הסתה לרצח עם, סיפוח, עקירה בכפייה, התנחלויות</t>
  </si>
  <si>
    <t>בצלאל סמוטריץ' קורא לשוב לגוש קטיף</t>
  </si>
  <si>
    <t>בצלאל סמוטריץ' קורא לשוב לגוש קטיף בטקס במרכז התורה והארץ.</t>
  </si>
  <si>
    <t>N12 חדשות (@N12News)</t>
  </si>
  <si>
    <t>הימין הדתי, טיהור אתני, עקירה בכפייה, התנחלויות, סיפוח</t>
  </si>
  <si>
    <t>ממשלת ישראל, צה״ל</t>
  </si>
  <si>
    <t>אמנים המופיעים בפני חיילי צה"ל מחזקים מגמות של הסתה, גזענות ופוליטיקה קיצועית</t>
  </si>
  <si>
    <t>שרשור של 19 ציוצים שכולל מספר מקרים של אמנים המופיעים בפני חיילי צה"ל ומחזקים מגמות קיימות של גזענות וקיצוניות וקריאות לשוב ולהקים התנחלויות בעזה. השרשור כולל דוגמאות נוספות לגזענות ולדה-הומניזציה, כמו גם תקוות לפגוע באנשים חפים מפשע בעזה.</t>
  </si>
  <si>
    <t>יהודה שאול (@YehudaShaul)</t>
  </si>
  <si>
    <t>אנגלית, עברית</t>
  </si>
  <si>
    <t>סיפוח, הסתה לרצח עם, גזענות, התעללות, השפלה, סרטי חיילים ישראלים, התנחלויות יהודיות בעזה</t>
  </si>
  <si>
    <t>חייל צה"ל תועד משחית רכוש בית ספר בעזה</t>
  </si>
  <si>
    <t>חייל ישראלי מצלם את עצמו בבית ספר יסודי כשהוא הורס תעודות המוקירות תלמידים מוכשרים בעזה, תוך כדי שהוא מכריז על כוונתו לחזור לגוש קטיף וליישב מחדש את עזה.</t>
  </si>
  <si>
    <t>חינוך, התעללות, סקולסטיסייד (השמדת מערכת חינוך), ילדים, סרטי חיילים ישראלים, ונדליזם, בתי ספר, התנחלויות יהודיות בעזה</t>
  </si>
  <si>
    <t>חוסר בהירות לגבי המסרים של צה"ל על אזורי בטיחות בעזה</t>
  </si>
  <si>
    <t>מפות צה"ל של "אזורי בטיחות" בעזה אינן מדויקות, עם אנימציות שמרחיבות אזורים ויוצרות בלבול אצל אזרחים. מארק אוון ג'ונס מדגיש חוסר עקביות וגבולות לא ברורים.</t>
  </si>
  <si>
    <t>רפיח</t>
  </si>
  <si>
    <t>עקירה בכפייה, תקיפה אווירית, אזהרה</t>
  </si>
  <si>
    <t>אביחי אדרעי</t>
  </si>
  <si>
    <t>הבאת מגילת תורה למעבר נצרים</t>
  </si>
  <si>
    <t>חיילי צה"ל שרים ורוקדים כשהם מביאים ספר תורה למעבר נצרים, עזה.</t>
  </si>
  <si>
    <t>משה בן שטרית (@moshebs11)</t>
  </si>
  <si>
    <t>הימין הדתי, סרטי חיילים ישראלים</t>
  </si>
  <si>
    <t>חייל צה"ל מפרט את הריסת ח'וּזַ֫אעַה (חִ֫'רְבֶּת אֶחְ'זַ֫אעַה) כנקמה, כחלק ממבצע "עוז וניר"</t>
  </si>
  <si>
    <t>חייל צה"ל מתאר את חלקו בהריסת הכפר ח'וּזַ֫אעַה (חִ֫'רְבֶּת אֶחְ'זַ֫אעַה) בעזה, כנקמה על ה-7 באוקטובר. הפוסט טוען לחשוף את מבצע רצח עם "עוז וניר".</t>
  </si>
  <si>
    <t>ח'וזעה</t>
  </si>
  <si>
    <t>תמונה, טקסט</t>
  </si>
  <si>
    <t>ענישה קולקטיבית, דומיסייד (השמדת מרחבי מחיה), הסתה לרצח עם, אורביסייד (השמדת ערים), רצח עם, הפצצות, עדויות חיילים ישראלים, הרס</t>
  </si>
  <si>
    <t>רצועת עזה, ח'וזעה</t>
  </si>
  <si>
    <t>צה"ל משתמש בבית חולים בתור בסיס צבאי</t>
  </si>
  <si>
    <t>חיילי צה"ל נחים על מיטות בבית החולים לדיאליזה נורה קאבי במחנה הפליטים ג'באליה. חיוכים ואווירה טובה שוררים.</t>
  </si>
  <si>
    <t>ג'באליה</t>
  </si>
  <si>
    <t>בית חולים, תמונות חיילים ישראלים</t>
  </si>
  <si>
    <t>דובר הליכוד מזהיר את משפחות החטופים מפני קריאה לבחירות</t>
  </si>
  <si>
    <t>דובר הליכוד גיא לוי נפגש עם משפחות של חטופים ישראלים ודחק בהן להתנגד לבחירות חדשות והזהיר שההשלכות הפוליטיות יהיו הרבה יותר גרועות מלפני ה-7 באוקטובר. כמה מהנוכחים תיארו את דבריו כאיום ישיר.</t>
  </si>
  <si>
    <t>בר שם-אור (@Bar_ShemUr)</t>
  </si>
  <si>
    <t>הצינור</t>
  </si>
  <si>
    <t>התעללות, בני ערובה, עסקת בני ערובה, דיווח עיתונאי</t>
  </si>
  <si>
    <t>ממשלת ישראל, פורום החטופים והנעדרים</t>
  </si>
  <si>
    <t>עדויות של מנהלי משא ומתן על מצב חטופים</t>
  </si>
  <si>
    <t>סרט תיעודי טלוויזיוני מציג דיווחים מאנשים מעורבים לאחרונה במשא ומתן להחזרת החטופים הישראלים. העדויות מספקות תובנה על התנאים המידרדרים של החטופים ועל דחיפות המו"מ.</t>
  </si>
  <si>
    <t>עובדה עם אילנה דיין (@Uvda_tweet)</t>
  </si>
  <si>
    <t>תנאי שבי, אזרחים, עסקת בני ערובה, בני ערובה, דיווח עיתונאי, ראיון, צוות המו״מ הישראלי</t>
  </si>
  <si>
    <t>חמאס, שב״כ, המוסד</t>
  </si>
  <si>
    <t>ראיון עם יועץ לראש ממשלת קטאר: עסקת בני הערובה נחסמה שוב ושוב בשלבים הסופיים</t>
  </si>
  <si>
    <t>בכיר קטארי הצהיר כי "כל פעם שעסקה [חטופים] הייתה קרובה, היא נחסמה"</t>
  </si>
  <si>
    <t>תנאי שבי, הפסקת אש</t>
  </si>
  <si>
    <t>המוסד, קטאר, שב״כ, ממשלת ישראל</t>
  </si>
  <si>
    <t>הצהרת משה פייגלין על הצורך לכבוש את עזה</t>
  </si>
  <si>
    <t>משה פייגלין טוען שישראל לא יכולה לסבול את קיומו של "איסלאמו-נאצי" אחד, אם היא רוצה לשרוד. "זה אנחנו או הם" עם התייחסות מפורשת להצהרתו של היטלר נגד היהודים.</t>
  </si>
  <si>
    <t>קשת 12</t>
  </si>
  <si>
    <t>עברית, אנגלית</t>
  </si>
  <si>
    <t>הימין הדתי, הסתה לרצח עם, ענישה קולקטיבית, ראיון, התנחלויות יהודיות בעזה</t>
  </si>
  <si>
    <t>משה פייגלין</t>
  </si>
  <si>
    <t>חייל צה"ל מדבר על מבצע "עוז וניר" בח'וּזַ֫אעַה (חִ֫'רְבֶּת אֶחְ'זַ֫אעַה)</t>
  </si>
  <si>
    <t>ראיון עם חייל צה"ל בנוגע להריסת ח'וּזַ֫אעַה (חִ֫'רְבֶּת אֶחְ'זַ֫אעַה), כחלק ממבצע "עוז וניר". העיירה של 13,000 פלסטינים נהרסה לחלוטין.</t>
  </si>
  <si>
    <t>טקסט, אודיו</t>
  </si>
  <si>
    <t>עקירה בכפייה, דומיסייד (השמדת מרחבי מחיה), דיווח עיתונאי, עדויות חיילים ישראלים, אורביסייד (השמדת ערים), ראיון</t>
  </si>
  <si>
    <t>רצועת עזה, חאן יונס, ח'וזעה</t>
  </si>
  <si>
    <t>חוסר בהירות לגבי סיבת המוות של בני הערובה שרמן, בייזר וטולדנו</t>
  </si>
  <si>
    <t>סקר של סיבות אפשריות למותם של שלושה חיילים-חטופים בעקבות הצהרת דובר צה"ל כי ייתכן שהם נחנקו או הורעלו. הכותב מעלה שאלה האם צה"ל הרג בכוונה את בני הערובה ומציין כחלק ממדיניות של נטישה או הרג של החטופים הנותרים ואם כן, מה יהיו ההשלכות על החברה הישראלית.</t>
  </si>
  <si>
    <t>תומר שרון (@tomashinyu3)</t>
  </si>
  <si>
    <t>בני ערובה, עסקת בני ערובה, נוהל חניבעל</t>
  </si>
  <si>
    <t>ממשלת ישראל, חמאס, צה״ל</t>
  </si>
  <si>
    <t>אין מילים כדי לתאר את אירועי שבת, 7 באוקטובר</t>
  </si>
  <si>
    <t>המחבר, עורך בכיר של ניוזוויק באותה תקופה, מתאר את דעותיו לגבי הסיבות ל-7 באוקטובר, וטוען בעצם שאין פתרון של שלום. הוא ממליץ במקום זאת על גירוש בכוח של אוכלוסייה אזרחית "ניתנת לזיהוי" מעזה למצרים, הריסת תשתיות, חיסול כל חברי חמאס ותשתיותיהם, חזרה לסיפוח רצועת עזה והקמת משטר בובות בה. הוא מאשים את הממשלות והפקידים הדמוקרטיים בארצות הברית.</t>
  </si>
  <si>
    <t>טיהור אתני, הימין הדתי, סיפוח, עקירה בכפייה, אזרחים, ענישה קולקטיבית, הסתה לרצח עם, בני ערובה, דעה, הריסה, תשתיות, תאוריות קונספירציה</t>
  </si>
  <si>
    <t>מצרים, המוסד, חמאס, איראן, שב״כ, חיזבאללה, ארצות הברית, קטאר, צה״ל</t>
  </si>
  <si>
    <t>ג'ו ביידן, בנימין נתניהו, אלמוג בוקר</t>
  </si>
  <si>
    <t>האם יש רעב בעזה כפי שטוענת ה-WFO?</t>
  </si>
  <si>
    <t>שאול אמסטרדמסקי בראיון עם נורית יוחנן, כתבת לענייני פלסטינים ב"כאן", שמנתחת את הנתונים של ארגון המזון העולמי לגבי רעב/תת תזונה בעזה בעקבות פרסום דוח סיווג שלב הביטחון התזונתי של תוכנית המזון העולמית. יוחנן מעריכה שהנתונים של WFP מדויקים ברובם.</t>
  </si>
  <si>
    <t>חדשות כאן(@kann_news)</t>
  </si>
  <si>
    <t>רעב כבד, ניתוח, מזון</t>
  </si>
  <si>
    <t>תכנית המזון העולמית, האומות המאוחדות, אונר״א</t>
  </si>
  <si>
    <t>המשטרה פלשה למטה מפלגת חד"ש בנצרת לפני הפגנת 1 במאי</t>
  </si>
  <si>
    <t>המשטרה עשתה חיפוש במועדון מפלגת חד"ש בנצרת והשחיתה יצירות אמנות לקראת מצעד ה-1 במאי . שני אנשים נעצרו.</t>
  </si>
  <si>
    <t>עופר כסיף (@ofercass)</t>
  </si>
  <si>
    <t>התעללות, פלסטינים אזרחי ישראל, ונדליזם, הגבלת חופש הביטוי</t>
  </si>
  <si>
    <t>קמפיין פרו-ישראלי להפרכת נתוני משרד הבריאות בעזה</t>
  </si>
  <si>
    <t>דו"ח המנסה לערער על טענת משרד הבריאות בעזה, וטוען כי ישראל הרגה "רק" 22,000 ולא 30,000 פלסטינים בעזה עד אפריל 2024. לכאורה, זה היה מציב את היחס בין לוחמים לאזרחים לא מעורבים על 1:1.</t>
  </si>
  <si>
    <t>דיווח עיתונאי, אזרחים, רצח עם, ערעור על מניין ההרוגים בעזה, מניין ההרוגים בעזה</t>
  </si>
  <si>
    <t>משרד הבריאות בעזה, חמאס, Foundation for the Defense of Democracies, צה״ל</t>
  </si>
  <si>
    <t>ערוץ טלגרם ישראלי פופולרי לועג לילד פלסטיני שמת מרעב.</t>
  </si>
  <si>
    <t>חשבון טלגרם ישראלי פרסם פוסטר לועג, המציג את הילד הפלסטיני המנוח עם שיתוק מוחין, יזן אל-כפרנה, כאילו היה חייזר.</t>
  </si>
  <si>
    <t>גברים מצונזרים (@CensoredMen)</t>
  </si>
  <si>
    <t>דה־הומניזציה (שלילת אנושיות), השפלה, ילדים, רעב כבד, רשתות חברתיות</t>
  </si>
  <si>
    <t>חיילות צה"ל מחייכות תוך צילום סלפי על רקע חורבות עזה.</t>
  </si>
  <si>
    <t>חיילות צה"ל מחייכות תוך כדי צילום סלפי על רקע חורבות הבתים ההרוסים בעזה.</t>
  </si>
  <si>
    <t>החברה הישראלית, התעללות, הרס, דה־הומניזציה (שלילת אנושיות)</t>
  </si>
  <si>
    <t>ראש אכ"א לשעבר לאילנה דיין בגל"צ קורא להתיישבות מחדש בחבל עזה.</t>
  </si>
  <si>
    <t>מרדכי (מוטי) אלמוז, ראש א"כ לשעבר, תומך בהתיישבות מחדש בעזה, ומאשים את הפלסטינים בתוקפנות מתמדת ומכנה אותם "חיות אדם."</t>
  </si>
  <si>
    <t>גל"צ (@GLZRadio)</t>
  </si>
  <si>
    <t>התנחלויות, פשעי מלחמה, הימין הדתי, דה־הומניזציה (שלילת אנושיות), ההתנתקות (2005)</t>
  </si>
  <si>
    <t>סמוטריץ' מתאר את אזרחי עזה כנאצים וקורא להטיל שלטון צבאי בעזה.</t>
  </si>
  <si>
    <t>שר האוצר בצלאל סמוטריץ' טוען שכל האזרחים בעזה ("2 מיליון אנשים") הם נאצים "שרוצים לשחוט, לאנוס ולרצוח כל יהודי", וטוען שישראל צריכה לשלוט בעזה עד שתימצא אזרחית מקומית מתונה.</t>
  </si>
  <si>
    <t>דה־הומניזציה (שלילת אנושיות), סיפוח, הימין הדתי</t>
  </si>
  <si>
    <t>חיילים, רובם ללא חולצות, רוקדים תוך כדי לעג לעצורים מעזה ולעג לדבקה הפלסטינית.</t>
  </si>
  <si>
    <t>עשרות חיילי צה"ל ערכו מופע לגלוג, כאשר אחד מהם עמד על דלי של דחפור לבוש במדי עבודה לבנים כמו אלו של עצורים מעזה, בעוד אחרים הצטרפו בחיקוי ולגלוג לריקוד הדבקה המסורתי הפלסטיני.</t>
  </si>
  <si>
    <t>החברה הישראלית, השפלה, דה־הומניזציה (שלילת אנושיות), הרס</t>
  </si>
  <si>
    <t>בכיר בליכוד קורא להרג חסר הבחנה של אזרחים ברפיח.</t>
  </si>
  <si>
    <t>שמעון בוקר, סגן יושב ראש הליכוד העולמי, בראיון לאופירה אסייג וחיים לוינסון, ערוץ 12: "אנחנו צריכים להכות בהם(...) היינו צריכים להיכנס לרפיח כבר אתמול(...) אין שם אנשים לא מעורבים. אנחנו צריכים להיכנס ולقتل, ולقتل, ולقتل."</t>
  </si>
  <si>
    <t>אזרחים, ענישה קולקטיבית, דה־הומניזציה (שלילת אנושיות), טיהור אתני, הסתה לרצח עם, החברה הישראלית, מדיה</t>
  </si>
  <si>
    <t>רפיח, ישראל</t>
  </si>
  <si>
    <t>שמעון בוקר</t>
  </si>
  <si>
    <t>ניסיון הכפשה נגד העיתונאי הפלסטיני יוניס טיראווי.</t>
  </si>
  <si>
    <t>טיראווי: פנה אליו עיתונאי מחדשות-13 שטוען שהוא, טיראווי, לא עומד בסטנדרטים עיתונאיים בפוסטים שלו על חיילי צה"ל בעזה.</t>
  </si>
  <si>
    <t>דיווח עיתונאי, עיתונאים, הגבלת חופש הביטוי, רשתות חברתיות</t>
  </si>
  <si>
    <t>הכיסוי העולמי של חילוץ ארבעת חטופים חיים אינו מתייחס למאות הפלסטינים שנהרגו במהלך האירוע.</t>
  </si>
  <si>
    <t>דיווחים מצוטטים לגבי מבצע צה"ל לשחרור 4 חטופים חיים לא מציינים את 200+ הפלסטינים שנהרגו במהלך האירוע הזה.</t>
  </si>
  <si>
    <t>בני ערובה, אזרחים, מבצע קרקעי, מדיה, הטיה תקשורתית</t>
  </si>
  <si>
    <t>עיתונאית ערוץ 13: ישנה הוראה לא להראות לציבור בישראל צילומי תוצאות ההפצצות בעזה</t>
  </si>
  <si>
    <t>הילה אלרואי בחדשות ערוץ 13 מודה שיש הוראה לא לחשוף את הישראלים לתוצאות ההפצצות של ישראל על עזה.</t>
  </si>
  <si>
    <t>Stop the Genocide (@morpheus1099)</t>
  </si>
  <si>
    <t>מדיה, איפול תקשורתי, הרס, תעמולה, צנזורה, הגבלת חופש הביטוי</t>
  </si>
  <si>
    <t>מעצר של אזרחית פלסטינית בישראל לאחר פוסט ברשתות החברתיות המביע סולידריות ועצב בעקבות הטבח ברפיח</t>
  </si>
  <si>
    <t>מעצר אזרחית פלסטינית ישראלית בעקבות פוסט ברשתות החברתיות שמביע סולידריות עם אזרחים בעזה לאחר הטבח במחנה האוהלים ברפיח. צילומים מראים את המשטרה עוצרת את האישה, קושרת את ידיה עם אזיקון, מכסה את עיניה ומובילה אותה לרכב המשטרתי.</t>
  </si>
  <si>
    <t>רפאל שימונוב (@rafaelshimunov)</t>
  </si>
  <si>
    <t>עברית, ערבית</t>
  </si>
  <si>
    <t>מג'ד אל-כרום</t>
  </si>
  <si>
    <t>פלסטינים אזרחי ישראל, רשתות חברתיות, אזרחים, הגבלת חופש הביטוי, התעללות</t>
  </si>
  <si>
    <t>עדות מבית החולים קמאל אדואן תחת הפצצות כבדות</t>
  </si>
  <si>
    <t>המנתח האורתופדי ד"ר מוחמד עבאיד, העובד עם רופאים ללא גבולות, מתאר את המשבר ההומניטרי והרפואי החמור בבית החולים קמאל עדואן בצפון עזה בעדות מוקלטת מ-22 באוקטובר. הוא מתאר הפצצות מתמשכות, משאבים מועטים, וחוסר היכולת לטפל בהרבה מהפצועים. (ד"ר עבאיד נעצר מאוחר יותר על ידי צה"ל.)</t>
  </si>
  <si>
    <t>בריאות הציבור, עובדי בריאות, בית חולים, הפצצות, עדות, תקיפה אווירית, מצור</t>
  </si>
  <si>
    <t>צה״ל, MSF</t>
  </si>
  <si>
    <t>בית החולים כמאל עדואן, צפון רצועת עזה, בית לאהיא</t>
  </si>
  <si>
    <t>צה"ל מפוצץ בניינים במחנה ג'בליה</t>
  </si>
  <si>
    <t>צה"ל מטמין חומרי נפץ בלב מחנה ג'באליה, הורס עשרות בתים, רבים מהם מאוכלסים.</t>
  </si>
  <si>
    <t>אזרחים, הרס, הריסה, חומרי נפץ</t>
  </si>
  <si>
    <t>צפון רצועת עזה, רצועת עזה, ג'באליה</t>
  </si>
  <si>
    <t>עדכונים על התקפות צה"ל על עזה 25 באוקטובר 2024</t>
  </si>
  <si>
    <t>עדכון על התקפות ברחבי עזה שגרמו ליותר מ-200 הרוגים אזרחיים. נדרשים פרמדיקים ואנשי הגנה אזרחית להיכנע לצה"ל. כוחות ישראליים דיווחו על כך שהקיפו את בית החולים קמאל אדואן ופגעו במפעל החמצן שלו, מה שהוביל למותם של מטופלים במצב קריטי.</t>
  </si>
  <si>
    <t>בית החולים כמאל עדואן, בית לאהיא, ג'באליה, חאן יונס</t>
  </si>
  <si>
    <t>בית חולים, עקירה בכפייה, ילדים, דיווח עיתונאי, תקיפה אווירית, בריאות הציבור, הפצצות, מבצע קרקעי</t>
  </si>
  <si>
    <t>משרד הבריאות בעזה, צה״ל</t>
  </si>
  <si>
    <t>צפון רצועת עזה, חאן יונס, בית החולים האינדונזי, בית החולים כמאל עדואן, בית לאהיא, ג'באליה</t>
  </si>
  <si>
    <t>ד"ר חוסאם אבו ספיה</t>
  </si>
  <si>
    <t>61 נהרגו בהתקפות צה"ל על עזה מאז הבוקר</t>
  </si>
  <si>
    <t>מקורות רפואיים מדווחים על 61 הרוגים בהתקפות צה"ל - 46 מהם בג'באליה, בית חנון ובית לאהיה בצפון עזה.</t>
  </si>
  <si>
    <t>ג'באליה, בית חאנון, בית לאהיא</t>
  </si>
  <si>
    <t>תקיפה אווירית, הפצצות, אזרחים, דיווח עיתונאי</t>
  </si>
  <si>
    <t>צפון רצועת עזה, בית לאהיא, חאן יונס, ג'באליה</t>
  </si>
  <si>
    <t>עיתונאי מעזה מתאר כיצד הוא חי</t>
  </si>
  <si>
    <t>זה המקום החמישי שבו הסופר מצא מקלט עם משפחתו ואחיו הנותרים בתנאים קשים.</t>
  </si>
  <si>
    <t>ילדים, אזרחים, מים, מזון, עקירה בכפייה, תברואה, רצח עם, חשמל, משבר הומניטרי, עדות, הרס</t>
  </si>
  <si>
    <t>משבר בבית החולים כמאל עדואן במהלך מבצע צבאי בסוף 2024 בצפון עזה</t>
  </si>
  <si>
    <t>ד"ר חוסאם אבו ספיה מדווח על משבר רפואי נואש בבית החולים כמאל עדואן בעקבות חדירת צה"ל</t>
  </si>
  <si>
    <t>ערבית</t>
  </si>
  <si>
    <t>אזרחים, מחלות, בריאות הציבור, עובדי בריאות, בית חולים, תרופות, עדות</t>
  </si>
  <si>
    <t>דוח מד"ר חוסאם אבו ספיה על מקרי המוות בבית החולים כמאל עדואן</t>
  </si>
  <si>
    <t>ד"ר חוסאם אבו ספיה מדווח שבמהלך 24 השעות בין ה-19 ל-20 בנובמבר, אדם אחד מת מהתייבשות ובית החולים קיבל 17 מקרים של התייבשות ותת תזונה בקרב ילדים.</t>
  </si>
  <si>
    <t>בריאות הציבור, עובדי בריאות, דיווח עיתונאי, ילדים, אזרחים, עדות, תת־תזונה, מים</t>
  </si>
  <si>
    <t>משרד הבריאות בעזה</t>
  </si>
  <si>
    <t>בית החולים כמאל עדואן, צפון רצועת עזה</t>
  </si>
  <si>
    <t>הצילומים מראים כוחות ישראליים הורגים פלסטיני שנושא דגל לבן.</t>
  </si>
  <si>
    <t>עיתונאי פלסטיני תיעד את הריגתו של רמזי אבו סהלול בן ה-51 באזור המוואסי, ב-22 בינואר 2024. האירוע התרחש לאחר שהתושבים נאלצו לברוח מאזור שהוכרז קודם לכן כבטוח על ידי הצבא הישראלי. אבו סהלול, שהחזיק בדגל לבן, ניסה לפנות את משפחתו כאשר נורה ונורה למוות על ידי כוחות ישראליים.</t>
  </si>
  <si>
    <t>אל-מוואסי</t>
  </si>
  <si>
    <t>אזרחים, רצח, כללי מעורבות, פשעי מלחמה, דיווח עיתונאי, ירי</t>
  </si>
  <si>
    <t>רצועת עזה, אל-מוואסי</t>
  </si>
  <si>
    <t>חיילי צה"ל לועגים למעוכבים פלסטינים עם כיסוי עיניים</t>
  </si>
  <si>
    <t>חיילות צה"ל שיתפו סרטון המראה עצורים פלסטינים עם כיסוי עיניים, על ברכיהם, תוך כדי שחיילי צה"ל לועגים להם ומאשימים אותם בכך שהם חברים ב"ג'יהאד האסלאמי" או ב"נוחבה". הן גם לגלגו על עצור שהשתין במכנסיו.</t>
  </si>
  <si>
    <t>התעללות, תנאי שבי, אזרחים, ענישה קולקטיבית, דה־הומניזציה (שלילת אנושיות), השפלה, החברה הישראלית, עינויים, רשתות חברתיות, מתקן כליאה, עצורים</t>
  </si>
  <si>
    <t>ילד פלסטיני עונה במעצר של צה"ל</t>
  </si>
  <si>
    <t>ילד פלסטיני, ששוחרר לאחרונה ממעצר ישראלי, מעיד כי הוכה עם מוטות ברזל, הופשט, עונה ללא רחמים, ונמנעה ממנו שינה.</t>
  </si>
  <si>
    <t>התעללות, תנאי שבי, ילדים, אזרחים, ענישה קולקטיבית, השפלה, עינויים, עדות, מתקן כליאה, פשעי מלחמה, עצורים</t>
  </si>
  <si>
    <t>שירות בתי הסוהר</t>
  </si>
  <si>
    <t>שניים פלסטינים מתים במעצר; אלפים נלקחו בכוח ונעלמו.</t>
  </si>
  <si>
    <t>שני עצורים מעזה מתו במרכזי מעצר ישראליים במהלך חקירתם. אלפי פלסטינים נלקחו בכוח ונעלמו, גורלם לא ידוע, על רקע דיווחים תכופים על עשרות שנרצחו בתוך בתי הכלא הישראלים.</t>
  </si>
  <si>
    <t>תנאי שבי, מתקן כליאה, עצורים</t>
  </si>
  <si>
    <t>חיילי צה"ל מצטלמים בזמן שהם לובשים בגדי נשים פלסטיניות בבית בעזה</t>
  </si>
  <si>
    <t>בעת שדווח על הריגת יותר מ-10,000 נשים, חיילי צה"ל מתלבשים בבגדי נשים פלסטיניות עקורות ומצלמים תמונות.</t>
  </si>
  <si>
    <t>נשים, פשעי מלחמה, רשתות חברתיות, אלימות מינית, השפלה, אזרחים</t>
  </si>
  <si>
    <t>עציר פלסטיני מתאר התעללות פיזית ונפשית על ידי צה"ל</t>
  </si>
  <si>
    <t>ג'מאל אל-עיסאווי, פלסטיני ששוחרר לאחרונה ממעצר צה"ל, מתאר חוויות של התעללות מתמשכת, כולל השפלה, שלילת כבוד, מכות עם מוטות ברזל, התקפות כלבים וצורות אחרות של עינויים והטרדות קשות.</t>
  </si>
  <si>
    <t>התעללות, תנאי שבי, אזרחים, השפלה, עינויים, עדות, מתקן כליאה, עצורים</t>
  </si>
  <si>
    <t>טנק של צה"ל נכנס לרצועת עזה, חוצה את מעבר רפיח למצרים ויורה באקראי.</t>
  </si>
  <si>
    <t>חיילי צה"ל נוהגים טנק לעבר שלט "עזה" ליד בניין ההגעה במעבר רפיח ממצרים, פוגעים בשלט "אני ❤️ עזה" הסמוך, ומקליטים את עצמם יורים באקראי מטנק לעבר מבנים אזרחיים בעיר עזה.</t>
  </si>
  <si>
    <t>אלון-לי גרין (@AlonLeeGreen)</t>
  </si>
  <si>
    <t>ענישה קולקטיבית, ונדליזם, התעללות, תשתיות, ירי חסר הבחנה, הרס, סרטי חיילים ישראלים</t>
  </si>
  <si>
    <t>גבר לובש חולצת טי עם הכיתוב "שיישרף לכם הכפר" במושב משמר השרון</t>
  </si>
  <si>
    <t>תמונה שצולמה על ידי העיתונאי ניב הדס מהארץ מתעדת צעיר שלובש חולצה עם הסלוגן "שישרף לכם הכפר" במושב משמר השרון, במקום שבו עובדים רבים ערבים. נראה כי האיש שייך לזרם הדתי-ימני.</t>
  </si>
  <si>
    <t>משמר השרון</t>
  </si>
  <si>
    <t>תמונה</t>
  </si>
  <si>
    <t>החברה הישראלית, הסתה לאלימות, הימין הדתי</t>
  </si>
  <si>
    <t>שר האוצר של ישראל, בצלאל סמוטריץ', מתראיין בגלצ ואומר שכל תושבי עזה נאצים.</t>
  </si>
  <si>
    <t>שר האוצר של ישראל, בצלאל סמוטריץ', טוען שכל 2 מיליון תושבי עזה הם נאצים "שרוצים לשחוט, לאנוס ולרצוח כל יהודי". הוא מוסיף שישראל חייבת לכבוש את עזה עד שחמאס יובס ויוחלף.</t>
  </si>
  <si>
    <t>גלי צה״ל</t>
  </si>
  <si>
    <t>אודיו</t>
  </si>
  <si>
    <t>ראיון, דעה, ענישה קולקטיבית, דה־הומניזציה (שלילת אנושיות), מדיה</t>
  </si>
  <si>
    <t>רצועת עזה, ישראל</t>
  </si>
  <si>
    <t>סקר על ההפרות השיטתיות של ישראל את החוק ההומניטרי הבינלאומי</t>
  </si>
  <si>
    <t>ישראל מפרה חוקי מלחמה ארוכי שנים על ידי תקיפת מקומות מוגנים כמו שגרירויות ובתי חולים, חסימת משלוחי סיוע, וככל הנראה שימוש ברעב כנשק - פעולות שעשויות להיחשב כפשעי מלחמה. אלו לא הפרות מקריות, אלא נראות כחלק מניסיון מכוון להתעלם או לשנות חוקים בינלאומיים, דבר שגם נתמך על ידי ממשלת ארצות הברית.</t>
  </si>
  <si>
    <t>משפט הומניטרי, פשעי מלחמה, ניתוח</t>
  </si>
  <si>
    <t>ארצות הברית, ממשלת ישראל</t>
  </si>
  <si>
    <t>ג'ו ביידן, בנימין נתניהו</t>
  </si>
  <si>
    <t>פקידים שונים באומות המאוחדות מזהירים מפני השמדת עזה, אך ארצות הברית מסיטה את מבטה.</t>
  </si>
  <si>
    <t>סוכנויות האומות המאוחדות מזהירות על משבר הומניטרי קטסטרופלי בעזה, עם דיווחים על רעב המוני, התקפות אקראיות ופוטנציאל למחיקה אתנית—בעוד שהארצות הברית מתעלמת מהפניות שלהן, ומערערת את טענתה שהיא שומרת על החוק הבינלאומי.</t>
  </si>
  <si>
    <t>הפסקת אש, משפט הומניטרי, פשעי מלחמה</t>
  </si>
  <si>
    <t>ארצות הברית, ממשלת ישראל, האומות המאוחדות, יוניסף, OCHA</t>
  </si>
  <si>
    <t>צה"ל מפיץ שטרות מזויפים שבהם סינוואר מאוייר כעכבר</t>
  </si>
  <si>
    <t>מקורות פלסטיניים מדווחים כי צה"ל הפיץ שטרות מזויפים של 20 שקלים בדיר אל-בלאח, במרכז עזה, בהם יחיא סינוואר מאויר כעכבר, ואשר נושאים את המסר: "הכסף שלכם אצל סינוואר."</t>
  </si>
  <si>
    <t>דיר אל-בלח</t>
  </si>
  <si>
    <t>דעת קהל, שטחים כבושים, השפלה, רעב כבד, דה־הומניזציה (שלילת אנושיות), תעמולה</t>
  </si>
  <si>
    <t>יחיא סינואר</t>
  </si>
  <si>
    <t>חיילי צה"ל חוגגים הריסת בתים פלסטיניים.</t>
  </si>
  <si>
    <t>וידאו המראה חיילי צה"ל חוגגים בהתלהבות כאשר הם הורסים חלק נרחב מבנייני מגורים פלסטיניים.</t>
  </si>
  <si>
    <t>תשתיות, דומיסייד (השמדת מרחבי מחיה), התעללות, ענישה קולקטיבית, הרס, דה־הומניזציה (שלילת אנושיות), סרטי חיילים ישראלים</t>
  </si>
  <si>
    <t>חיילי צה"ל דורכים על דגל פלסטין במהלך מפגש חברתי</t>
  </si>
  <si>
    <t>חיילי צה"ל ארגנו מפגש חברתי שכלל על האש ונרגילות ליד גבול עזה, שבו הוזמנו המשתתפים לדרוך על הדגל הפלסטיני.</t>
  </si>
  <si>
    <t>גבול ישראל - עזה</t>
  </si>
  <si>
    <t>השפלה, דה־הומניזציה (שלילת אנושיות), סרטי חיילים ישראלים</t>
  </si>
  <si>
    <t>חייל מתגאה בהפצצת אוניברסיטה בעזה.</t>
  </si>
  <si>
    <t>חייל צה"ל צילם את עצמו מול אוניברסיטת אל-אזהר ההרוסה, ואמר: "לכל מי ששואל למה אין חינוך בעזה, הפצצנו אותם... לכן אתם לא תהפכו למהנדסים יותר."</t>
  </si>
  <si>
    <t>אוניברסיטת אל-אזהר</t>
  </si>
  <si>
    <t>סקולסטיסייד (השמדת מערכת חינוך), בתי ספר, תשתיות, חינוך, אקדמיה, ענישה קולקטיבית, סרטי חיילים ישראלים</t>
  </si>
  <si>
    <t>צה"ל הורס בתים בעזה</t>
  </si>
  <si>
    <t>שני סרטונים מראים את הריסת בנייני מגורים בצפון עזה על ידי חיילי צה"ל, כאשר ברקע נשמעים חיילים מתבדחים ומתגאים במעשיהם.</t>
  </si>
  <si>
    <t>פשעי מלחמה, אורביסייד (השמדת ערים), תשתיות, דומיסייד (השמדת מרחבי מחיה), הרס, סרטי חיילים ישראלים</t>
  </si>
  <si>
    <t>חייל צה"ל שבר תמונה של מסגד אל-אקצא.</t>
  </si>
  <si>
    <t>חייל צה"ל צולם משמיד בגאווה תמונה של מסגד אל-אקצא בתוך בית בעזה. החייל נהרג לאחר מכן.</t>
  </si>
  <si>
    <t>השפלה, ונדליזם, סרטי חיילים ישראלים</t>
  </si>
  <si>
    <t>חבר הכנסת עופר כסיף מביע שמחה על שחרור החטופים הישראלים ב-8 ביוני 2024 במהלך מבצע צבאי, אך מגנה את "המחיר האנושי המחריד" של המבצע.</t>
  </si>
  <si>
    <t>וידאו של גבר פלסטיני מנסה לקחת את גופתו של קורבן ההתקפה הישראלית על מחנה הפליטים נוסייראת כחלק מהמבצע הצבאי לשחרור מספר בני ערובה ישראלים. הגבר נדחה ומכוונים אותו להוביל את המת למבנה שבו רוחצים את המתים ומכסים אותם. ח"כ עופר כסיף מגנה את סירוב ממשלת ישראל להגיע להסכם וקורא להסכם מיידי לגבי החטופים, לסיום המלחמה ולנסיגה ישראלית מעזה.</t>
  </si>
  <si>
    <t>בית החולים אל-אקצא</t>
  </si>
  <si>
    <t>החברה הישראלית, הימין הדתי, הפסקת אש, עסקת בני ערובה, דעה, בני ערובה, גופות, מבצע חילוץ בני ערובה</t>
  </si>
  <si>
    <t>רצועת עזה, בית החולים אל-אקצא, מחנה הפליטים נוסייראת</t>
  </si>
  <si>
    <t>אלמוג בוקר, עופר כסיף</t>
  </si>
  <si>
    <t>מאי גולן חוגגת את חורבן עזה, מעדיפה נקמה על פני שלום, דוחה את רעיון המדינה הפלסטינית.</t>
  </si>
  <si>
    <t>שרת השוויון החברתי וקידום הנשים, מאי גולן (ליכוד), במהלך דיון בכנסת על ביטול חברותו של ח"כ עופר כסיף (חד"ש): "אנחנו לא מתביישים לומר שאנחנו רוצים לראות את חיילי צה"ל הגיבורים והקדושים שלנו גוררים את סינוואר ושותפיו אל המרתפים של השב"כ – אבל השב"כ של בן גביר, לא של בר-לב או מיכאלי. אני אישית גאה בהריסות עזה. וכל תינוק, אפילו 80 שנה מעכשיו, יספר לנכדיו מה היהודים עשו לאלה שרצחו את משפחותיהם, אנסו אותם, וחטפו את אזרחיהם... יש לנו משימה, והדבר האחרון שנאפשר הוא שעופר כסיף יעלה להר הבית עם דגל פלסטין ושסינוואר יהפוך לשר הביטחון של מדינה פלסטינית... לא יונה, ולא ענף זית. רק חרב – לערוף את ראשו של סינוואר. זה מה שהוא יקבל מאיתנו."</t>
  </si>
  <si>
    <t>מאי גולן (@GolanMay)</t>
  </si>
  <si>
    <t>הכנסת, מערב ירושלים</t>
  </si>
  <si>
    <t>תעמולה, הרס</t>
  </si>
  <si>
    <t>הכנסת</t>
  </si>
  <si>
    <t>מאי גולן, יחיא סינואר, איתמר בן גביר, עופר כסיף, עומר בר-לב, מרב מיכאלי</t>
  </si>
  <si>
    <t>גבר מעזה מחפש את אשתו וילדיו לאחר שנעצרו על ידי צה"ל</t>
  </si>
  <si>
    <t>גבר מחפש את אשתו ושני ילדיו הקטנים (בגילאי 4 שנים ו-6 חודשים), לאחר שכל המשפחה נלקחה על ידי צה"ל מביתם בשכונת זיתון בעזה. אשתו הועלתה בכח על אותה משאית שהוא היה עליה, לאחר שהפשיטו אותה והסירו את החיג'אב שלה, בעוד שבניהם, זיאן ומוחמד, נקרעו מידיה. הגבר שוחרר לאחר 25 ימים, ומאז הוא מחפש אותם.</t>
  </si>
  <si>
    <t>זייתון</t>
  </si>
  <si>
    <t>נשים, ילדים, תינוקות, עדות, עצורים</t>
  </si>
  <si>
    <t>מערכת הכליאה הישראלית, צה״ל</t>
  </si>
  <si>
    <t>כלא ישראלי, שכונת זיתון</t>
  </si>
  <si>
    <t>עדות של פלסטיני בן 14 שנעצר, הוכה ועונה על ידי צה"ל</t>
  </si>
  <si>
    <t>חאלד מוחמד נזמי ג'נייד, נער בן 14 מג'באליה, נלקח מביתו על ידי חיילי צה"ל ב-1 בינואר 2024. הוא נעצר יחד עם שני אחיו שלו בחצות ונשאר ללא בגדים עד שהועברו בשעה 4 בבוקר לכלא בבאר שבע. בלילה הראשון שלו בכלא, חייל קרא לו לחקירה בחדר קטן עם רצפה מכוסה בחצץ חד "כמו מסמרים." הוא נשמר שם במשך ארבעה ימים, במהלכם החייל הכה אותו ושפך עליו מים קרים. הוא הושאר ללא בגדים או מזרן, מה שגרם לו לשכב על החצץ החשוף. לאחר ארבעה ימים, הוא נקרא לחקירה נוספת. כאשר לא הצליח לספק מידע הקשור לחמאס או לאירועי ה- 7 באוקטובר, הם היכו אותו עד שאיבד את הכרתו. הוא התעורר שבוע לאחר מכן ונאמר לו שהוא בכלא "נגב."</t>
  </si>
  <si>
    <t>התעללות, תנאי שבי, ילדים, עדות, פשעי מלחמה, אזרחים, עינויים, עצורים</t>
  </si>
  <si>
    <t>שירות בתי הסוהר, צה״ל</t>
  </si>
  <si>
    <t>ישראל, כלא קציעות, ג'באליה</t>
  </si>
  <si>
    <t>חיילים יורים ללא אבחנה בעת הקראת מגילת אסתר בפורים.</t>
  </si>
  <si>
    <t>חיילי צה"ל ירו פגזי מרגמה באקראי ובלעג, בזמן שקראו את מגילת אסתר במהלך פורים.</t>
  </si>
  <si>
    <t>פשעי מלחמה, ונדליזם, כללי מעורבות, הימין הדתי, התעללות, ירי חסר הבחנה, מרגמה</t>
  </si>
  <si>
    <t>אסיר פלסטיני בן 23 מת במעצר ישראלי.</t>
  </si>
  <si>
    <t>שירות בתי הסוהר הישראלי (שב"ס) הודיע על מותו של אסיר פלסטיני, עבדול רחמן באסם אל-בהש (בן 23), מנאבולוס, בכלא מגידו. אל-בהש נעצר ב-31 במאי 2022, ונידון ל-35 חודשי מאסר. ארגוני אסירים פלסטינים וקבוצות סנגור מאשימים את שב"ס באחריות למותו, וטוענים להוצאה להורג. אל-בהש הוא האסיר הפלסטיני השביעי שמת בכלא ישראלי מאז אוקטובר 2023.</t>
  </si>
  <si>
    <t>כלא מגידו</t>
  </si>
  <si>
    <t>עינויים, רצח, תנאי שבי, התעללות, אזרחים</t>
  </si>
  <si>
    <t>שירות בתי הסוהר, מערכת הכליאה הישראלית</t>
  </si>
  <si>
    <t>חיילי מילואים יורים מרגמות על שני רכבי שטח ממוגנים באקראי ובצחוק.</t>
  </si>
  <si>
    <t>חיילי מילואים של צה"ל יורים מרגמה משני נגמ"שים באקראי ובצחוק, תוך כדי שהם צועקים: "ירי בעמדה!" אחד מהם לבוש כמו חסיד.</t>
  </si>
  <si>
    <t>התעללות, פשעי מלחמה, ונדליזם, כללי מעורבות, ירי חסר הבחנה, מרגמה</t>
  </si>
  <si>
    <t>פעילים ימניים חוגגים בזמן שהם חוסמים סיוע לעזה.</t>
  </si>
  <si>
    <t>פעילים ימניים ישראלים רוקדים למוזיקה אלקטרונית רועשת, מניפים דגלים ישראליים, באירוע חגיגי שמטרתו לחסום סיוע הומניטרי מלהיכנס לעזה.</t>
  </si>
  <si>
    <t>אישה שנעצרה עברה חיפוש בעירום והתעללות פיזית על ידי חיילי צה"ל.</t>
  </si>
  <si>
    <t>אמנה חוסיין, אישה פלסטינית מעזה, נלקחה על ידי חיילי צה"ל מבית הספר אבו אל-הלוא במחנה הפליטים בורייג' יחד עם 9 נשים נוספות. היא הוחזקה במרכז מעצר במשך 11 ימים, ולאחר מכן בילתה 32 ימים נוספים בכלא ישראלי. בהקלטה קולית, היא מתארת כיצד נדרשה לעבור שוב ושוב חיפוש בעירום על ידי חיילות ישראליות, וכן מספר מקרים שבהם הוכתה על ידי חיילי צה"ל.</t>
  </si>
  <si>
    <t>אל-בורייג', כלא ישראלי</t>
  </si>
  <si>
    <t>התעללות, תנאי שבי, השפלה, סיוע הומניטרי, נשים, אלימות מינית, עדות, אלימות, כלובים</t>
  </si>
  <si>
    <t>עינויים פיזיים ופסיכולוגיים של נשים וגברים פלסטיניים במעצר.</t>
  </si>
  <si>
    <t>חדיל יוסף עיסא אל-דחדוח, אם צעירה לשני ילדים (תינוק בן 9 חודשים וילד בן 4), נלקחה מביתה בשכונת זיתון בעזה על ידי חיילי צה"ל, יחד עם בעלה רושדי זיאדה. היא מתארת מספר מעשי עינויים והשפלה שביצעו החיילים נגדה ונגד עצורים אחרים, כמו מניעת גישה לשירותים, הידוק מכוון של אזיקונים בהם נקשרו וכיסויי עיניים כדי לגרום לכאב, והכפפתם לצעקות אקראיות ולתקיפות פיזיות. חדיל ובעלה גם מספרים על שני מקרים נפרדים שבהם הם נאלצו להיכנס לבור גדול בעוד טנק של צה"ל מקיף מעליהם, זורק אדמה לתוך הבור, וחיילי צה"ל מאיימים לקבור אותם חיים ו" לתת לכלבים לאכול אותם."</t>
  </si>
  <si>
    <t>שכונת זיתון</t>
  </si>
  <si>
    <t>התעללות, ענישה קולקטיבית, השפלה, תינוקות, עינויים, נשים, עדות</t>
  </si>
  <si>
    <t>חייל מפרסם מספרה בין גופות פלסטיניות.</t>
  </si>
  <si>
    <t>וידאו המראה חייל צה"ל מחזיק שלט המפרסם מספרה ישראלית בעודו עומד בין גופות פלסטינים שנפלו.</t>
  </si>
  <si>
    <t>מסתכלים לכיבוש בעיניים (@Mistaclim)</t>
  </si>
  <si>
    <t>התעללות, דה־הומניזציה (שלילת אנושיות), השפלה, החברה הישראלית, גופות, תוכן מטריד</t>
  </si>
  <si>
    <t>האו"ם דן בספקות לגבי מניין ההרוגים בעזה.</t>
  </si>
  <si>
    <t>דו"ח על תדרוך של האומות המאוחדות עם פרחן חאק, סגן דובר מזכיר האומות המאוחדות, בנוגע למניין ההרוגים בעזה. חאק הביע ביטחון בדיוקם של המספרים שמפרסם משרד הבריאות בעזה, וציין כי 24,686 מההרוגים המדווחים זוהו במלואם.</t>
  </si>
  <si>
    <t>ילדים, אזרחים, נשים, מניין ההרוגים בעזה, ערעור על מניין ההרוגים בעזה</t>
  </si>
  <si>
    <t>משרד הבריאות בעזה, האומות המאוחדות</t>
  </si>
  <si>
    <t>פיזור אלים של הפגנה קטנה לזכר פייסל חוסייני, בהשתתפות ח"כ טיבי</t>
  </si>
  <si>
    <t>לזכרו של פייסל חוסייני נערכה התאספות שקטה של תשעה מבוגרים ליד בית המזרח בירושלים. זו פוזרה באלימות על ידי המשטרה. שוטרים קרעו תמונות, דחפו את המשתתפים - כולל ח"כ אחמד טיבי - ולפי טיבי, אחד השוטרים צעק קללה גסה לעברו ולעבר כל הערבים.</t>
  </si>
  <si>
    <t>ניר חסון (@nirhasson)</t>
  </si>
  <si>
    <t>התעללות, פלסטינים אזרחי ישראל, הגבלת חופש הביטוי, מחאה (פלסטינים)</t>
  </si>
  <si>
    <t>אחמד טיבי</t>
  </si>
  <si>
    <t>סיקור העיתונים הישראלים על הודעת חמאס בנוגע למספר ההרוגים במבצע חילוץ חטופים</t>
  </si>
  <si>
    <t>עיתונים ישראליים הציגו מגוון רחב בכיסוי שלהם לגבי טענות חמאס כי יותר מ-200 פלסטינים נהרגו במהלך מבצע חילוץ חטופים. בעוד ש"הארץ" הציג את הסיפור על השער ו"ידיעות אחרונות" על העמוד האחורי, "ישראל היום" הזכיר את הטענות במסגרת הדיווח על המבצע, ו"מעריב" לא הזכיר את הטענות כלל.</t>
  </si>
  <si>
    <t>העין השביעית (@the7i)</t>
  </si>
  <si>
    <t>מחנה הפליטים נוסייראת</t>
  </si>
  <si>
    <t>בני ערובה, דיווח עיתונאי, מדיה, דה־הומניזציה (שלילת אנושיות), מבצע חילוץ בני ערובה</t>
  </si>
  <si>
    <t>רופא עזתי בבית החולים קמאל אדואן מקבל ידיעה תוך כדי טיפול כי 17 מבני משפחתו נהרגו וביתו נהרס.</t>
  </si>
  <si>
    <t>חוסאם אבו סאפיה, רופא עזתי בבית החולים קמאל אדואן מקבל דיווח כי 17 מבני משפחתו נהרגו וביתו נהרס.</t>
  </si>
  <si>
    <t>הפצצות, אזרחים, עובדי בריאות, חטיפה</t>
  </si>
  <si>
    <t>בית לאהיא, בית החולים כמאל עדואן</t>
  </si>
  <si>
    <t>אחותה הפצועה של עיתונאית מעזה זקוקה לטיפול רפואי בחו"ל</t>
  </si>
  <si>
    <t>רנה דאלו, בת 35, נפצעה לאחר העברה כפויה לאזורי "בטיחות" כביכול. היא איבדה שני בנים בהפצצה של בית הספר אל נוסייראת (אוקטובר 2024). נפצעה קשה בכל גופה, כולל קטיעת זרוע. זקוקה לטיפול רפואי בחו"ל.</t>
  </si>
  <si>
    <t>בית הספר נוסייראת</t>
  </si>
  <si>
    <t>ילדים, תקיפה אווירית, בתי ספר, תרופות, בריאות הציבור, נשים, עקירה בכפייה, משבר הומניטרי, אזרחים, בית חולים</t>
  </si>
  <si>
    <t>כריזת צה"ל לפינוי רופאים, צפון עזה.</t>
  </si>
  <si>
    <t>קצין צה"ל כורז לרופאים ולתושבים בבית חולים בצפון עזה לפנות את המקום לפני שצה"ל יתפוצץ את בית החולים.</t>
  </si>
  <si>
    <t>אחמד טיבי (@Ahmad_tibi)</t>
  </si>
  <si>
    <t>התעללות, ילדים, אזרחים, טיהור אתני, עקירה בכפייה, עובדי בריאות, בית חולים, מבצע קרקעי, פשעי מלחמה, הפצצות</t>
  </si>
  <si>
    <t>ברק רביד דן בהוראות פתיחה באש בצה"ל</t>
  </si>
  <si>
    <t>בעקבות התקיפה של צה"ל על צוות המטבח המרכזי העולמי בעזה, העיתונאי ברק רביד אמר ל-CNN שיש פער הולך וגדל בין האופן שבו מפקדים בכירים מבינים את הוראות הפתיחה באש בין איך שהם מובנים על ידי חיילים בשטח. הוא כינה זאת סימן לשחיקה מקצועית והזכיר מקרה קודם שבו צה"ל טעה והרג שלושה בני ערובה ישראלים, וציין שהיחידה קיבלה פקודה "לירות בכל גבר בגיל קרב". הוא מציין שהתקיפה הזו אינה יוצאת דופן ורק משכה יותר תשומת לב משום שהיא הרגה עובדים בינלאומיים של WCK.</t>
  </si>
  <si>
    <t>ניתוח, אזרחים, בני ערובה, ירי חסר הבחנה, כללי מעורבות, פשעי מלחמה, ראיון, תקיפה אווירית, מדיה</t>
  </si>
  <si>
    <t>צה״ל, המטבח המרכזי העולמי</t>
  </si>
  <si>
    <t>פרופסור למשפטים מנתח את תגובת ישראל לבית הדין הפלילי הבינלאומי</t>
  </si>
  <si>
    <t>תגובת ישראל לבית הדין הפלילי הבינלאומי כוללת שני טיעונים מרכזיים: ראשית, פלסטין אינה מדינה ולכן אינה יכולה להעניק סמכות לבית הדין (מה שימנע העמדה לדין של מנהיגים ישראלים וחמאס, כולל על התקפות 7 באוקטובר); שנית, כעמדת גיבוי, אפילו אם פלסטין יכולה להעניק סמכות, הסכמי אוסלו מונעים ממנה להעניק סמכות, באופן ספציפי ביחס לישראלים. זאת, בניגוד לעמדת פלסטין כי לבית הדין יש סמכות על כל הפשעים הבינלאומיים בשטחה ללא קשר לאזרחות העבריינים. בנוגע לעניינים פרוצדורליים, ישראל מאתגרת את סמכות בית המשפט לפי סעיף 19(2) של אמנת בית הדין הפלילי הבינלאומי, אם כי לא ברור על סמך איזו הוראה ספציפית הם מבססים את עמדתם.</t>
  </si>
  <si>
    <t>פשעי מלחמה, ניתוח</t>
  </si>
  <si>
    <t>ממשלת ישראל, בית הדין הפלילי הבינלאומי</t>
  </si>
  <si>
    <t>בנימין נתניהו, יואב גלנט, יחיא סינואר</t>
  </si>
  <si>
    <t>עצור פלסטיני הוכרז מת.</t>
  </si>
  <si>
    <t>עזאלדין אל-בנה, פלסטיני בן 40, בעל מוגבלות, נעצר על ידי צה"ל לאחר ה-7 באוקטובר והוכרז מת ב-24 בפברואר 2024.</t>
  </si>
  <si>
    <t>תנאי שבי, אלימות, עצורים</t>
  </si>
  <si>
    <t>כלא ישראלי</t>
  </si>
  <si>
    <t>עצור משוחרר מתאר מכות אכזריות מחיילי צה"ל</t>
  </si>
  <si>
    <t>גבר פלסטיני ששוחרר מכלא ישראלי מתאר כיצד הוכה לעיתים קרובות על ידי חיילי צה"ל פשוט "בשביל מכות". במקרה אחד, הוא הושלך על טנק ישראלי, מה שגרם לפציעות צוואר וגב, וכן לפציעת ראש שדרשה תפרים.</t>
  </si>
  <si>
    <t>עינויים, השפלה, דה־הומניזציה (שלילת אנושיות), תנאי שבי, התעללות, עדות, עצורים</t>
  </si>
  <si>
    <t>פוליטיקאי בכיר וקצין צה"ל מודה כי הורה על שריפת בתים בעזה.</t>
  </si>
  <si>
    <t>יהודה ולד, מנכ"ל מפלגת הציונות הדתית וקצין מילואים בצה"ל, אישר דיווח של עיתון הארץ, והודה כי הורה לחיילים בעזה לשרוף כמה שיותר בתים, תוך שהוא מביע גאווה במעשיו.</t>
  </si>
  <si>
    <t>התעללות, ענישה קולקטיבית, פשעים נגד האנושות, דומיסייד (השמדת מרחבי מחיה), הימין הדתי, פשעי מלחמה, החברה הישראלית, הצתת בתים</t>
  </si>
  <si>
    <t>יהודה ולד</t>
  </si>
  <si>
    <t>חיילי צה"ל מציגים תחתונים של נשים עקורות.</t>
  </si>
  <si>
    <t>חיילי צה"ל מצטלמים, כאשר הם מציגים בגאווה תחתונים השייכים לנשים עזתיות עקורות. התמונה מופיעה בציוץ נוסף על כך.</t>
  </si>
  <si>
    <t>דה־הומניזציה (שלילת אנושיות), השפלה, אלימות מינית, נשים, תמונות חיילים ישראלים</t>
  </si>
  <si>
    <t>ישראל עוצרת את גירוש המטופלים מעזה חזרה לעזה בעקבות ערעור של ארגון 'רופאים לזכויות אדם'.</t>
  </si>
  <si>
    <t>בעקבות ערעור של 'רופאים לזכויות אדם', מדינת ישראל חזרה בה מהתוכנית לגרש חזרה לעזה 20 מטופלים, כולל ילדים עם סרטן וקשישים, לאחר שקיבלו טיפול רפואי בישראל.</t>
  </si>
  <si>
    <t>רופאים לזכויות אדם (@PHR_IL)</t>
  </si>
  <si>
    <t>ילדים, אזרחים, בריאות הציבור, משפט הומניטרי, קשישים</t>
  </si>
  <si>
    <t>ממשלת ישראל, משרד הבריאות הישראלי, רופאים לזכויות אדם</t>
  </si>
  <si>
    <t>אדם עם מוגבלות שנעצר על ידי צה"ל מתאר את מעצרו</t>
  </si>
  <si>
    <t>אימד עיד אבו זו, עזתי המרותק לכיסא גלגלים, סובל משיתוק במחצית גופו, נעצר יחד עם משפחתו על ידי חיילי צה"ל. הם נלקחו מביתם בשכונת זיתון באמצע הלילה לאחר שנלקחו בכוח מהמיטות שלהם. הם הופשטו עד לתחתונים ונאלצו לכסות את פניהם, הוכו, אוימו, והועמסו על משאית שהעבירה אותם למתקן מעצר. על המשאית, הם היו כבולים, וחיילים דרכו על האזיקים שלהם. אבו זו נגרר מכיסא הגלגלים שלו, וכאשר ניסה להסביר את נכותו, לעגו לו, היכו אותו, והשליכו עליו את כיסא הגלגלים שלו. העצורים צולמו בתחתונים עם עיניים מכוסות, בעוד חיילים לועגים להם וזורקים עליהם אבנים. עם הגעתם למתקן המעצר, הם הושלכו מהמשאית, שהייתה בגובה של כ-2 מטרים. אבו זו סבל משבר בחולייה בגב ושברים ברגליו מהנפילה. לאחר מכן העצורים נלקחו לבסיס "שאינו ראוי למגורי בעלי חיים," שם הושארו בקור, בתחתונים, כל הלילה, בעוד חיילים מכים ומקללים אותם. לפי אבו זו, כל 30 העצורים סבלו משברים בגפיים, וחלקם נורו. עם שחרורם, חיילים סירבו להחזיר לאבו זו את כיסא הגלגלים שלו או לספק לו אחר, הם אמרו, "אתה במחנה ריכוז, לא בטיול."</t>
  </si>
  <si>
    <t>פשעי מלחמה, עינויים, דה־הומניזציה (שלילת אנושיות), התעללות, תנאי שבי, אזרחים, ענישה קולקטיבית, עדות, מתקן כליאה, עצורים</t>
  </si>
  <si>
    <t>אישה פלסטינית עקורה נעצרה, עונתה ונשדדה על ידי חיילי צה"ל.</t>
  </si>
  <si>
    <t>נסרין יוסף שאבאן עבאס נאלצה לברוח מביתה בצפון עזה יחד עם משפחתה, בעקבות פקודות צה"ל. הם מצאו מקלט בבית ספר בחאן יונס, "אזור בטוח" שנקבע על ידי צה"ל, אך נאלצו לעזוב לאחר שכוחות צה"ל תקפו את האזור. לאחר מכן הם מצאו מקלט בבית החולים נאסר, שם שהו במשך 25 ימים עד שצה"ל הורה על פינוי והפציץ את המתקן, בתקיפה שהובילה למותם של ארבעה אנשים ופציעתם של 20 נוספים. לאחר שברחו מבית החולים, נסרין ומשפחתה נתקעו במחסום במשך שעות, שם חיילים צילמו והעליבו אותם. היא הופרדה מבעלה, הופשטה מבגדיה, ונאלצה לעמוד יחפה בקור במשך ארבע שעות. חיילים החרימו את הזהב, הכסף וחפצים אישיים שלה בשווי 7,000 דינרים, שלא הוחזרו עם שחרורה, והשאירו אותה יחפה ובבגדים קרועים.</t>
  </si>
  <si>
    <t>נשים, עינויים, פשעי מלחמה, אלימות מינית, ביזה, השפלה, עקירה בכפייה, אזרחים, עדות</t>
  </si>
  <si>
    <t>צפון רצועת עזה, בית החולים נאסר, חאן יונס, רצועת עזה</t>
  </si>
  <si>
    <t>חיילי צה"ל מתהדרים בצעצועים גנובים של ילדים פלסטינים</t>
  </si>
  <si>
    <t>חיילי צה"ל פרסמו תמונות של עצמם על גבי שני רכבי צבא שונים, כשהם מציגים צעצועים שנגנבו מילדים פלסטינים עקורים.</t>
  </si>
  <si>
    <t>ביזה, תמונות חיילים ישראלים, צעצועים</t>
  </si>
  <si>
    <t>חיילי צה"ל משחיתים את הקוראן, ומשתפים את הסרטונים ברשת</t>
  </si>
  <si>
    <t>חיילי צה"ל צילמו את עצמם משחיתים קוראן, זורקים אותו על רצפת מסגד שנפרץ והושמד בעזה, ושיתפו את הסרטון ברשתות החברתיות.</t>
  </si>
  <si>
    <t>ונדליזם, רשתות חברתיות, החברה הישראלית, השפלה, דה־הומניזציה (שלילת אנושיות), מסגדים, ספרים, קוראן, הרס אתרים תרבותיים</t>
  </si>
  <si>
    <t>עצור פלסטיני שהשתחרר מתאר עינויים, תנאי מעצר קשים</t>
  </si>
  <si>
    <t>גבר פלסטיני בן 50 מתאר כיצד עונה במרכז מעצר ישראלי לאחר שנלקח על ידי חיילי צה"ל מבית החולים נאסר יחד עם פלסטינים אחרים שנעקרו מבתיהם. צה"ל הכריח את הפלסטינים לעלות על משאיות, היכה אותם ודחס עשרות אנשים בכל רכב, צמודים "כמו כבשים". במרכז המעצר, הוא הופשט, הוכה, ונאסר באזיקים ובכיסוי עיניים במשך 60 ימים, כאשר נמנעים ממנו מזון ראוי וגישה לשירותים. הוא מדווח כי אפילו עצורים שהובאו למרפאה לטיפול רפואי ספגו מכות אכזריות. כל העצורים סבלו תנאים קשים, כולל תקופות ממושכות של ישיבה על מזרנים דקים או רצפות חשופות, הגבלות על דיבור או תנועה, ומכות בלילה שהובילו לעיתים קרובות לשברים ודימומים.</t>
  </si>
  <si>
    <t>תנאי שבי, אזרחים, ענישה קולקטיבית, דה־הומניזציה (שלילת אנושיות), עינויים, פשעי מלחמה, עדות, מתקן כליאה, עצורים</t>
  </si>
  <si>
    <t>מערכת הכליאה הישראלית</t>
  </si>
  <si>
    <t>רצועת עזה, בית החולים נאסר</t>
  </si>
  <si>
    <t>חיילי צה"ל מתבדחים ומתגאים במהלך הריסת בית פלסטיני</t>
  </si>
  <si>
    <t>חיילי מילואים של צה"ל מתעדים את עצמם צוחקים ומתרועעים בזמן שהם מפוצצים בית פלסטיני בדרום עזה, חייל מילואים הקדיש את ההריסה כמחווה לחבריהם שנפלו במלחמות קודמות.</t>
  </si>
  <si>
    <t>דרום רצועת עזה</t>
  </si>
  <si>
    <t>ענישה קולקטיבית, אזרחים, החברה הישראלית, השפלה, הריסה, חומרי נפץ, דה־הומניזציה (שלילת אנושיות), סרטי חיילים ישראלים</t>
  </si>
  <si>
    <t>רצועת עזה, דרום רצועת עזה</t>
  </si>
  <si>
    <t>רק חקלאות ישראלית</t>
  </si>
  <si>
    <t>חייל צה"ל עוקר עץ ברפיח, ומפרסם סרטון של מעשיו ברשתות החברתיות, תחת הכותרת: "רק חקלאות ישראלית".</t>
  </si>
  <si>
    <t>התעללות, ונדליזם, רשתות חברתיות, סרטי חיילים ישראלים, חקלאות</t>
  </si>
  <si>
    <t>חייל צרפתי-ישראלי מצלם את היחידה שלו מתעללת בעצורים</t>
  </si>
  <si>
    <t>אזרח בעלת אזרחות כפולה, צרפתית וישראלית, המשרת בצה"ל, פרסם סרטון המראה את חברי היחידה שלו מתעללים בעצורים פלסטינים ומתפארים בכך.</t>
  </si>
  <si>
    <t>התעללות, השפלה, סרטי חיילים ישראלים, עצורים</t>
  </si>
  <si>
    <t>תושב באר שבע קורא להשמדת רצועת עזה</t>
  </si>
  <si>
    <t>תושב באר שבע שביתו נפגע בהתקפת רקטות מעזה, קורא לפלישה לרפיח ולהשמדת רצועת עזה.</t>
  </si>
  <si>
    <t>באר שבע</t>
  </si>
  <si>
    <t>וידאו</t>
  </si>
  <si>
    <t>החברה הישראלית, התעללות, הסתה לאלימות</t>
  </si>
  <si>
    <t>רצועת עזה, רפיח, באר שבע</t>
  </si>
  <si>
    <t>חייל ישראלי מתייחס למלחמה כמו למשחק וידאו</t>
  </si>
  <si>
    <t>חיילים מצלמים את עצמם, כאשר הם מעמידים פנים שהם במשחק וידאו של Call of Duty</t>
  </si>
  <si>
    <t>החברה הישראלית, התעללות, רשתות חברתיות, דה־הומניזציה (שלילת אנושיות), משחקי וידאו</t>
  </si>
  <si>
    <t>אתר חדשות ישראלי חוגג את מותם של ערבים</t>
  </si>
  <si>
    <t>אתר חדשות ישראלי JDN משבח את הדיווחים על מספר הערבים ההרוגים במלחמה הנוכחית, בטענה כי הוא גבוה יותר ממספר הערבים ההרוגים בכל המלחמות האחרות. הערה: הכותרת נערכה לאחר מכן (ראה הפניה).</t>
  </si>
  <si>
    <t>איתמר גרינברג (@itamar_green)</t>
  </si>
  <si>
    <t>JDN News</t>
  </si>
  <si>
    <t>החברה הישראלית, מדיה, דה־הומניזציה (שלילת אנושיות)</t>
  </si>
  <si>
    <t>אזרחים ישראלים חוסמים כניסת סיוע הומניטרי לעזה</t>
  </si>
  <si>
    <t>אזרחים ישראלים, כולל משפחות שלמות, חוסמים סיוע הומניטרי לעזה במעבר הגבול ניצנה. חיילי צה"ל לא מתערבים.</t>
  </si>
  <si>
    <t>מעבר ניצנה, ישראל</t>
  </si>
  <si>
    <t>החברה הישראלית, סיוע הומניטרי, מזון, מצור</t>
  </si>
  <si>
    <t>מעבר ניצנה</t>
  </si>
  <si>
    <t>עינויים וכפיה לשמש כמגן אנושי בידי צה"ל</t>
  </si>
  <si>
    <t>רמדאן שמלאח, גבר בן 21 מרצועת עזה, מעיד כי חיילי צה"ל נכנסו לדירתו בזיתון, היכו אותו ואת אחיו, השתמשו בו כמגן אנושי כדי להיכנס לדירות אחרות ועינו אותו , הם הפשיטו אותו, אותו והורו לו לנסוע דרומה. חלק מהפציעות שספג עדיין ניכרות על גופו במהלך הראיון.</t>
  </si>
  <si>
    <t>ערבית, אנגלית</t>
  </si>
  <si>
    <t>עינויים, מגנים אנושיים, אזרחים</t>
  </si>
  <si>
    <t>רצועת עזה, שכונת זיתון</t>
  </si>
  <si>
    <t>פעילים ישראלים מתעמתים עם אזרחים ישראלים החוסמים סיוע הומניטרי לעזה</t>
  </si>
  <si>
    <t>יונתן קיפניס, שהוריו נרצחו ב-7 באוקטובר 2023, מתעמת עם מפגינים מהימין בנמל אשדוד. המפגינים חוסמים סיוע הומניטרי לעזה. יונתן מתעמת איתם ומקבל תגובה משפילה.</t>
  </si>
  <si>
    <t>שיחה מקומית (@mekomit)</t>
  </si>
  <si>
    <t>נמל אשדוד</t>
  </si>
  <si>
    <t>החברה הישראלית, סיוע הומניטרי, הימין הדתי, מצור, מחאה (בישראל)</t>
  </si>
  <si>
    <t>זזים</t>
  </si>
  <si>
    <t>עיתונאי ישראלי אומר בשידור שכל תושבי עזה ראויים למוות</t>
  </si>
  <si>
    <t>העיתונאי הישראלי יהודה שלזינגר אומר בשידור בערוץ 12 שאין חפים מפשע בעזה, וכל תושבי עזה ראויים למוות.</t>
  </si>
  <si>
    <t>הסתה לרצח עם, עיתונאים, מדיה, החברה הישראלית</t>
  </si>
  <si>
    <t>חיילים מצהירים על כוונתם להשמיד את עזה</t>
  </si>
  <si>
    <t>חיילי צה"ל מחזיקים בשלטים שמתארים את עצמם כ"וחיילי צבא העם היהודי" ואומרים שהם לא יסירו את מדיהם עד שההרס של עזה יושלם.</t>
  </si>
  <si>
    <t>מילואימניקים של צה"ל - דור הניצחון (@ozleisraelaza)</t>
  </si>
  <si>
    <t>הסתה לרצח עם, הרס, תמונות חיילים ישראלים, דה־הומניזציה (שלילת אנושיות)</t>
  </si>
  <si>
    <t>דמויות ציבוריות ישראליות קוראות לחסום סיוע הומניטרי לעזה</t>
  </si>
  <si>
    <t>מכתב בחתימת 10 חברי כנסת מהימין הפוליטי ובמיוחד מהתנועה הציונית הדתית קורא לחסום סיוע הומניטרי לעזה.</t>
  </si>
  <si>
    <t>הסתה לרצח עם, החברה הישראלית, סיוע הומניטרי, מצור, הימין הדתי</t>
  </si>
  <si>
    <t>דחפור של צה"ל הורס דוכן ברצועת עזה</t>
  </si>
  <si>
    <t>דחפור של צה"ל הורס דוכן, בעוד חייל צוחק ברקע. הסרטון הועלה לטיקטוק, כנראה על ידי אחד החיילים.</t>
  </si>
  <si>
    <t>תשתיות, ונדליזם, התעללות, רשתות חברתיות, הריסה, הרס, סרטי חיילים ישראלים</t>
  </si>
  <si>
    <t>פלסטינים שנעצרו נאלצים לשיר נגד חמאס</t>
  </si>
  <si>
    <t>יותר מעשרה גברים וילדים חצי עירומים שנעצרו בעזה נאלצים בצורה משפילה לשיר נגד חמאס בעוד הם עומדים על משאית.</t>
  </si>
  <si>
    <t>השפלה, ענישה קולקטיבית, התעללות, תנאי שבי, דה־הומניזציה (שלילת אנושיות), סרטי חיילים ישראלים, אזרחים, עצורים</t>
  </si>
  <si>
    <t>אישה מעזה מעידה על עינויים והשפלה בידי חיילי צה"ל</t>
  </si>
  <si>
    <t>אישה מעידה על מכות, שוד והשפלה (כולל מינית) של נשים מעזה, כולל ילדיה, בידי חיילי צה"ל</t>
  </si>
  <si>
    <t>השפלה, ענישה קולקטיבית, התעללות, רכוש מוחרם, ביזה, עינויים, נשים, אלימות מינית, עדות, דה־הומניזציה (שלילת אנושיות)</t>
  </si>
  <si>
    <t>אזהרה! אל תזרקו סיגריות דולקות באזור</t>
  </si>
  <si>
    <t>חייל צה"ל מפרסם סרטון לגלוג שמציג בית בוער בחאן יונס, עם אזהרה לא לזרוק סיגריות דולקות, ומראה את עצמו זורק סיגריה לעבר הבית הבוער.</t>
  </si>
  <si>
    <t>השפלה, הרס, רשתות חברתיות, הצתה, סרטי חיילים ישראלים</t>
  </si>
  <si>
    <t>וידאו ברשתות החברתיות של חייל שלועג לבית הרוס.</t>
  </si>
  <si>
    <t>חייל צה"ל מפרסם סרטון ברשתות החברתיות שלועג להריסת בית בג'באליה.</t>
  </si>
  <si>
    <t>הרס, רשתות חברתיות, סרטי חיילים ישראלים, דה־הומניזציה (שלילת אנושיות)</t>
  </si>
  <si>
    <t>רצועת עזה, ג'באליה</t>
  </si>
  <si>
    <t>צלף של צה"ל מצטלם עם הלבשה תחתונה של נשים פלסטיניות</t>
  </si>
  <si>
    <t>תמונה של צלף צה"ל ברשתות החברתיות בבית פלסטיני עם רובה צלפים, מצטלם ליד הלבשה תחתונה של נשים פלסטיניות.</t>
  </si>
  <si>
    <t>השפלה, רשתות חברתיות, דה־הומניזציה (שלילת אנושיות), אלימות מינית, התעללות</t>
  </si>
  <si>
    <t>טנק של צה"ל דורס רכב בעזה</t>
  </si>
  <si>
    <t>וידאו שהועלה לרשתות החברתיות מציג טנק ישראלי דורס רכב אזרחי עם כיתוב "יהיה קשה להעביר טסט".</t>
  </si>
  <si>
    <t>רשתות חברתיות, ונדליזם, הרס, סרטי חיילים ישראלים, דה־הומניזציה (שלילת אנושיות)</t>
  </si>
  <si>
    <t>חייל צוחק על פתיחת חנות נעליים במקום בית שהושמד.</t>
  </si>
  <si>
    <t>חייל העלה סרטון של עצמו מפרסם בצורה מצחיקה סניף חדש של חנות נעליים במקום בית שהושמד.</t>
  </si>
  <si>
    <t>רשתות חברתיות, השפלה, הרס, סרטי חיילים ישראלים, דה־הומניזציה (שלילת אנושיות)</t>
  </si>
  <si>
    <t>רצועת עזה, עיר עזה</t>
  </si>
  <si>
    <t>חייל צה"ל מתלוצץ על שכונה נטושה ומופגזת.</t>
  </si>
  <si>
    <t>סרטון וידאו ברשתות החברתיות שבו חייל מתלוצץ על שכונה נטושה בחאן יונס ומבטיח להשמיד את כולם.</t>
  </si>
  <si>
    <t>רשתות חברתיות, השפלה, הרס, סרטי חיילים ישראלים, הסתה לאלימות, דה־הומניזציה (שלילת אנושיות)</t>
  </si>
  <si>
    <t>חאן יונס, רצועת עזה</t>
  </si>
  <si>
    <t>חיילי צה"ל צוחקים על שריפת עזה</t>
  </si>
  <si>
    <t>וידאו ברשתות החברתיות של שני חיילי צה"ל. אחד מדליק סיגריה והשני שואל אותו למה הוא עושה את זה, כשכבר שרף את כל עזה. הראשון עונה שלפעמים פשוט צריך לעשן.</t>
  </si>
  <si>
    <t>רשתות חברתיות, הצתה, הרס, סרטי חיילים ישראלים, דה־הומניזציה (שלילת אנושיות)</t>
  </si>
  <si>
    <t>חיילי צה"ל קוראים קריאות עידוד בזמן שהם מפוצצים בניינים בחאן יונס</t>
  </si>
  <si>
    <t>וידאו ברשתות החברתיות של חיילי צה"ל קוראים קריאות עידוד בזמן שהם מפוצצים 400 מוקשים בחאן יונס</t>
  </si>
  <si>
    <t>רשתות חברתיות, דומיסייד (השמדת מרחבי מחיה), הרס, סרטי חיילים ישראלים, דה־הומניזציה (שלילת אנושיות)</t>
  </si>
  <si>
    <t>חיילי צה"ל מפרסמים קליפים ברשתות החברתיות מעזה</t>
  </si>
  <si>
    <t>שני סרטוני מדיה חברתית שבהם חיילי צה"ל מעודדים את ההרס סביבם.</t>
  </si>
  <si>
    <t>רשתות חברתיות, סרטי חיילים ישראלים, הרס, דה־הומניזציה (שלילת אנושיות)</t>
  </si>
  <si>
    <t>חיילי צה"ל מפרסמים ברשתות החברתיות</t>
  </si>
  <si>
    <t>שלושה סרטוני מדיה חברתית. שניים מהם מציגים חיילי צה"ל הורסים בתים. בסרטון השלישי, חייל מנסה לאזן אופנוע על עמוד של בית הרוס.</t>
  </si>
  <si>
    <t>רצועת עזה, חאן יונס</t>
  </si>
  <si>
    <t>חיילי צה"ל יורים טילים על בתים אקראיים</t>
  </si>
  <si>
    <t>וידאו ברשתות החברתיות עם קטעים מחיי חייל בעזה. מכיל כתובת על הקיר שאומרת "הפיצוץ הבא מוקדש לערכי צה"ל", ומיד לאחר מכן- ירי טיל על בית.</t>
  </si>
  <si>
    <t>רשתות חברתיות, ונדליזם, דומיסייד (השמדת מרחבי מחיה), סרטי חיילים ישראלים, הרס, דה־הומניזציה (שלילת אנושיות)</t>
  </si>
  <si>
    <t>תמונת חייל צה"ל עם אסירים מעזה</t>
  </si>
  <si>
    <t>תמונה של קבוצה ובה כמה עשרות עזתים לבושים בחליפות לבנות, עם כיסוי עיניים וכפות ידיים קשורות.</t>
  </si>
  <si>
    <t>רשתות חברתיות, השפלה, דה־הומניזציה (שלילת אנושיות), תמונות חיילים ישראלים</t>
  </si>
  <si>
    <t>חייל צה"ל יורה טיל על בית</t>
  </si>
  <si>
    <t>סרטון ברשתות החברתיות מציג חייל יורה טיל לעבר בית. לא נראה שמתנהל קרב.</t>
  </si>
  <si>
    <t>רשתות חברתיות, דומיסייד (השמדת מרחבי מחיה), הרס, סרטי חיילים ישראלים, ירי חסר הבחנה, דה־הומניזציה (שלילת אנושיות)</t>
  </si>
  <si>
    <t>חיילי צה"ל תופסים בית בעזה וצוחקים על כך</t>
  </si>
  <si>
    <t>וידאו ברשתות החברתיות של סלבריטי האינטרנט הישראלי, אלכס שולץ, בתוך עזה, מתבדח על בית הרוס.</t>
  </si>
  <si>
    <t>חיילי צה"ל לועגים לבית חולים הרוס</t>
  </si>
  <si>
    <t>וידאו ברשתות החברתיות של חיילים שמתבדחים על בית החולים השיקומי 'חאמד' המופצץ בעזה.</t>
  </si>
  <si>
    <t>בית החולים ע"ש שייח' חמד לשיקום ותותבות, עזה</t>
  </si>
  <si>
    <t>רשתות חברתיות, ונדליזם, הרס, בית חולים, סרטי חיילים ישראלים, בריאות הציבור, דה־הומניזציה (שלילת אנושיות)</t>
  </si>
  <si>
    <t>חיילי צה"ל משליכים אוכל על בניין בעזה</t>
  </si>
  <si>
    <t>וידאו ברשתות החברתיות של חיילים זורקים אוכל בשביל הכיף, בזמן שסיוע הומניטרי לעזה נחסם.</t>
  </si>
  <si>
    <t>רשתות חברתיות, השפלה, מזון, סרטי חיילים ישראלים, דה־הומניזציה (שלילת אנושיות)</t>
  </si>
  <si>
    <t>חיילי צה"ל מתבדחים בתוך בית ספר הרוס</t>
  </si>
  <si>
    <t>וידאו ברשתות החברתיות של חייל בתוך בית ספר הרוס, לועג לתושבי עזה, מעמיד פנים שהוא מנהל בית הספר.</t>
  </si>
  <si>
    <t>רשתות חברתיות, השפלה, בתי ספר, סרטי חיילים ישראלים, הרס, דה־הומניזציה (שלילת אנושיות)</t>
  </si>
  <si>
    <t>חיילי צה"ל משפילים שלושה עזתים מכוסי עיניים</t>
  </si>
  <si>
    <t>וידאו ברשתות החברתיות של קציני צה"ל מכריחים שלושה עזתים קשורים ומכוסי עיניים, לשיר שיר שמזלזל בהם.</t>
  </si>
  <si>
    <t>רשתות חברתיות, השפלה, סרטי חיילים ישראלים, הרס, דה־הומניזציה (שלילת אנושיות)</t>
  </si>
  <si>
    <t>חיילי צה"ל יורים טיל על בית אקראי</t>
  </si>
  <si>
    <t>וידאו בטיקטוק של חיילי צה"ל יורים טיל על בית אקראי, ככל הנראה כדי להשתעשע</t>
  </si>
  <si>
    <t>רשתות חברתיות, דומיסייד (השמדת מרחבי מחיה), סרטי חיילים ישראלים, הרס, ירי חסר הבחנה, דה־הומניזציה (שלילת אנושיות)</t>
  </si>
  <si>
    <t>בקי אנדרסון מ-CNN על מדיניות "כיסוח הדשא" של ישראל</t>
  </si>
  <si>
    <t>בקי אנדרסון מ-CNN מתארת ששמעה מספר גורמים רשמיים ישראלים במהלך 25 שנות כהונתה תומכים במדיניות "כיסוח הדשא" של ישראל כלפי הפלסטינים בשטחים הכבושים - אסטרטגיה שהיא אומרת שיש לה השפעה רבה על הגישה הצבאית של ישראל, ולעיתים קרובות משמשת לתיאור הפעולות שלה שם, תוך ציטוט הצהרות של שר הביטחון דאז יואב גלנט, ראש הממשלה לשעבר נפתלי בנט, ופרופסורים מאוניברסיטת בר-אילן אפרים ענבר (נשיא המכון ירושלים לאסטרטגיה וביטחון) ואיתן שמיר (ראש מרכז בגין-סאדאת ללימודים אסטרטגיים).</t>
  </si>
  <si>
    <t>טיהור אתני, מדיה, דה־הומניזציה (שלילת אנושיות)</t>
  </si>
  <si>
    <t>הרשות הפלסטינית, ממשלת ישראל, צה״ל</t>
  </si>
  <si>
    <t>יואב גלנט</t>
  </si>
  <si>
    <t>מעצר המוני של פלסטינים על ידי צה"ל</t>
  </si>
  <si>
    <t>גיאולוקציה #100: עצורים פלסטינים הופשטו במזג אוויר קר והועמסו על משאיות בבית החולים כמאל אדואן. גיאולוקציה: 31.539042, 34.500735</t>
  </si>
  <si>
    <t>השפלה, בית חולים, דה־הומניזציה (שלילת אנושיות), עצורים</t>
  </si>
  <si>
    <t>הריסות של שני בניינים שנהרסו בהפצצה.</t>
  </si>
  <si>
    <t>גיאולוקציה #104: הריסות של 2 בניינים מול בית החולים כמאל אדואן בבת להיא. בהתקפה נהרגו לפחות 30 בני אדם. גיאולוקציה: 31.539042, 34.500735</t>
  </si>
  <si>
    <t>הפצצות, הרס, תקיפה אווירית</t>
  </si>
  <si>
    <t>11 נהרגו בתקיפה על בית הספר אל חוריה, שכונת זיתון, עיר עזה</t>
  </si>
  <si>
    <t>גיאולוקציה #109: מקלט לעקורים בבית הספר חוריה לבנים בשכונת זיתון שנפגע בהתקפה. 11 פלסטינים נהרגו, כולל ילדים. גיאולוקציה: 31.499273, 34.460322.</t>
  </si>
  <si>
    <t>שכונת זיתון, עיר עזה</t>
  </si>
  <si>
    <t>אזרחים, תקיפה אווירית, ילדים, עקירה בכפייה, בתי ספר, הפצצות</t>
  </si>
  <si>
    <t>עיר עזה, שכונת זיתון</t>
  </si>
  <si>
    <t>התקפה חזקה ומזעזעת על מקלטים לעקורים בעיר עזה</t>
  </si>
  <si>
    <t>גיאולוקציה #110: תקיפה חזקה ומזעזעת על מקלט לעקורים, שבה נהרגו לפחות 10 פלסטינים, רובם ילדים. בית ספר א-תבין, שכונת אל-דרג', עיר עזה. גיאולוקציה: 31.518553, 34.464248.</t>
  </si>
  <si>
    <t>וידאו, טקסט, תמונה</t>
  </si>
  <si>
    <t>תקיפה אווירית, ילדים, תוכן מטריד, בתי ספר, עקירה בכפייה</t>
  </si>
  <si>
    <t>לאחר ההערות שלה ביפן, נועה ארגמני מבהירה: "דברים הוצאו מהקשרם. אני לא אהיה קורבן גם של התקשורת."</t>
  </si>
  <si>
    <t>נועה ארגמני, ששוחררה לאחר 246 ימים בשבי חמאס, מדברת על הסבל שעברה ומבקרת את התקשורת הישראלית על כך שעוותה את דבריה בנוגע לפציעות שסבלה בעקבות הפצצה של חיל האוויר הישראלי על המבנה שבו החזיקו אותה השובים שלה. התקשורת העברית תרגמה לא נכון את דבריה, וטענה שהיא דיווחה על כך שהשובים שלה הכו אותה וגזרו את שיערה.</t>
  </si>
  <si>
    <t>מאקו</t>
  </si>
  <si>
    <t>מָאקוֹ</t>
  </si>
  <si>
    <t>תנאי שבי, מדיה, בני ערובה, אלימות, תקיפה אווירית, מבצע חילוץ בני ערובה</t>
  </si>
  <si>
    <t>הדמוגרפיה מדברת: הנוער של היום הרבה יותר ימני.</t>
  </si>
  <si>
    <t>המאמר דן במגמות דמוגרפיות בקרב מצביעים צעירים בישראל, ומדגיש שינוי משמעותי לעבר העדפות פוליטיות ימניות בהשוואה לדורות הקודמים.</t>
  </si>
  <si>
    <t>כלכליסט</t>
  </si>
  <si>
    <t>שחר אילן</t>
  </si>
  <si>
    <t>החברה הישראלית, דעת קהל, הימין הקיצוני בישראל</t>
  </si>
  <si>
    <t>ספירת מעטפות כפולות: מרצ מתרחקת יותר מאחוז החסימה, מפלגת הציונות הדתית מתחזקת</t>
  </si>
  <si>
    <t>ספירת המעטפות הכפולות, המיועדות לבוחרים המצביעים מחוץ לקלפיות המיועדות להם, נמשכת, כאשר מפלגתהשמאל מרצ בסיכון לא לעבור את אחוז החסימה לראשונה בהיסטוריה שלה. מפלגת הציונות הדתית, בראשות בצלאל סמוטריץ' ואיתמר בן גביר, מתחזקת בקרב קולות המעטפות הכפולות.</t>
  </si>
  <si>
    <t>ירון דרוקמן, מורן אזולאי</t>
  </si>
  <si>
    <t>בצלאל סמוטריץ', איתמר בן גביר, בנימין נתניהו, יאיר לפיד</t>
  </si>
  <si>
    <t>מלחמת ישראל-עזה: תוכנית המזון העולמית מפסיקה את המשלוחים לצפון עזה</t>
  </si>
  <si>
    <t>תכנית המזון העולמית הפסיקה את משלוחי המזון לצפון עזה בעקבות ההסלמה, באלימות ובכאוס, שמעצימים את המשבר ההומניטרי באזור.</t>
  </si>
  <si>
    <t>חדשות BBC</t>
  </si>
  <si>
    <t>מזון, משבר הומניטרי, תת־תזונה, מים, ילדים, סיוע הומניטרי, אלימות מינית, עצורים</t>
  </si>
  <si>
    <t>תכנית המזון העולמית, האומות המאוחדות, אונר״א, יוניסף</t>
  </si>
  <si>
    <t>צפון רצועת עזה, עיר עזה, חאן יונס, דיר אל-בלח</t>
  </si>
  <si>
    <t>OCHA: מסיבת עיתונאים - המצב ההומניטרי בשטחים הכבושים</t>
  </si>
  <si>
    <t>מתאם משרד האו"ם לתיאום עניינים הומנטיריים בשטחים הכבושים, ג'יימי מקגולדריק, מעדכן את העיתונאים עם חזרתו מעזה לאור הפלישה הקרבה לרפיח.</t>
  </si>
  <si>
    <t>ג'יימי מקגולדריק</t>
  </si>
  <si>
    <t>עדות</t>
  </si>
  <si>
    <t>עקירה בכפייה, עדות, סיוע הומניטרי, משבר הומניטרי</t>
  </si>
  <si>
    <t>OCHA</t>
  </si>
  <si>
    <t>רפיח, רצועת עזה</t>
  </si>
  <si>
    <t>חייל צה"ל מדליק שריפה ברפיח</t>
  </si>
  <si>
    <t>חייל צה"ל עומד ליד שריפה בבית פרטי ברפיח.</t>
  </si>
  <si>
    <t>הצתה, תמונות חיילים ישראלים, דה־הומניזציה (שלילת אנושיות)</t>
  </si>
  <si>
    <t>חיילי צה"ל בוזזים כסף בעיר עזה</t>
  </si>
  <si>
    <t>חיילי צה"ל צולמו מציגים כמה שטרות כסף שכנראה נמצאו בבית פלסטיני</t>
  </si>
  <si>
    <t>ביזה, תמונות חיילים ישראלים, דה־הומניזציה (שלילת אנושיות)</t>
  </si>
  <si>
    <t>חייל צה"ל מצולם בזמן שהוא שורף בית בעיר עזה</t>
  </si>
  <si>
    <t>חייל צה"ל צולם שורף בית בעיר עזה תוך כדי שהוא עושה תנועות מגונות לעברו. הכיתוב אומר "Astalavista" (להתראות).</t>
  </si>
  <si>
    <t>הצתה, תמונות חיילים ישראלים, דה־הומניזציה (שלילת אנושיות), הצתת בתים</t>
  </si>
  <si>
    <t>חיילי צה"ל מצטלמים מול בתים שהוצתו בעיר עזה (4 מקרים)</t>
  </si>
  <si>
    <t>מספר תמונות מראות חיילי צה"ל מתעדים את עצמם מחייכים ומצטלמים מול בתים שהוצתו בעיר עזה.</t>
  </si>
  <si>
    <t>חיילי צה"ל נראים משחקים, ישנים ומצטלמים בבתים בעזה. תוכן נוסף בשרשור מראה חיילים הורסים בתים ומבעירים אותם.</t>
  </si>
  <si>
    <t>תמונות מראות חיילי צה"ל בתוך בתים פלסטיניים בעזה עם צעצועי ילדים ושוכבים במיטות. השרשור ממשיך עם סרטונים של הרס בתים ופוזות מול בתים שהוצתו.</t>
  </si>
  <si>
    <t>ונדליזם, תמונות חיילים ישראלים, אזרחים, הרס, סרטי חיילים ישראלים, הצתת בתים, הצתה</t>
  </si>
  <si>
    <t>אסירים מושפלים על ידי קבוצת "מועדון ציד חמאס" בתוך צה"ל</t>
  </si>
  <si>
    <t>תמונות ששיתפו חברי קבוצת "מועדון ציד חמאס" מציגות כעשרה עצורים המושפלים, עירומים, עטופים בדגל ישראל. הסמל של המועדון מוצג.</t>
  </si>
  <si>
    <t>פשעי מלחמה, עינויים, רשתות חברתיות, הימין הדתי, השפלה, ענישה קולקטיבית, תנאי שבי, אזרחים, התעללות, עצורים</t>
  </si>
  <si>
    <t>צה"ל תוקף את בית הספר סלאח א דין ששימש מקלט לפליטים בעיר עזה</t>
  </si>
  <si>
    <t>צה"ל תוקף בית ספר ששימש מקלט לפליטים פלסטינים. ההתקפה הייתה חלק ממבצע רחב היקף בצפון עזה בסוף 2024.</t>
  </si>
  <si>
    <t>בתי ספר, עקירה בכפייה, תקיפה אווירית, סקולסטיסייד (השמדת מערכת חינוך), אזרחים</t>
  </si>
  <si>
    <t>קשיש מעזה מאחל למותו</t>
  </si>
  <si>
    <t>גבר זקן מצהיר כי מוות יהיה עדיף על פני גירוש כפוי מתמשך ותנאי חיים רעים.</t>
  </si>
  <si>
    <t>עקירה בכפייה, הפצצות, ילדים, אזרחים, מים, מזון</t>
  </si>
  <si>
    <t>עצירה פלסטינית משוחררת נותנת את עדותה</t>
  </si>
  <si>
    <t>עצירה פלסטינית משוחררת מתארת כיצד התייחסו אליה. היא נלקחה מבית הספר עמרו בן אס בעיר עזה, עם כיסוי עיניים, הושפלה והוכתה מספר פעמים. לפי עדותה, היא אולצה עם רובה לראש לנשק את הדגל הישראלי.</t>
  </si>
  <si>
    <t>התעללות, עינויים, השפלה, עדות פלסטינית, עדות, אלימות, נשים, תנאי שבי</t>
  </si>
  <si>
    <t>רצועת עזה, ישראל, עיר עזה</t>
  </si>
  <si>
    <t>חיילי צה"ל מצטלמים עם הלבשה תחתונה בעזה</t>
  </si>
  <si>
    <t>תמונה של קבוצת חיילים מחזיקים הלבשה תחתונה בבית חלקית הרוס שהוחזק על ידי צה"ל.</t>
  </si>
  <si>
    <t>רשתות חברתיות, השפלה, נשים, תמונות חיילים ישראלים, דה־הומניזציה (שלילת אנושיות)</t>
  </si>
  <si>
    <t>קצין צה"ל נותן פקודה להרוס בתים.</t>
  </si>
  <si>
    <t>סרטון של קצין צה"ל מפקד על חייל בבולדוזר לשטח כמה בתים בעיר עזה.</t>
  </si>
  <si>
    <t>רשתות חברתיות, דומיסייד (השמדת מרחבי מחיה), סרטי חיילים ישראלים, הרס, דה־הומניזציה (שלילת אנושיות)</t>
  </si>
  <si>
    <t>חייל צה"ל משגר רימון על בית לשם השעשוע. שרשור על הרס בתים.</t>
  </si>
  <si>
    <t>וידאו של חייל משגר רימון לעבר בניין וצוחק בזמן שאין קרב מתמשך. סרטונים אחרים בשרשור מראים את ההרס של מספר בניינים על ידי פיצוץ ודחפור. תמונה כוללת קבוצת חיילים מצטלמת מחוץ לבית החולים האינדונזי.</t>
  </si>
  <si>
    <t>רשתות חברתיות, דומיסייד (השמדת מרחבי מחיה), ונדליזם, סרטי חיילים ישראלים, בית חולים, ירי חסר הבחנה, הרס, הריסה, דה־הומניזציה (שלילת אנושיות)</t>
  </si>
  <si>
    <t>רצועת עזה, ג'באליה, עיר עזה, בית החולים האינדונזי</t>
  </si>
  <si>
    <t>וידאו של חייל צה"ל בתוך בית קפה הרוס</t>
  </si>
  <si>
    <t>תמונה של חיילי צה"ל יושבים בתוך בית קפה הרוס עם כיתוב שאומר "שירות גרוע, המתנה ארוכה לקפה".</t>
  </si>
  <si>
    <t>רשתות חברתיות, תמונות חיילים ישראלים, דה־הומניזציה (שלילת אנושיות)</t>
  </si>
  <si>
    <t>מנהל בית החולים קמאל עדואן, ד"ר חוסאם אבו ספיה, נפצע במתקפה על בית החולים.</t>
  </si>
  <si>
    <t>וידאו של ד"ר אבו ספיה שנפצע במתקפה על בית החולים קמאל עדואן כחלק מהמבצע הגדול בצפון עזה בסוף 2024. אבו ספיה מאשר את מחויבותו להמשיך לספק טיפול למרות המתקפה הממוקדת של ישראל וקורא לתמיכת העולם.</t>
  </si>
  <si>
    <t>בריאות הציבור, עובדי בריאות, בית חולים, אזרחים, דעת קהל</t>
  </si>
  <si>
    <t>מנהל בית החולים קמאל עדואן, ד"ר חוסאם אבו ספיה, זקוק לטיפול דחוף לאחר פציעתו.</t>
  </si>
  <si>
    <t>ד"ר חוסאם אבו ספיה מתאר את הפציעה שלו ומבקש לאפשר טיפול הומניטרי דחוף להגיע לבית החולים הנצור. הוא מבקש שהעולם יפסיק את התקפות ישראל על מערכת הבריאות.</t>
  </si>
  <si>
    <t>עובדי בריאות, בית חולים, עדות פלסטינית, אזרחים, בריאות הציבור, סיוע הומניטרי, משבר הומניטרי, תרופות, דעת קהל</t>
  </si>
  <si>
    <t>מנהל בית החולים קמאל עדואן, ד"ר חוסאם אבו ספיה הפצוע, מדבר ממיטתו בבית החולים שלו כחלק ממחאה נגד התקפות על מערכת הבריאות.</t>
  </si>
  <si>
    <t>ד"ר חוסאם אבו ספיה נשא נאום רב עוצמה ממיטתו ביחידה לטיפול נמרץ בבית החולים כמאל עדוואן, בו גינה את צה"ל על פגיעה ישירה בבית החולים ושימוש בפצצות מזל"ט מתקדמות כדי לפגוע בעובדי שירותי בריאות. הוא קורא לשחרור מיידי של אנשי הצוות הרפואי שנעצרו, ודוחק בקהילה הבינלאומית לעצור את מרחץ הדמים המתמשך בצפון עזה.</t>
  </si>
  <si>
    <t>עובדי בריאות, בריאות הציבור, בית חולים, תרופות, תקיפה אווירית, הפצצות, תנאי שבי, אזרחים, רחפן / קוואדקופטר, סיוע הומניטרי, משפט הומניטרי, משבר הומניטרי, דעת קהל, מחאה (פלסטינים)</t>
  </si>
  <si>
    <t>רופא נורה למוות מול שער בית החולים קמאל עדואן כאשר הגיע לעבודה</t>
  </si>
  <si>
    <t>ד"ר אחמד אל-קחלות, מנהל מחלקת טיפול נמרץ בבית החולים קמאל עדואן, נורה למוות מול שער בית החולים.</t>
  </si>
  <si>
    <t>בריאות הציבור, עובדי בריאות, בית חולים</t>
  </si>
  <si>
    <t>הגנרל הישראלי (מיל.) גיורא איילנד על התוכנית שלו לעזה</t>
  </si>
  <si>
    <t>גנרל (במיל.) איילנד, שהגה תוכנית שכוללת הרעבת תושבי עזה כדי להניעם לפנות את צפון עזה, מבקר את צה"ל על כך שלא פינה אזרחים לפני הפלישה. טוען שהוא רוצה להציל חיים אזרחיים עם התוכנית שלו.</t>
  </si>
  <si>
    <t>רעב כבד, עקירה בכפייה, סיוע הומניטרי, ראיון</t>
  </si>
  <si>
    <t>חמאס, ממשלת ישראל, צה״ל, אונר״א</t>
  </si>
  <si>
    <t>בנימין נתניהו, גיורא איילנד</t>
  </si>
  <si>
    <t>יותר מ-50 ילדים בין 84 פלסטינים שנהרגו בשני תקיפות ישראליות בצפון עזה</t>
  </si>
  <si>
    <t>יותר מ-50 ילדים בין 84 פלסטינים שנהרגו בשני תקיפות ישראליות בצפון עזה. 15 ארגוני סיוע מזהירים שהאוכלוסייה כולה בצפון עזה נמצאת בסיכון מיידי ממחלות, רעב ואלימות. תיעוד של התקפה על בית ספר שמשמש כמקלט לעקורים.</t>
  </si>
  <si>
    <t>צפון רצועת עזה, מחנה הפליטים נוסייראת</t>
  </si>
  <si>
    <t>תקיפה אווירית, אזרחים, מחלות, עקירה בכפייה, תת־תזונה, רעב כבד, אלימות, בתי ספר, משבר הומניטרי</t>
  </si>
  <si>
    <t>צה״ל, OCHA, זזים, האומות המאוחדות</t>
  </si>
  <si>
    <t>צה"ל טוען ששישה ילדים נפצעו, ותשתיות נפגעו ,בבית החולים כמאל עדואן, בעקבות מטען נפץ של "ארגון טרור".</t>
  </si>
  <si>
    <t>צה"ל טוען כי שישה ילדים נפצעו ותשתיות נפגעו בבית החולים כמאל עדואן, בעקבות מטען נפץ של "ארגון טרור". מנהל בית החולים כמאל עדואן, ד"ר חוסאם אבו ספיה, מדווח כי זמן קצר לאחר שצוותי ארגון הבריאות העולמי הגיעו כדי לפנות פצועים, כוחות ישראליים חידשו את ההתקפות הכבדות, ופגעו בילדים נוספים. ד"ר סבאח, מנהל הסיעוד בבית החולים כמאל עדואן, דיווח כי ההפצצות הכבדות נמשכו, תוך כדי פגיעה בתשתיות ובמחלקת טיפול נמרץ. צה"ל טוען, בתמיכת המתפ"ש, כי הנזק נגרם כתוצאה מפיצוץ של "טרוריסט" באזור, בעת ששיירה הומניטרית פינתה את המטופלים ואנשי הצוות לבתי חולים אחרים. הפוסט כולל תיעוד גרפי של ההתקפה.</t>
  </si>
  <si>
    <t>תקיפה אווירית, ילדים, בית חולים, מים, חשמל, תרופות, עובדי בריאות, טרור, בריאות הציבור, תשתיות, עדות פלסטינית, עדות</t>
  </si>
  <si>
    <t>משרד הבריאות בעזה, צה״ל, ארגון הבריאות העולמי</t>
  </si>
  <si>
    <t>בית החולים כמאל עדואן, בית לאהיא, צפון רצועת עזה, רצועת עזה</t>
  </si>
  <si>
    <t>משרד החוץ של ארצות הברית מפרסם רשימה של השינויים שישראל ערכה מאז שארצות הברית דרשה להגדיל את הסיוע ההומניטרי לעזה, כאשר נותר פחות משבוע עד המועד האחרון.</t>
  </si>
  <si>
    <t>דובר מחלקת המדינה של ארצות הברית מפרט , את השינויים שישראל עשתה מאז שארצות הברית דרשה להגדיל את הסיוע ההומניטרי לעזה, במכתב ממזכיר המדינה, אנתוני בלינקן, כאשר נותר פחות משבוע עד המועד האחרון לשינויים. הדובר מאשר שישראל לא עמדה במועד האחרון הראשוני לדון בערוץ פגיעות אזרחיות. אין סימן להשלכות.</t>
  </si>
  <si>
    <t>סיוע הומניטרי, מזון, מים, מצור, הצהרה רשמית</t>
  </si>
  <si>
    <t>רצועת עזה, צפון רצועת עזה</t>
  </si>
  <si>
    <t>אנתוני בלינקן</t>
  </si>
  <si>
    <t>בלינקן מהלל את הצלחת המכתב הדורש מישראל לשפר את אספקת הסיוע ההומניטרי לעזה</t>
  </si>
  <si>
    <t>למרות האזהרות מפני רעב קרוב, מזכיר המדינה האמריקאי, בלינקן, טוען כי המכתב שלו לישראל לקידום הסיוע הוא הצלחה. בלינקן קורא ל"פסקי זמן אמיתיים ומורחבים" בלחימה, וללחץ על חמאס לשחרר את החטופים ולקבל את התוכניות של ארצות הברית וישראל לסיום המלחמה. ההודעה מגיעה כאשר סוכנויות הסיוע בשטח מתארות את המצב כ"קטסטרופלי" וכי רוב הקריטריונים המפורטים במכתב לא התקיימו.</t>
  </si>
  <si>
    <t>סיוע הומניטרי, ביזה, הפסקת אש, עסקת בני ערובה, בני ערובה, הצהרה רשמית, משבר הומניטרי</t>
  </si>
  <si>
    <t>משרד החוץ האמריקאי, ארצות הברית, חמאס, ממשלת ישראל</t>
  </si>
  <si>
    <t>אנתוני בלינקן, ג'ו ביידן</t>
  </si>
  <si>
    <t>סקיי ניוז מדווח על טיהור אתני בצפון עזה</t>
  </si>
  <si>
    <t>דיווח על גירושים חוזרים, התקפות אוויר חוזרות ועצירת סיוע הומניטרי לפלסטינים בצפון עזה, בעקבות חלקם, כשהם בורחים לאזור ה"בטוח" באל-מוואסי. העיתונאי אליסטר בנקל ראיין את האלוף (מיל') גיורא איילנד, מחבר "תוכנית הגנרלים", שטוען כי איום בהרעבה הוא הדרך היעילה ביותר לכבוש את צפון עזה, וכי המטרה של התוכנית המדוברת היא לכבוש שטח כקלף מיקוח כדי להפעיל לחץ על חמאס לשחרר את החטופים הישראלים. הדיווח כולל גם סרטון של תקיפת רחפן ישראלי סמוך לחוף צפון עזה, עם מה שנשמע כמו לעג ובדיחות של חייל ישראלי.</t>
  </si>
  <si>
    <t>הפצצות, עקירה בכפייה, בני ערובה, עסקת בני ערובה, ביזה, רעב כבד, הריסה, טיהור אתני, משבר הומניטרי, דיווח עיתונאי, הרס, מצור</t>
  </si>
  <si>
    <t>חמאס, ממשלת ישראל, צה״ל</t>
  </si>
  <si>
    <t>גיורא איילנד</t>
  </si>
  <si>
    <t>צה"ל פשט על בית החולים כמאל עדואן</t>
  </si>
  <si>
    <t>לאחר הפצצות חוזרות, צה"ל פרץ לבית החולים, שבו יותר מ-150 ילדים, וכפה על כולם להתאסף בחצר, כולל צוות רפואי, מטופלים ואחרים.</t>
  </si>
  <si>
    <t>ילדים, אזרחים, מבצע קרקעי, הפצצות, בית חולים, עובדי בריאות, משפט הומניטרי, תינוקות</t>
  </si>
  <si>
    <t>אדריכלות פורנזית: טיהור אתני בצפון עזה</t>
  </si>
  <si>
    <t>קבוצת 'האדריכלות הפורנזית' מנתחת את ההחמרה בטקטיקות צבאיות לאכיפת העברת אוכלוסיה בצפון עזה. עצירת הסיוע ההומניטרי נותרה בעינה, מה שמוביל לרעב יזום ברצועה.</t>
  </si>
  <si>
    <t>טיהור אתני, עקירה בכפייה, בית חולים, סיוע הומניטרי, רעב כבד, מבצע קרקעי, ניתוח, פשעי מלחמה</t>
  </si>
  <si>
    <t>ג'באליה, צפון רצועת עזה, מסדרון נצרים</t>
  </si>
  <si>
    <t>מזה 21 ימים לא נכנס סיוע לצפון עזה</t>
  </si>
  <si>
    <t>עיתונאי מעזה מאשים את ממשלת ישראל, וארה"ב בהפצת מידע לא מדויק על כניסת סיוע הומניטרי לעזה. בניגוד לדבריהן, המצור באזור מונע הכנסת כל סיוע במשך 21 ימים.</t>
  </si>
  <si>
    <t>סיוע הומניטרי, ענישה קולקטיבית, מצור, מזון, עיתונאים, עדות, רשתות חברתיות</t>
  </si>
  <si>
    <t>ממשלת ישראל, ארצות הברית</t>
  </si>
  <si>
    <t>ההגנה האזרחית בצפון עזה מתמוטטת</t>
  </si>
  <si>
    <t>ההגנה האזרחית בעזה מכריזה על הפסקת כל הפעילות ההומניטרית בעקבות התקפות צה"ל ופעולותיו. חלק מחברי ההגנה האזרחית נעצרו ואחרים סומנו כמטרות. חברי ההגנה האזרחית קוראים להתערבות הקהילה הבינלאומית.</t>
  </si>
  <si>
    <t>צפון רצועת עזה, בית לאהיא, בית החולים כמאל עדואן</t>
  </si>
  <si>
    <t>מצור, מבצע קרקעי, בית חולים, עובדי בריאות, סיוע הומניטרי, הצהרה רשמית, מחאה (פלסטינים)</t>
  </si>
  <si>
    <t>צה"ל פושט על כמאל עדואן</t>
  </si>
  <si>
    <t>צה"ל אסף את הפצועים ולצידם את המלוים בחצר בית החולים, והפריד בין הגברים לנשים.</t>
  </si>
  <si>
    <t>אזרחים, מבצע קרקעי, עובדי בריאות, בית חולים, נשים</t>
  </si>
  <si>
    <t>ישראל מונעת הכנסת מים לעזה</t>
  </si>
  <si>
    <t>הממשלה הישראלית עושה שימוש מכוון ברעב ככלי מלחמה.</t>
  </si>
  <si>
    <t>מצור, רעב כבד, מים, משבר הומניטרי, ענישה קולקטיבית, סיוע הומניטרי, עדות</t>
  </si>
  <si>
    <t>צה"ל עוצר עשרות גברים מצפון עזה</t>
  </si>
  <si>
    <t>עשרות עצורים בצפון עזה ממוספרים, מכוסי עיניים, ואז נלקחים למקומות לא ידועים. לפי הפוסט הזה, "רבים" מהם מוצאים להורג.</t>
  </si>
  <si>
    <t>תנאי שבי, השפלה, עצורים, הוצאה להורג</t>
  </si>
  <si>
    <t>ממשלת ישראל, מערכת הכליאה הישראלית, צה״ל</t>
  </si>
  <si>
    <t>צה"ל מפציץ מקלט לעקורים מצפון עזה</t>
  </si>
  <si>
    <t>עיתונאי מתאר את תוצאות ההפצצה של צה"ל על מקלט לעקורים שהועברו מצפון עזה.</t>
  </si>
  <si>
    <t>הפצצות, ילדים, עקירה בכפייה, בתי ספר, נשים, אזרחים</t>
  </si>
  <si>
    <t>11 בני משפחתו של העיתונאי חוסאם שבת נהרגו בהתקפה אווירית על מקלט בבית ספר.</t>
  </si>
  <si>
    <t>11 מבני דודיו של חוסאם שבת נהרגו בהתקפה אווירית על מקלט בבית ספר, ונאלצו להיקבר במהירות ללא הלווייה.</t>
  </si>
  <si>
    <t>הפצצות, ילדים, אזרחים, עקירה בכפייה, בתי ספר, עדות</t>
  </si>
  <si>
    <t>עיתונאי מעזה שאך זה איבד את משפחתו עד לטבח נוסף</t>
  </si>
  <si>
    <t>עיתונאי מתאר כיצד קבר את 11 בני דודיו שנרצחו בהתקפת אוויר וכמעט מיד לאחר מכן היה עד להתקפת אוויר נוספת.</t>
  </si>
  <si>
    <t>הפצצות, תקיפה אווירית, קבורה, אזרחים, עדות</t>
  </si>
  <si>
    <t>קבורת בני דודיו של חוסאם שבת</t>
  </si>
  <si>
    <t>מקרי מוות תכופים מפריעים למנהגים הרגילים של קבורה ואבל בעזה. הקבורות מהירות, בקברים מאולתרים, בין ההריסות. הסרטון צולם ב-7 בנובמבר 2024.</t>
  </si>
  <si>
    <t>קבורה, רצח עם, הפצצות, אזרחים, עדות</t>
  </si>
  <si>
    <t>הפצצות בבית חנון; קרובי משפחתו של חוסאם שבת לכודים תחת ההריסות</t>
  </si>
  <si>
    <t>ביתו של קרוב משפחה של חוסאם שבת הופצץ ואנשים נלכדו תחת ההריסות בבת חנון הנצורה. האזור אינו נגיש לצוותי החילוץ.</t>
  </si>
  <si>
    <t>בית חאנון</t>
  </si>
  <si>
    <t>הפצצות, אזרחים, תקיפה אווירית, עדות</t>
  </si>
  <si>
    <t>רצועת עזה, צפון רצועת עזה, בית חאנון</t>
  </si>
  <si>
    <t>מתפשטת הסכמה כי ישראל מבצעת רצח עם בעזה</t>
  </si>
  <si>
    <t>אוסף של עשרות קישורים של חוקרים, מומחים ומוסדות שטוענים כי ישראל מבצעת רצח עם בעזה. הקישורים מסודרים בסדר כרונולוגי בדרך כלל.</t>
  </si>
  <si>
    <t>רצח עם, אקדמיה, ניתוח</t>
  </si>
  <si>
    <t>ממשלת ישראל, בית הדין הבינלאומי לצדק, צה״ל</t>
  </si>
  <si>
    <t>הצהרה של הממונה המיוחד של האומות המאוחדות לתהליך השלום במזרח התיכון</t>
  </si>
  <si>
    <t>טור ונסלנד, מתאם האומות המאוחדות לתהליך השלום במזרח התיכון, מגנה את ההתקפות על אזרחים בעזה וקורא להחזיר את החטופים ולהגן על כל האזרחים.</t>
  </si>
  <si>
    <t>אזרחים, הפסקת אש, בני ערובה, עסקת בני ערובה, הצהרה רשמית</t>
  </si>
  <si>
    <t>בית הדין הפלילי הבינלאומי מפרסם את תגובת ישראל לבקשות המעצר</t>
  </si>
  <si>
    <t>בית המשפט הפלילי הבינלאומי פרסם את התגובות הרשמית של ישראל לבקשות צו המעצר נגד בנימין נתניהו ויואב גלנט, המאתגרות את סמכות בית המשפט וטוענות לצורך בהודעה נדרשת.</t>
  </si>
  <si>
    <t>משפט הומניטרי, פשעי מלחמה, הצהרה רשמית, פשעים נגד האנושות</t>
  </si>
  <si>
    <t>סקר מצביע על כך שרוב הישראלים תומכים בסיום הסכסוך בעזה באמצעים דיפלומטיים</t>
  </si>
  <si>
    <t>סקר של ערוץ 13 מגלה ששני שליש מהישראלים (66%) תומכים בסיום המלחמה ובביצוע עסקת חטופים, בעוד שרק 27% תומכים בהמשך הפעולות הצבאיות.</t>
  </si>
  <si>
    <t>אורי ולטמן (@uriweltmann)</t>
  </si>
  <si>
    <t>הפסקת אש, החברה הישראלית, דעת קהל, בני ערובה, מדיה</t>
  </si>
  <si>
    <t>יואב גלנט מגיב לבקשה למעצרו מטעם בית הדין הבינלאומי</t>
  </si>
  <si>
    <t>שר הביטחון, יואב גלנט, משתף את הצהרתו לאחר שבית הדין הפלילי הבינלאומי הוציא נגדו צווי מעצר. גלנט הצהיר כי הוא עומד מאחורי מעשיו ומעשי ישראל והצבא, ומגנה את החלטת בית הדין.</t>
  </si>
  <si>
    <t>יואב גלנט (@yoavgallant)</t>
  </si>
  <si>
    <t>פשעי מלחמה, הצהרה רשמית</t>
  </si>
  <si>
    <t>פלסטיני שהמיר את דתו ליהדות נורה למוות על ידי חיילי מילואים בגוש עציון</t>
  </si>
  <si>
    <t>גבר פלסטיני בן 63 שהמיר את דתו ליהדות נורה למוות על ידי חייל צה"ל במילואים, ליד תחנת אוטובוס בגוש עציון. נסיבות הירי והטיפול במקרה אפופים בחשד.</t>
  </si>
  <si>
    <t>אלישע בן קימון, יואב זיתון</t>
  </si>
  <si>
    <t>גוש עציון</t>
  </si>
  <si>
    <t>אלימות, רצח, אזרחים</t>
  </si>
  <si>
    <t>לפי הערכת ה-CIA נתניהו צפוי להתנגד ללחץ האמריקאי לקבוע תוכנית עבור עזה אחר המלחמה.</t>
  </si>
  <si>
    <t>הערכה של ה-CIA מצביעה על כך שראש ממשלת ישראל, בנימין נתניהו, צפוי להתנגד ללחץ אמריקאי מצד ממשלת ביידן, להעמיד תוכנית עבור עזה לאחר המלחמה, עוד במהלך הסכסוך המתמשך.</t>
  </si>
  <si>
    <t>זכרי כהן, קייטי בו ליליס</t>
  </si>
  <si>
    <t>ישראל, רצועת עזה</t>
  </si>
  <si>
    <t>בנימין נתניהו</t>
  </si>
  <si>
    <t>חיילי צה"ל הופכים עיתונאים למטרות</t>
  </si>
  <si>
    <t>חובש נהרג ועיתונאי נפצע בהתקפה כפולה מכוונת על בניין אזרחי. רבים נהרגו ואחרים נלכדו בהריסות.</t>
  </si>
  <si>
    <t>תקיפה אווירית, הפצצות, אזרחים, עיתונאים, עדות</t>
  </si>
  <si>
    <t>סיקור אל ג'זירה על התקפה כפולה ישראלית שהביאה לפציעתו של העיתונאי חוסאם שבט. בסרטון מצויין כי ישראל הרגה 188 עיתונאים.</t>
  </si>
  <si>
    <t>דיווח קצר של אל ג'זירה (1:00 דקות) על תקיפת עיתונאים, המתמקד במקרה של חוסאם שבת אך גם מספק הקשר למקרה.</t>
  </si>
  <si>
    <t>הפצצות, דיווח עיתונאי, עיתונאים, פשעי מלחמה, קבורה, עדות</t>
  </si>
  <si>
    <t>חוסאם שבת מתאר את חייו היומיומיים בצפון עזה</t>
  </si>
  <si>
    <t>העיתונאי חוסאם שבת משתף כיצד נראה יומו, מפרט קשיים וכאב גדולים בתוך ההרס בעזה.</t>
  </si>
  <si>
    <t>הפצצות, קבורה, דיווח עיתונאי, עיתונאים, רעב כבד, תרופות, חשמל, מזון, עקירה בכפייה, עדות</t>
  </si>
  <si>
    <t>חייל צה"ל מפוצץ בית ברפיח</t>
  </si>
  <si>
    <t>וידאו המראה חייל צה"ל יושב בתוך רכב משוריין ומפוצץ בית ברפיח, ומקדיש את המעשה "לאמא שלי".</t>
  </si>
  <si>
    <t>הפצצות, הריסה, אזרחים, סרטי חיילים ישראלים, רשתות חברתיות, סיוע הומניטרי, דה־הומניזציה (שלילת אנושיות)</t>
  </si>
  <si>
    <t>חיילי צה"ל מפוצצים מסגד</t>
  </si>
  <si>
    <t>וידאו המראה חיילי צה"ל מהגדוד 8219 מפוצצים מסגד בכפר ח'רבת חיזא, חאן יונס, בעוד הם צוהלים בשמחה וצורחים "אין יותר תפילות יום שישי. יאי! עם ישראל חי".</t>
  </si>
  <si>
    <t>הריסה, מבצע קרקעי, מסגדים, סרטי חיילים ישראלים, הרס אתרים תרבותיים, רשתות חברתיות, דה־הומניזציה (שלילת אנושיות)</t>
  </si>
  <si>
    <t>צה"ל שורף בתים במרכז עזה</t>
  </si>
  <si>
    <t>תמונה המראה חייל צה"ל מבעיר בתים במרכז עזה, עם כיתוב בעברית: "היית טובה אלינו עזה, אבל אינטנסיבית".</t>
  </si>
  <si>
    <t>מזרח אל-בורייג'</t>
  </si>
  <si>
    <t>הצתה, אזרחים, ענישה קולקטיבית, תמונות חיילים ישראלים, דה־הומניזציה (שלילת אנושיות)</t>
  </si>
  <si>
    <t>אל-בורייג'</t>
  </si>
  <si>
    <t>צילומים מחשבונות מדיה חברתית של חיילי צה"ל המראים ירי חסר הבחנה ופיצוץ בתים</t>
  </si>
  <si>
    <t>ארבעה סרטוני מדיה חברתית שפורסמו על ידי חיילים ישראלים מראים אותם מפוצצים בתים, יורים במקלעים ללא הבחנה ומשגרים רימונים לבית ספר של האו"ם.</t>
  </si>
  <si>
    <t>הריסה, מבצע קרקעי, בתי ספר, רשתות חברתיות, ונדליזם, סרטי חיילים ישראלים, הרס, ירי חסר הבחנה, דה־הומניזציה (שלילת אנושיות)</t>
  </si>
  <si>
    <t>רצועת עזה, רפיח</t>
  </si>
  <si>
    <t>אלוף-משנה בצה"ל תומך בניצחון ישראלי מוחלט בעזה, כולל סיפוח, התנחלויות וגירוש פלסטינים מבתיהם.</t>
  </si>
  <si>
    <t>סגן אלוף בצה"ל קורא לניצחון מוחלט בעזה, "כדי לקבע נַכְבָּה שנייה בתודעה שלהם." לגבי 'יום שאחרי" הוא מציע להחזיר את עזה 56 שנה אחורה, למצב בו הם "קטנים, פצועים, חבולים, עסוקים בקבורת יקיריהם, ומעל לכל, מפוחדים." בנוסף, הוא קורא לספח את רצועת עזה, להקים שם יישובים יהודיים, ולעודד הגירה המונית של תושבי עזה. הוא מתייחס לרשות הפלסטינית כ"נאצים אסלאמיים מרמאללה," ואומר שלא צריך לאפשר להם לשלוט בעזה בשום תנאי.</t>
  </si>
  <si>
    <t>דה־הומניזציה (שלילת אנושיות), הסתה לרצח עם, סיפוח, ענישה קולקטיבית, טיהור אתני, הסתה לאלימות, התנחלויות יהודיות בעזה, עקירה בכפייה</t>
  </si>
  <si>
    <t>חיילי צה"ל מצטלמים בתוך מסגד שהציתו</t>
  </si>
  <si>
    <t>התמונה מראה חיילים ישראלים מצטלמים בתוך מסגד שהציתו בעיר עזה.</t>
  </si>
  <si>
    <t>רשתות חברתיות, הצתה, הרס אתרים תרבותיים, ונדליזם, מסגדים, תמונות חיילים ישראלים, דה־הומניזציה (שלילת אנושיות)</t>
  </si>
  <si>
    <t>חיילי צה"ל מפוצצים בניין מגורים</t>
  </si>
  <si>
    <t>תמונה ברשתות החברתיות מציגה כוחות ישראליים מפוצצים בניין מגורים גבוה (לפחות 6 קומות) ברפיח.</t>
  </si>
  <si>
    <t>ענישה קולקטיבית, הריסה, הרס, סרטי חיילים ישראלים, רשתות חברתיות, דה־הומניזציה (שלילת אנושיות)</t>
  </si>
  <si>
    <t>חייל צה"ל טוען ששרף ושדד ברפיח</t>
  </si>
  <si>
    <t>דיווח על חייל צה"ל שפרסם בחשבון המדיה החברתית שלו שמצא "שלל אגדי" ו"נהנה לשרוף בתים" עם חיילים אחרים ברפיח (רמז למשחקי וידאו).</t>
  </si>
  <si>
    <t>הצתה, ביזה, עדויות חיילים ישראלים, ענישה קולקטיבית, תמונות חיילים ישראלים, ונדליזם, רשתות חברתיות, דה־הומניזציה (שלילת אנושיות)</t>
  </si>
  <si>
    <t>חיילי צה"ל מחללים מסגד בגרפיטי ובזבל</t>
  </si>
  <si>
    <t>חיילים ישראלים כתבו "מוחמד שרמוטה" ו"מוחמד הוא פדופיל" על קירות המסגד במעבר רפיח, והשאירו הרבה זבל בפנים.</t>
  </si>
  <si>
    <t>הרס אתרים תרבותיים, ונדליזם, מסגדים, רשתות חברתיות, גזענות, דה־הומניזציה (שלילת אנושיות)</t>
  </si>
  <si>
    <t>אלוף בצה"ל קורא להשמדת עזה לחלוטין ולגירוש תושביה.</t>
  </si>
  <si>
    <t>אלוף-משנה גור רוזנבלט, המשרת כסגן מנהל במשרד החינוך הישראלי ובראש חטיבת החי"ר הצפונית של צה"ל, מתבטא בקריאות ג'נוסיידיות. בפוסטים שלו ברשתות החברתיות, הוא הודה שישראל מכוונת למקומות עם קשרים רופפים בלבד לחמאס והציע "סוג של נַכְבָּה שנייה או שלישית." האסטרטגיה המוצעת שלו כוללת מחיקה מוחלטת של העיר עזה, העברת תושביה לדרום עזה, ואפשרות לאפשר להעבירם למדינות אחרות.</t>
  </si>
  <si>
    <t>הסתה לרצח עם, הנכבה, הסתה לאלימות, טיהור אתני, התנחלויות יהודיות בעזה, סיפוח, פשעי מלחמה, רשתות חברתיות, דה־הומניזציה (שלילת אנושיות)</t>
  </si>
  <si>
    <t>צה"ל מפוצץ מסגד ריק בחאן יונס</t>
  </si>
  <si>
    <t>חיילי צה"ל מצלמים מסגד עם רחפן, רואים שהוא ריק לחלוטין ואין בו דבר, ואז מפוצצים אותו.</t>
  </si>
  <si>
    <t>מסגדים, סרטי חיילים ישראלים, הרס אתרים תרבותיים, דה־הומניזציה (שלילת אנושיות), הרס, הריסה</t>
  </si>
  <si>
    <t>גרפיטי במגרש משחקים בתל אביב: "מחקו את עזה"</t>
  </si>
  <si>
    <t>גן משחקים בתל אביב עם ילדים משחקים. בשולי הפארק נכתב בגרפיטי: "מחקו את עזה".</t>
  </si>
  <si>
    <t>תל אביב</t>
  </si>
  <si>
    <t>הסתה לרצח עם, החברה הישראלית, דה־הומניזציה (שלילת אנושיות), ילדים</t>
  </si>
  <si>
    <t>צה"ל שורף ומחריב בניינים בעזה. סרטונים בהמשך הפוסט מראים מקרים נוספים של דה-הומניזציה, כולל עזתים שנעצרו ושיחות על עזתים.</t>
  </si>
  <si>
    <t>שני סרטונים, אחד מראה בניין בוער והשני דחפור הורס בניין עם חיילים מדברים בערוץ התקשורת ברקע. על הבניין הבוער יש דמות מונפשת המראה תחת עירום זז עם השיר "שית燃 הכפר שלך" ברקע. השרשור נמשך וכולל פרסומות מזויפות לבתים בעזה, תגובות גזעניות, התעללות בעצורים פלסטינים והשחתה.</t>
  </si>
  <si>
    <t>וידאו, תמונה, טקסט</t>
  </si>
  <si>
    <t>סרטי חיילים ישראלים, רשתות חברתיות, תמונות חיילים ישראלים, עצורים, ונדליזם, דה־הומניזציה (שלילת אנושיות), הרס, הריסה, בתי ספר</t>
  </si>
  <si>
    <t>ג'באליה, עיר עזה</t>
  </si>
  <si>
    <t>עשרות ישראלים מגיבים ברשתות החברתיות לחדשות על משפחה פלסטינית-ישראלית שנהרגה בתאונת דרכים</t>
  </si>
  <si>
    <t>בקבוצת הטלגרם "חדשות ישראל בטלגרם" התנהלה שיחה בעקבות דיווח חדשותי על משפחה מקפר קאסם שנהרגה בתאונת דרכים, חלק מהמשתתפים כינו זאת "חדשות טובות", הביעו אדישות, ואפילו הגיבו בשמחה.</t>
  </si>
  <si>
    <t>דה־הומניזציה (שלילת אנושיות), פלסטינים אזרחי ישראל, החברה הישראלית, גזענות, הסתה לאלימות, רשתות חברתיות</t>
  </si>
  <si>
    <t>דו"ח על עינויים של עצורים פלסטינים מעזה, המבוסס על ראיונות עמם</t>
  </si>
  <si>
    <t>דו"ח יורו-מד על עינויים של עצורים מעזה על ידי צה"ל, המובסס על מאה ראיונות עם עצורים.</t>
  </si>
  <si>
    <t>דה־הומניזציה (שלילת אנושיות), דו"ח רשמי, עדות, עינויים, תנאי שבי, אלימות, אלימות מינית, השפלה, אזרחים, עצורים, עדות פלסטינית, מתקן כליאה</t>
  </si>
  <si>
    <t>שירות בתי הסוהר, מערכת הכליאה הישראלית, צה״ל</t>
  </si>
  <si>
    <t>מאות עצורים פלסטינים בחצר בית ספר בעזה</t>
  </si>
  <si>
    <t>פלסטיני מתראיין על ידי חיילים בעוד ברקע מאות פלסטינים עצורים יושבים על האדמה, ללא בגדים, בחצר בית ספר (בית ספר הכנה לבנים סלאח א-דין (A+B) לפליטים).</t>
  </si>
  <si>
    <t>אנגלית, עברית, ערבית</t>
  </si>
  <si>
    <t>א-רימאל, עזה</t>
  </si>
  <si>
    <t>דה־הומניזציה (שלילת אנושיות), השפלה, בתי ספר, סרטי חיילים ישראלים, ראיון, עצורים</t>
  </si>
  <si>
    <t>עדויות של עצורים פלסטינים בישראל (שרשור)</t>
  </si>
  <si>
    <t>השרשור כולל שישה סרטונים וארבע תמונות. הסרטונים מציגים ראיונות עם עצירים פלסטיניים בישראל ששוחררו או עם אנשים שמעבירים את הסיפורים שלהם . העצירים הם רופאים, אישה, נער בן 14, אדם עם מוגבלות, אדם זקן ואחרים. חלקם עם גפיים קטועות וחלקם מתו בשבי. העדויות מתארות אלימות, השפלה, רעב, שמירה במקפיא עם גופות, מוזיקה רועשת 24 שעות, טיפול כמו בכלב וצורות אחרות של עינויים. נטען כי רופאים מקבלים טיפול קשה במיוחד.</t>
  </si>
  <si>
    <t>תמונה, טקסט, וידאו</t>
  </si>
  <si>
    <t>תנאי שבי, ילדים, אלימות, עינויים, רעב כבד, עובדי בריאות, נשים, קשישים, שטחים כבושים, מתקן כליאה, דה־הומניזציה (שלילת אנושיות), עצורים, עדות פלסטינית, עדות</t>
  </si>
  <si>
    <t>חייל צה"ל מציג גלויה המבזה צעירה פלסטינית</t>
  </si>
  <si>
    <t>שתי תמונות, באחת חייל צה"ל מחזיק גלוית דואר עם תמונה של צעירה פלסטינית בחיג'אב מחזיקה פרחים. כיתוב בתמונה אומר: "פאטמה השובבה [כך במקור] שלחה לי מכתב לחזית". בשנייה אותו חייל מציג כתיבה בעברית בצד השני של הגלוית: "אהובתי, אני מתגעגע אלייך וחושב עלייך כל יום. באהבה, פאטימה".</t>
  </si>
  <si>
    <t>נשים, השפלה, אזרחים, תמונות חיילים ישראלים, דה־הומניזציה (שלילת אנושיות)</t>
  </si>
  <si>
    <t>חייל צה"ל הצית מחסן ברפיח</t>
  </si>
  <si>
    <t>שתי תמונות שפורסמו על ידי חייל מראות מחסן בוער ברפיח: אחת מבפנים ואחת מבחוץ.</t>
  </si>
  <si>
    <t>הצתה, ונדליזם, תמונות חיילים ישראלים, רשתות חברתיות, הרס</t>
  </si>
  <si>
    <t>חייל מעמיד פנים כאילו מסניף קוקאין בבית מגורים פלסטיני ברפיח [שרשור]</t>
  </si>
  <si>
    <t>חייל צה"ל במטבח של משפחה פלסטינית מעמיד פנים כאילו הוא מסניף קוקאין. בשרשור וידיאו של החייל מתנדנד על נדנדה בחצר בית נטוש.</t>
  </si>
  <si>
    <t>סרטי חיילים ישראלים, לעג, צעצועים, דה־הומניזציה (שלילת אנושיות)</t>
  </si>
  <si>
    <t>חייל צה"ל בשמלה שנלקחה מדירה ברפיח</t>
  </si>
  <si>
    <t>שני חיילי צה"ל במדי קרב מלאים במה שנראה כמו חדר שינה של אישה עם חפצים אינטימיים שלה (קרמים, תחתונים, איפור), אחד לובש אפוד אדום ותיק נשי, והשני עם ורד מזויף בין שיניו. השרשור נמשך ל-13 ציוצים נוספים שכוללים תוכן נוסף המפחית את האנושיות, כולל הרס, שוד, ונדליזם, הצתת בתים.</t>
  </si>
  <si>
    <t>השפלה, לעג, תמונות חיילים ישראלים, בגדי נשים (כולל הלבשה תחתונה), דה־הומניזציה (שלילת אנושיות)</t>
  </si>
  <si>
    <t>תמונות של בניינים בוערים ברפיח</t>
  </si>
  <si>
    <t>שלוש תמונות של בתים בוערים ברפיח. באחת מהן, חייל צה"ל במדי קרב מלא, מחזיק רובה ומחייך מול הבניינים הבוערים.</t>
  </si>
  <si>
    <t>הצתה, דומיסייד (השמדת מרחבי מחיה), אורביסייד (השמדת ערים), לעג, תמונות חיילים ישראלים, רשתות חברתיות, הרס, דה־הומניזציה (שלילת אנושיות)</t>
  </si>
  <si>
    <t>שירשור הודעות של מפקדי צה"ל (רובם כנראה מפקדים במילואים) הקוראים לרצח עם ו/או טיהור אתני</t>
  </si>
  <si>
    <t>אוסף פוסטים של קציני צה"ל הקוראים ל"להרוג אזרחים", "להרוג ילדים", "להרעיב את תושבי עזה למוות", "למחוק את עזה" ו"להפיץ מחלות בקרב אזרחים". כל אדם בשרשור מוזכר בשמו, עם תמונות וצילומי מסך של פעילותם ברשתות החברתיות. חלק גדול מזה מתורגם לאנגלית.</t>
  </si>
  <si>
    <t>פייסבוק</t>
  </si>
  <si>
    <t>הסתה לרצח עם, דה־הומניזציה (שלילת אנושיות), הסתה לאלימות, תמונות חיילים ישראלים, אזרחים, ענישה קולקטיבית, רשתות חברתיות, דעה, טיהור אתני, רעב כבד</t>
  </si>
  <si>
    <t>חיילי צה"ל בוזזים ומשתינים בבית בחאן יונס</t>
  </si>
  <si>
    <t>תמונה של חייל צה"ל שעונד שלושה שעונים וטבעת שבזז מבית בחאן יונס, תמונה של חייל שלובש מעיל שהוא כנראה מצא, ווידאו של חייל שמצלם את עצמו משתין על רצפת בית.</t>
  </si>
  <si>
    <t>תמונה, וידאו</t>
  </si>
  <si>
    <t>ביזה, השפלה, סרטי חיילים ישראלים, תמונות חיילים ישראלים, לעג, ונדליזם, דה־הומניזציה (שלילת אנושיות)</t>
  </si>
  <si>
    <t>תמונה של פלסטיני על ברכיו עם שלושה חיילים מכוונים אליו רובים</t>
  </si>
  <si>
    <t>תמונה של פלסטיני על ברכיו, ידיו קשורות ועיניו מכוסות, בעוד שלושה חיילי צה"ל מחזיקים רובים ומביטים למצלמה, שניים מהם מכוונים את הרובה לעבר הפלסטיני, ואחד מהם מחייך.</t>
  </si>
  <si>
    <t>התעללות, חטיפה, השפלה, תמונות חיילים ישראלים, דה־הומניזציה (שלילת אנושיות), עצורים</t>
  </si>
  <si>
    <t>חייל צה"ל בבולדוזר צבאי הורס בית</t>
  </si>
  <si>
    <t>וידאו של חייל צה"ל מפעיל ציוד מכני כבד שממוטט בית. קולות של חיילים מעודדים נשמעים ברקע.</t>
  </si>
  <si>
    <t>דומיסייד (השמדת מרחבי מחיה), סרטי חיילים ישראלים, דה־הומניזציה (שלילת אנושיות), הריסה, הרס</t>
  </si>
  <si>
    <t>מפקד בכיר בצה"ל קורא לנתק חשמל, מים, סיוע הומניטרי לעזה תוך מניעת גישה לתקשורת</t>
  </si>
  <si>
    <t>תמונה של מפקד בכיר בצה"ל ליד הפוסט שלו בפייסבוק שבו הוא קורא לממשלה להיות יותר אגרסיבית, לנתק חשמל, מים, תקשורת וסיוע הומניטרי לרצועת עזה.</t>
  </si>
  <si>
    <t>הסתה לרצח עם, הסתה לאלימות, סיוע הומניטרי, דעה, תמונות חיילים ישראלים, רשתות חברתיות, ענישה קולקטיבית, מדיה, רעב כבד, אזרחים</t>
  </si>
  <si>
    <t>לפי מפקד בכיר בצה"ל, ההתקפה על עיירה בעזה בוצעה כנקמה.</t>
  </si>
  <si>
    <t>מפקד בכיר בצה"ל כותב שהמבצע עוז וניר באזור חאן יונס, שבו הושמדה העיירה חירבת ח'וזעא, בוצע כנקמה. הוא טוען שזו העיירה שממנה יצאה המתקפה על קיבוץ ניר עוז. התמונה מראה הרס בעיירה חירבת ח'וזעא, לצד התמונה שלו ופוסט בפייסבוק.</t>
  </si>
  <si>
    <t>חאן יונס, רצועת עזה, ח'וזעה</t>
  </si>
  <si>
    <t>ענישה קולקטיבית, הסתה לרצח עם, הסתה לאלימות, הרס, אורביסייד (השמדת ערים), תמונות חיילים ישראלים, עדויות חיילים ישראלים, דעה, רשתות חברתיות</t>
  </si>
  <si>
    <t>חייל צה"ל מנפה קמח שנכנס לעזה כסיוע הומניטרי</t>
  </si>
  <si>
    <t>וידאו של חייל צה"ל מנפה קמח תוך כדי שהוא מסתכל למצלמה ומודה לאו"ם, לאונר"א ולארגוני סיוע הומניטרי על הסיוע ההומניטרי.</t>
  </si>
  <si>
    <t>סרטי חיילים ישראלים, השפלה, סיוע הומניטרי, רשתות חברתיות, התעללות, לעג, דה־הומניזציה (שלילת אנושיות)</t>
  </si>
  <si>
    <t>צה״ל, האומות המאוחדות, אונר״א</t>
  </si>
  <si>
    <t>חייל צה"ל מציג בית של פלסטינים כמו בתוכנית טלוויזיה</t>
  </si>
  <si>
    <t>וידאו של חיילי צה"ל שמתרברב בביתו כביכול, שהוא ביתם של פלסטינים שנעקרו מרפיח.</t>
  </si>
  <si>
    <t>סרטי חיילים ישראלים, השפלה, רכוש מוחרם, עקירה בכפייה, לעג, מים, דה־הומניזציה (שלילת אנושיות), רשתות חברתיות</t>
  </si>
  <si>
    <t>עלון פרסום לכנס גדול שמעודד כיבוש והתנחלות ברצועת עזה</t>
  </si>
  <si>
    <t>העלון כולל לוגואים של יותר מ-30 ארגונים ימניים ודתיים.</t>
  </si>
  <si>
    <t>החברה הישראלית, התנחלויות יהודיות בעזה, דעת קהל, טיהור אתני</t>
  </si>
  <si>
    <t>שר המורשת הישראלי: "מי ששחט אותנו, ניקח את אדמתו. נקודה!"</t>
  </si>
  <si>
    <t>דיון בין השר אמיחי אליהו לכתבת CNN קלריסה וורד. השר טוען שאין דבר לא מוסרי בלקיחת האדמות של מישהו שבא לשחוט ולאנוס "את הילדים שלנו".</t>
  </si>
  <si>
    <t>עמיחי אליהו (@Eliyahu_a)</t>
  </si>
  <si>
    <t>מדיה, סיפוח, התנחלויות יהודיות בעזה, עיתונאים</t>
  </si>
  <si>
    <t>עמיחי אליהו</t>
  </si>
  <si>
    <t>צה"ל בבית החולים ע"ש הידידות הטורקית-פלסטינית (Turkish-Plaestinian Friendship Hospital)</t>
  </si>
  <si>
    <t>הווידאו מראה חייל צה"ל מספר סיפור מול מקום שלפי הפוסט הוא חדר המיון ובנק הדם של בית החולים ע"ש הידידות הטורקית-פלסטינית. רכבי צה"ל נראים ברקע. הפוסט מסביר כיצד השימוש בבית החולים למטרות צבאיות מפר את החוק ההומניטרי ופרוטוקולים אחרים.</t>
  </si>
  <si>
    <t>בית החולים ע"ש הידידות הטורקית-פלסטינית</t>
  </si>
  <si>
    <t>בית חולים, משפט הומניטרי, רכוש מוחרם, בריאות הציבור, סרטי חיילים ישראלים, רשתות חברתיות, טיהור אתני</t>
  </si>
  <si>
    <t>הרצוג גינה את צווי המעצר של בית הדין הפלילי הבינלאומי נגד נתניהו וגלנט</t>
  </si>
  <si>
    <t>בעקבות הוצאת צווי המעצר של בית הדין הפלילי הבינלאומי נגד ראש ממשלת ישראל בנימין נתניהו ושר הביטחון יואב גלנט, פרסם נשיא ישראל יצחק הרצוג הודעה המגנה את החלטת בית הדין; הוא טוען שהיא מתעלמת מהתקפות חמאס, חטיפת בני ערובה ושימוש במגנים אנושיים, תוך שהיא מתעלמת מזכותה של ישראל להגנה עצמית וממאמציה לפעול לפי החוק הבינלאומי. הוא גם מאשים את בית הדין בכך שהוא תומך בטרור, פוגע בצדק ומאפשר את פשעי חמאס.</t>
  </si>
  <si>
    <t>יצחק הרצוג (@Isaac_Herzog)</t>
  </si>
  <si>
    <t>בית הדין הפלילי הבינלאומי</t>
  </si>
  <si>
    <t>בנימין נתניהו, יואב גלנט, יצחק הרצוג</t>
  </si>
  <si>
    <t>הודעה רשמית ממשרד ראש ממשלת ישראל על צווי מעצר של בית הדין הפלילי הבינלאומי</t>
  </si>
  <si>
    <t>ראש ממשלת ישראל בנימין נתניהו גינה את החלטת בית הדין הפלילי הבינלאומי להוציא צווי מעצר נגדו ונגד שר הביטחון יואב גלנט, ותיאר זאת כ'משפט דרייפוס מודרני' והגדיר את בית המשפט כ'גוף פוליטי מוטה ומפלה.'</t>
  </si>
  <si>
    <t>משרד ראש ממשלת ישראל (@IsraeliPM)</t>
  </si>
  <si>
    <t>פשעי מלחמה, הצהרה רשמית, פשעים נגד האנושות</t>
  </si>
  <si>
    <t>דובר יוניצ"ף מגנה את "הגיהנום על פני האדמה" בעזה</t>
  </si>
  <si>
    <t>דובר יוניצ"ף, ג'יימס אלדר, אומר כי עזה הפכה ל"התגשמות הגיהנום על פני כדור הארץ עבור מיליון הילדים שבה", כאשר התנאים מחמירים מיום ליום. כדוגמה, הוא משתף את הסיפור של קמר, בת 7, שסבלה מפציעה ברגל כתוצאה מהפצצה ישראלית על ג'בליה. בית החולים היחיד שיכול היה לטפל בה, בית יולדות, היה נתון למצור צבאי ישראלי במשך עשרה ימים. בינתיים, הרסיס גרם לזיהום ברגל שלה, והרופאים נאלצו לקטוע אותה. זמן קצר לאחר מכן, היא נאלצה לברוח מג'בליה – ברגל – עם אמה ואחותה, בדרכן דרומה. עכשיו, הן חיות באוהל קרוע מוקף במים עומדים.</t>
  </si>
  <si>
    <t>אומות המאוחדות ג'נבה (@UNGeneva)</t>
  </si>
  <si>
    <t>משבר הומניטרי, אזרחים, ילדים, הצהרה רשמית, בריאות הציבור, עקירה בכפייה, קטיעת גפיים, פציעה</t>
  </si>
  <si>
    <t>האומות המאוחדות, יוניסף</t>
  </si>
  <si>
    <t>ג'יימס אלדר</t>
  </si>
  <si>
    <t>יאיר גולן מגנה את החלטת בית הדין הפלילי הבינלאומי להוציא צווי מעצר נגד נתניהו וגלנט</t>
  </si>
  <si>
    <t>יאיר גולן מגנה את ההחלטה של בית הדין הפלילי הבינלאומי בהאג להוציא צווי מעצר נגד הבכירים הישראלים בנימין נתניהו ויואב גלנט, וטוען ש"ישראל הייתה ותמיד תהיה בעלת הזכות להגן על עצמה"</t>
  </si>
  <si>
    <t>יאיר גולן (@YairGolan1)</t>
  </si>
  <si>
    <t>פשעי מלחמה, פשעים נגד האנושות</t>
  </si>
  <si>
    <t>יואב גלנט, בנימין נתניהו, יאיר גולן</t>
  </si>
  <si>
    <t>מזכ"ל האו"ם אנטוניו גוטרש מגנה את מלחמת ישראל על עזה</t>
  </si>
  <si>
    <t>מזכ"ל האו"ם אנטוניו גוטרש, שעליו הוטל לאחרונה איסור כניסה לישראל, אומר שהמלחמה של ישראל נגד עזה היא "הקמפיין הצבאי ההרסני והקטלני ביותר בשנותיי כמזכ"ל. הסבל שעובר העם הפלסטיני בעזה הוא מעבר לכל דמיון."</t>
  </si>
  <si>
    <t>אזרחים, ענישה קולקטיבית, אלימות, הרס</t>
  </si>
  <si>
    <t>אנטוניו גוטרש</t>
  </si>
  <si>
    <t>תחנות התפלה ושאיבת המים בצפון עזה מפסיקות לפעול בשל חוסר דלק</t>
  </si>
  <si>
    <t>תחנות ההתפלה ושאיבת המים בצפון עזה מפסיקות לפעול בשל חוסר דלק. לא נכנס סיוע לאזור במשך 3 שבועות.</t>
  </si>
  <si>
    <t>מצור, סיוע הומניטרי, מים, תשתיות, משבר הומניטרי, רשתות חברתיות, דלק</t>
  </si>
  <si>
    <t>משפחה בת 11 נפשות נהרגה בהתקפה על בית הספר שחביר</t>
  </si>
  <si>
    <t>משפחה בת 11 נפשות נהרגה בתקיפה על בית הספר שחביר, שקלט אנשים שנעקרו מבתיהם - הפוסט כולל את שמות הקורבנות, בני משפחתו של העיתונאי חוסאם שבאת.</t>
  </si>
  <si>
    <t>אזרחים, ילדים, הפצצות, בתי ספר, משפחה</t>
  </si>
  <si>
    <t>סוכנויות האו"ם אומרות שיותר ממיליון מתושבי עזה עלולים לחוות את רמת הרעב הגבוהה ביותר עד אמצע יולי.</t>
  </si>
  <si>
    <t>סוכנויות האומות המאוחדות WFP ו-FAO (תוכנית המזון העולמית וארגון המזון והחקלאות) מזהירות כי יותר ממיליון פלסטינים בעזה עשויים להתמודד עם רמת רעב הגבוהה ביותר עד אמצע יולי 2024 בשל העימותים המתמשכים והמגבלות על הגישה לסיוע ההומניטרי. קבוצת מומחים נפרדת ציינה כי ייתכן שרעב המוני כבר החל בצפון עזה.</t>
  </si>
  <si>
    <t>סמי מגדי</t>
  </si>
  <si>
    <t>רעב כבד, מזון, סיוע הומניטרי</t>
  </si>
  <si>
    <t>תכנית המזון העולמית, FAO, האומות המאוחדות</t>
  </si>
  <si>
    <t>צפון רצועת עזה, רצועת עזה</t>
  </si>
  <si>
    <t>הרעבה משמשת כאמצעי מלחמה בעזה, אומר בורל</t>
  </si>
  <si>
    <t>וידאו של ג'וזפ בורל, הנציג העליון של האיחוד האירופי לענייני חוץ ומדיניות ביטחונית, כאשר הוא עדכן את מועצת הביטחון של האומות המאוחדות על השימוש בהרעבה כנשק בעזה.</t>
  </si>
  <si>
    <t>AP חדשות</t>
  </si>
  <si>
    <t>הצהרה רשמית</t>
  </si>
  <si>
    <t>רעב כבד, משבר הומניטרי, מזון</t>
  </si>
  <si>
    <t>מועצת הביטחון של האו״ם</t>
  </si>
  <si>
    <t>ז'וזף בורל</t>
  </si>
  <si>
    <t>צעירים רוקדים ושרים לצליל "שיישרף לכם הכפר" במועדון ישראלי</t>
  </si>
  <si>
    <t>וידאו שמראה שני תקליטנים מאחור פונים לקהל של צעירים רוקדים במועדון הפופולרי האומן 17 בתל אביב. הדי.ג'יי מנגן את המנגינה של השיר "שיישרף לכם הכפר" והקהל שר ורוקד, בעוד האורות משנים צבעים. הדי.ג'יי גם קופץ לשיר. הכיתוב אומר "שיישרף לכם הכפרררר". לפי הפוסט, הדי.ג'יי פרסם את הקליפ הזה בטיקטוק, עם הכותרת: "ניסיתי משהו מטורף במסיבה, אתם חייבים לשמוע".</t>
  </si>
  <si>
    <t>האומן 17, תל-אביב</t>
  </si>
  <si>
    <t>החברה הישראלית, השפלה, גזענות, הסתה לאלימות, דה־הומניזציה (שלילת אנושיות)</t>
  </si>
  <si>
    <t>ציוץ של יהודה שלסינגר המביע שמחה על פלסטינים מתים בעזה</t>
  </si>
  <si>
    <t>יְהוּדָה שְׁלֵסִינְגֶר פִּרסֵם ציוץ: "הריח הוא בלתי נתפס. ריקבון, מוות. זבובים. "ריח של מלחמה" קורא לזה מג"ד 202. הנסיבות דווקא שמחות, הטרוריסטים קבורים תחת ההריסות". גם וידאוֹ מערוץ 12 מאפריל 2024, המראה פאנל טלוויזיה שבו יהודה שלסינגר מביע כעס על תושבי עזה שנהנים על החוף: "מגיע לאנשים האלה שם (בעזה) מוות. מוות קשה, מוות בייסורים. ובמקום זה אנחנו רואים אותם מבלים בים, בסתלבט שלהם ובכיף שלהם... אין שמה חפים מפשע ברצועת עזה... העובדה שהם נהנים בים, במקום לרעוב, במקום להיות מטורטרים, במקום לעבור ייסורים קשים, ובמקום להתחבא מהפגזות... אנחנו צריכים לראות שם הרבה יותר נקמה, הרבה יותר נהרות של דם של עזתים". ברקע וידאו של אנשים על החוף בעזה, ווידאו של חטיפת ירדן ביבס.</t>
  </si>
  <si>
    <t>תמונה, וידאו, טקסט</t>
  </si>
  <si>
    <t>החברה הישראלית, מדיה, הסתה לרצח עם, הסתה לאלימות, אזרחים, רעב כבד, דה־הומניזציה (שלילת אנושיות)</t>
  </si>
  <si>
    <t>יהודה שלזינגר</t>
  </si>
  <si>
    <t>השר הישראלי עמיחי אליהו: "הם לא בני אדם, הם חיות אדם... לא לכל הסכם שישאיר את הנאצים האלה בשלטון"</t>
  </si>
  <si>
    <t>ראיון ברדיו קול ברמה עם שר המורשת הישראלי, אמיחי אליהו: "...הדרך שאנחנו צריכים לסיים את המלחמה הזאת היא כשהם על ארבע... לשבור את רוחם (של חמאס)... ללהכות בהם מכת חרב להרג ואובדן. הם לא בני אדם, הם חיות אדם... הייתי מציע לצבא לבנות שם מחנות גדולים, ששם אנחנו מחלקים לאנשים את האוכל... בואו נרים דגלים, דגלים בשם השם, דגלים של ניצחון. דגלים מוסריים. המוסריות היהודית יש לה הרבה מה לתת למוסר העולמי... אני חושב שאנחנו לא רוצים דברים רעים, אנחנו רוצים דברים טובים... לא לכל הסכם שישאיר את הנאצים האלה בעמדת כוח." כמו כן, הוא אמר שדיבור על עסקת חטופים אינו ברוח הניצחון; כתוביות באנגלית.</t>
  </si>
  <si>
    <t>קול ברמה</t>
  </si>
  <si>
    <t>אודיו, טקסט</t>
  </si>
  <si>
    <t>הסתה לרצח עם, עסקת בני ערובה, דה־הומניזציה (שלילת אנושיות), החברה הישראלית, מדיה, סיוע הומניטרי, ראיון, אזרחים, ענישה קולקטיבית</t>
  </si>
  <si>
    <t>חייל צה"ל חושף את הישבן שלו בעזה (שרשור)</t>
  </si>
  <si>
    <t>שתי תמונות, אחת מראה את הגב של חייל צה"ל עם מכנסיים מופשלות, חושף את ישבנו, פונה להריסות ועשן מהפיצוץ. השנייה מראה חייל צה"ל שוכב עם הפנים למטה על גדר גג, ידיים לצדדים כמו מטוס. מתחתיו מפוזרים הרבה כדורים. ברקע בניינים, חלקם הרוסים. על הגדר כתובת, השפה והמשמעות לא ברורות. השרשור כולל מקרים נוספים של דה-הומניזציה של פלסטינים, כולל שוד והצתת בניינים.</t>
  </si>
  <si>
    <t>השפלה, דומיסייד (השמדת מרחבי מחיה), הפצצות, תמונות חיילים ישראלים, סרטי חיילים ישראלים, דה־הומניזציה (שלילת אנושיות), ביזה, הרס, הצתת בתים, צעצועים, עצורים, נשים, בגדי נשים (כולל הלבשה תחתונה)</t>
  </si>
  <si>
    <t>כותרת ה-NYT מפחיתה בחומרת "טבח הקמח" של רעבים בעזה</t>
  </si>
  <si>
    <t>כותרת הניו יורק טיימס המכסה את האירוע בעזה שזכה לכינוי 'טבח הקמח', בו כוחות ישראליים ירו על אזרחים שהתקרבו למשאיות סיוע, מתארת את המקרה כ'סצנה כאוטית בעזה' מבלי להזכיר כי ההרוגים היו פלסטינים רעבים שניסו לגשת למזון. הציוץ מציע תיקונים לכותרת כדי לשקף את המציאות.</t>
  </si>
  <si>
    <t>מזון, סיוע הומניטרי, מדיה, רעב כבד, אזרחים, הטיה תקשורתית, טבח, טבח הקמח</t>
  </si>
  <si>
    <t>כותרת ה-NYT מטשטשת את האשמה של ישראל בטבח הקמח</t>
  </si>
  <si>
    <t>כותרת של ניו יורק טיימס על "טבח הקמח" מטשטשת את תפקיד ישראל בהרעבה ורצח פלסטינים.</t>
  </si>
  <si>
    <t>מדיה, רעב כבד, מזון, הטיה תקשורתית, סיוע הומניטרי, טבח, טבח הקמח</t>
  </si>
  <si>
    <t>חייל צה"ל נותן פקודת ירי לטנק בעוד הוא וחיילים אחרים מעודדים</t>
  </si>
  <si>
    <t>חייל בטלפון בתוך מה שנראה כמו דחפור צבאי נותן פקודה לטנק בחוץ לירות במה שנראה כמו רחוב מגורים. החייל מחייך וחיילים אחרים מעודדים ומקללים. הכיתוב אומר "נקודת מבט: אתם ילדים בני 21 במלחמה".</t>
  </si>
  <si>
    <t>עברית, ערבית, אנגלית</t>
  </si>
  <si>
    <t>מבצע קרקעי, השפלה, סרטי חיילים ישראלים, ירי חסר הבחנה, טנקים, דה־הומניזציה (שלילת אנושיות)</t>
  </si>
  <si>
    <t>צלפי צה"ל יורים באנשים והרס של בלוק בעזה</t>
  </si>
  <si>
    <t>קטעים מתוך סרטון מאפריל 2024 שמראה חיילי צה"ל יורים והורגים אנשים ופיצוץ של בלוק שלם במרכז עזה. כמו כן, דחפור הורס בניין. מוזיקה דרמטית ברקע.</t>
  </si>
  <si>
    <t>תל אל-הווא</t>
  </si>
  <si>
    <t>הפצצות, מבצע קרקעי, סרטי חיילים ישראלים, הרס, דה־הומניזציה (שלילת אנושיות), הריסה, אזרחים, בני ערובה, צלפים</t>
  </si>
  <si>
    <t>חיילי צה"ל פושטים על בתים, יורים ומפוצצים בניינים מגורים</t>
  </si>
  <si>
    <t>קליפ וידאו שמראה קבוצות של חיילי צה"ל בציוד קרב מלא נכנסים לבתים עם רובים מכוונים לירות ויורים כמה פעמים. הבתים נראים ריקים. החיילים גם מפוצצים בניינים, שורפים בניינים ושוברים חור בקיר. מוזיקה ברקע. הטקסט מדבר על איך להרוג מישהו גורם לאדם ללמוד משהו על עצמו.</t>
  </si>
  <si>
    <t>מבצע קרקעי, הפצצות, ירי חסר הבחנה, סרטי חיילים ישראלים, הרס, ונדליזם, דה־הומניזציה (שלילת אנושיות)</t>
  </si>
  <si>
    <t>משרד החוץ של ישראל קונה פרסומת ברשתות החברתיות: "אין אזרחים בעזה"</t>
  </si>
  <si>
    <t>מודעה ממומנת ב-X של משרד החוץ הישראלי טוענת שאין אזרחים בעזה</t>
  </si>
  <si>
    <t>מקס בלומנטל (@MaxBlumenthal)</t>
  </si>
  <si>
    <t>אזרחים, דה־הומניזציה (שלילת אנושיות), תעמולה, גזענות, רשתות חברתיות</t>
  </si>
  <si>
    <t>משרד החוץ הישראלי</t>
  </si>
  <si>
    <t>חיילי צה"ל במספרה בעזה, מתבדחים ומתחזים ללקוחות במספרה</t>
  </si>
  <si>
    <t>שני חיילי צה"ל מצולמים בסקיצה שקטה לטיק טוק שבה הם מעמידים פנים שהם ספר ולקוח במספרה בעזה, עם מוזיקה ברקע. הסרטון מרמז על משחק תפקידים.</t>
  </si>
  <si>
    <t>השפלה, רכוש מוחרם, סרטי חיילים ישראלים, דה־הומניזציה (שלילת אנושיות)</t>
  </si>
  <si>
    <t>חייל ישראלי מצלם כלב אוכל את גופתו של פלסטיני, ואז משבח את הנוף</t>
  </si>
  <si>
    <t>כלב אוכל משהו בשדה פתוח לא רחוק מהחוף. הקול ברקע מרמז שזהו גופתו של מחבל פלסטיני, ואז ממשיך להראות את השקיעה. החייל הישראלי ברקע אומר: "הוא קרע את הבחור לגזרים... המחבל הלך - הלך לגמרי. אבל איזה נוף יפה. איזו שקיעה." הסרטון פורסם בקבוצת הצ'אט בטלגרם "ללא גבולות".</t>
  </si>
  <si>
    <t>קבורה, דה־הומניזציה (שלילת אנושיות), השפלה, סרטי חיילים ישראלים, גופות, בעלי חיים</t>
  </si>
  <si>
    <t>חייל על סוס נדנדה בבית בעזה</t>
  </si>
  <si>
    <t>חיילי צה"ל יושבים בחדר בתוך בית בעזה. אחד מהם יושב ומנענע על סוסון צעצוע קטן. אחר מוציא את הלשון למצלמה. ברקע מתנגן שיר בעברית שמזכיר סוס.</t>
  </si>
  <si>
    <t>השפלה, רכוש מוחרם, סרטי חיילים ישראלים, דה־הומניזציה (שלילת אנושיות), צעצועים</t>
  </si>
  <si>
    <t>חיילי צה"ל הפכו מסגד למפקדה צבאית</t>
  </si>
  <si>
    <t>חיילי צה"ל צולמו מחלקים מזון בתוך מסגד, מודים למאפיית אנג'ל על המזון שתרמו. יש גרפיטי בעברית על קירות המסגד שנראה שהושחת. המצלמה מראה הרבה רכבים משוריינים חונים מחוץ למסגד ובנק שהקריין מסביר בבדיחות הדעת שסגור עכשיו לשיפוצים. היחידה נקראת יחידת הסיור "מכת אש".</t>
  </si>
  <si>
    <t>מעבר רפיח</t>
  </si>
  <si>
    <t>רכוש מוחרם, השפלה, ונדליזם, הרס אתרים תרבותיים, מסגדים, סרטי חיילים ישראלים, לעג, רשתות חברתיות</t>
  </si>
  <si>
    <t>גרפיטי "נכבה 2023" על ידי חיילי צה"ל בעזה</t>
  </si>
  <si>
    <t>שני חיילי צה"ל מצולמים במדי קרב מלאים, מחייכים, מול קיר עם הרבה חורי כדורים וגרפיטי שאומר "נכבה 2023" בכתב ירוק באנגלית. אחד החיילים מחזיק פחית של ספריי ירוק.</t>
  </si>
  <si>
    <t>יYousef Munayyer (@YousefMunayyer)</t>
  </si>
  <si>
    <t>ונדליזם, השפלה, הסתה לרצח עם, הנכבה, תמונות חיילים ישראלים</t>
  </si>
  <si>
    <t>חיילי צה"ל משתמשים ברכב כבד כדי להפוך משאית על צידה</t>
  </si>
  <si>
    <t>חייל צה"ל מפעיל רכב צבאי שמניע משאית דרך מבנה והופך את המשאית. החייל אומר: "אני אדאג למשאיות". חייל אחר ברקע מעודד אותו.</t>
  </si>
  <si>
    <t>ונדליזם, סרטי חיילים ישראלים, הרס, לעג, תשתיות</t>
  </si>
  <si>
    <t>חיילי צה"ל משחקים תפקידים במסעדה פלסטינית הרוסה</t>
  </si>
  <si>
    <t>מספר חיילי צה"ל בתוך מסעדה הרוסה מעמיד פנים שהוא מזמין ומגיש אוכל. הם צוחקים על כך שהם נשארים במקום כאילו היה זה מלון.</t>
  </si>
  <si>
    <t>רכוש מוחרם, השפלה, סרטי חיילים ישראלים, אזרחים, דה־הומניזציה (שלילת אנושיות), מזון, חטיפה, לעג, ונדליזם, רשתות חברתיות, אחריותיות / מתן דין וחשבון</t>
  </si>
  <si>
    <t>חייל צה"ל רוקן מחסנית על השכונה מתחתיו ומפרסם את זה באינטרנט</t>
  </si>
  <si>
    <t>חייל עומד ליד חלון בקומה גבוהה עם מקלע מכוון החוצה. הוא טוען את הנשק ומרוקן את התחמושת שלו על השכונה למטה.</t>
  </si>
  <si>
    <t>אלימות, מבצע קרקעי, ירי חסר הבחנה, סרטי חיילים ישראלים, דה־הומניזציה (שלילת אנושיות), רשתות חברתיות</t>
  </si>
  <si>
    <t>עיתונאית ערוץ 14 שיתפה מחדש ציוץ של חייל מילואים בצה"ל שחוגג שרפה של בית ברפיח</t>
  </si>
  <si>
    <t>עיתונאית ערוץ 14, נווה דרומי, שיתפה מחדש פוסט של חייל מילואים בצה"ל, מתנחל בגדה המערבית וקב"ט, אביחי שורשן, שפרסם בית בוער ברפיח לכבוד חגיגות ל"ג בעומר. לאחר מכן מחקה דרומי את הציוץ שלה.</t>
  </si>
  <si>
    <t>idan לנדאו (@idanlandau)</t>
  </si>
  <si>
    <t>דומיסייד (השמדת מרחבי מחיה), הצתה, דה־הומניזציה (שלילת אנושיות), מדיה, לעג, ירי</t>
  </si>
  <si>
    <t>שטיחים, קוסמטיקה, אופנועים: חיילי צה"ל בוזזים בתים בעזה בהמוניהם</t>
  </si>
  <si>
    <t>תמונה של שלושה חיילי צה"ל מחייכים ולמצלמה מול בית בעזה, כל אחד מהם יושב על אופני ילדים ומחזיק רובה. התמונה מלווה כתבה מ-972 Magazine בנושא התופעה הנרחבת של ביזת רכוש פלסטיני על ידי חיילי צה"ל בעזה.</t>
  </si>
  <si>
    <t>השפלה, אזרחים, ילדים, תמונות חיילים ישראלים, רשתות חברתיות, ונדליזם, ביזה, דה־הומניזציה (שלילת אנושיות), החברה הישראלית, דיווח עיתונאי, לעג</t>
  </si>
  <si>
    <t>חיילי צה"ל בחאן יונס מציגים הלבשה תחתונה השייכת לאישה עזתית שנהרגה או נעקרה מביתה</t>
  </si>
  <si>
    <t>שני חיילי צה"ל בציוד קרב מלא ברחוב בחאן יונס. אחד מהם מחייך בזמן שהוא לובש חזייה מעל המדים שלו. השני נוגע בחזייה בצורה מינית ומוציא את הלשון שלו.</t>
  </si>
  <si>
    <t>ביזה, השפלה, נשים, תמונות חיילים ישראלים, דה־הומניזציה (שלילת אנושיות), עקירה בכפייה, רשתות חברתיות, לעג, בגדי נשים (כולל הלבשה תחתונה)</t>
  </si>
  <si>
    <t>חיילי צה"ל תולים מודעות פוליטיות ומציירים גרפיטי בחאן יונס</t>
  </si>
  <si>
    <t>ארבע תמונות מח'אן יונס מראות חיילי צה"ל מציגים פרסומות ישראליות וכתובות גרפיטי על בניינים מקומיים, כולל שלט בחירות לראש העיר שדרות אלון דוידי, כתובת גרפיטי ובה הבטחה לחזור להתנחלות נווה דקלים שפונתה, פרסומת לרשת המאפים הישראלית רולדין, והודעת 'בקרוב' על חומוס אליהו.</t>
  </si>
  <si>
    <t>רכוש מוחרם, השפלה, החברה הישראלית, תמונות חיילים ישראלים, רשתות חברתיות, ונדליזם, התנחלויות יהודיות בעזה, לעג</t>
  </si>
  <si>
    <t>חייל צה"ל מפרסם תמונה של בניין הרוס בעזה כדי לקדם את חברת הנדל"ן שלו בפרופיל באפליקציית היכרויות</t>
  </si>
  <si>
    <t>בפוסט באפליקציית היכרויות, שמראה חייל צה"ל עומד עם רובה שלו בין ההריסות ליד בית הרוס חלקית. על הבית יש שלט מקצועי "למכירה" המפרסם את חברת הנדל"ן של החייל.</t>
  </si>
  <si>
    <t>השפלה, ונדליזם, תמונות חיילים ישראלים, רשתות חברתיות, דה־הומניזציה (שלילת אנושיות), לעג</t>
  </si>
  <si>
    <t>חייל צה"ל מציג שכונה הרוסה בעזה כסוכן נדל"ן</t>
  </si>
  <si>
    <t>וידאו שפורסם בטיקטוק של חייל צה"ל שמתחזה לסוכן נדל"ן בשכונה חדשה שתיבנה בוואדי זיתון, בעיר עזה. בעוד החייל משחק את תפקיד סוכן הנדל"ן, המצלמה זזה כדי להראות את הבניינים ההרוסים מסביב. יריות והפגזות נשמעות ברקע כל הזמן. כאשר המצלמה מראה אפוף עשן, החייל אומר: "ברביקיו קטן".</t>
  </si>
  <si>
    <t>טיק טוק</t>
  </si>
  <si>
    <t>וואדי זייתון, עזה</t>
  </si>
  <si>
    <t>סרטי חיילים ישראלים, השפלה, החברה הישראלית, רשתות חברתיות, לעג, דה־הומניזציה (שלילת אנושיות), צעצועים</t>
  </si>
  <si>
    <t>חייל צה"ל מצטלם בשמלה פלסטינית מסורתית ומחזיק בשני רובים</t>
  </si>
  <si>
    <t>תמונה של חייל צה"ל לובש שמלה פלסטינית מסורתית, מחזיק רובים בתוך בית מוקף בכלי נשק נוספים.</t>
  </si>
  <si>
    <t>השפלה, רכוש מוחרם, נשים, תמונות חיילים ישראלים, בגדי נשים (כולל הלבשה תחתונה)</t>
  </si>
  <si>
    <t>תלמידי בית ספר שרים "שיישרף לכם הכפר" לאחר שמורה שהשתתפה במצעד השיבה הושעתה</t>
  </si>
  <si>
    <t>תלמידי תיכון ישראלים בבית ספרם מפגינים נגד השתתפותה של המורה שלהם, סברין מסראווה, במצעד השיבה בשיר "שיישרף לכם הכפר" וריקוד.</t>
  </si>
  <si>
    <t>גני תקווה</t>
  </si>
  <si>
    <t>החברה הישראלית, פלסטינים אזרחי ישראל, ילדים, גזענות, הסתה לאלימות, מערכת החינוך בישראל</t>
  </si>
  <si>
    <t>מגישי רדיו רוקדים לשיר מאולתר שמזלזל באבל על 50 פלסטינים שנהרגו במהלך מבצע חילוץ בני ערובה</t>
  </si>
  <si>
    <t>מגיש הרדיו שי גולדשטין רוקד לשיר שמזלזל בפוסט של ירדן סקופ שבו היא מביעה עצב על 50 פלסטינים [במציאות: הרבה יותר] שנהרגו במבצע חילוץ שבו שוחררו ארבעה חטופים ישראלים. המנחה השני, ארז תדמור, גם נהנה מהשיר.</t>
  </si>
  <si>
    <t>גלעי ישראל (@IsraelGaley)</t>
  </si>
  <si>
    <t>גלי ישראל</t>
  </si>
  <si>
    <t>דה־הומניזציה (שלילת אנושיות), מדיה, החברה הישראלית, השפלה, אזרחים, מבצע חילוץ בני ערובה, בני ערובה</t>
  </si>
  <si>
    <t>חיילי צה"ל לבושים בתחתוני נשים פלסטיניות</t>
  </si>
  <si>
    <t>התמונה מראה שני חיילי צה"ל לובשים תחתונים שנלקחו מנשים פלסטיניות ברצועת עזה.</t>
  </si>
  <si>
    <t>עקירה בכפייה, רשתות חברתיות, נשים, תמונות חיילים ישראלים, אזרחים, דה־הומניזציה (שלילת אנושיות), בגדי נשים (כולל הלבשה תחתונה)</t>
  </si>
  <si>
    <t>מפקד צה"ל קורא לרצח חסר הבחנה של פלסטינים בעזה, בגדה המערבית ובלבנון</t>
  </si>
  <si>
    <t>שאולי סנקר, מפקד גדוד 121 בצה"ל, טוען שכל הפלסטינים, 'מגדולם ועד קטנם, הם אומה מרושעת של אנסים, רוצחי ילדים וחוטפי זקנים וילדים.' הוא קורא להשתמש בירי ארטילרי לא מונחה 'על כל עיר בלבנון, עזה ובגדה המערבית שיש בה פעילות טרור,' להפסיק מיד את הסיוע ההומניטרי ואת אספקת הדלק, ומעודד את תושבי עזה 'להילחם בחמאס או להגר.'</t>
  </si>
  <si>
    <t>הפצצות, ילדים, אזרחים, ענישה קולקטיבית, פשעים נגד האנושות, הסתה לרצח עם, רעב כבד, סיוע הומניטרי, הריסה, רשתות חברתיות</t>
  </si>
  <si>
    <t>רצועת עזה, הגדה המערבית, לבנון</t>
  </si>
  <si>
    <t>בני גנץ, נפתלי בנט</t>
  </si>
  <si>
    <t>קומיקאי ישראלי צוחק על מותם של עזתים מחבילות סיוע שהוטלו מהאוויר</t>
  </si>
  <si>
    <t>אבי נוסבאום לועג לפלסטינים מעזה שנהרגו שחבילות סיוע שנפלו עליהם.</t>
  </si>
  <si>
    <t>החברה הישראלית, מזון, דה־הומניזציה (שלילת אנושיות), סיוע הומניטרי, הצנחת סיוע, לעג</t>
  </si>
  <si>
    <t>מפקד צה"ל נותן נאום מוטיבציה לחייליו לפני הכניסה לרפיח</t>
  </si>
  <si>
    <t>קצין בצה"ל נותן נאום מוטיבציה לחייליו, הכולל הקשר דתי יהודי וקורא להשמדת רפיח.</t>
  </si>
  <si>
    <t>הרס, הסתה לאלימות, דה־הומניזציה (שלילת אנושיות), סרטי חיילים ישראלים, הגבלת חופש הביטוי</t>
  </si>
  <si>
    <t>תמונה של חייל צה"ל במדים באפליקציית היכרויות, יחד עם הלבשה תחתונה נשית</t>
  </si>
  <si>
    <t>חייל צה"ל מעלה תמונה שלו לאפליקציית היכרויות. החייל במדים ונושא נשק, עם אוסף של תחתוני נשים ברקע, שנראים כאילו נבזזו מבתים בעזה.</t>
  </si>
  <si>
    <t>ילדה, מופרעת (@wattheactualfuq)</t>
  </si>
  <si>
    <t>ביזה, רשתות חברתיות, תמונות חיילים ישראלים, בגדי נשים (כולל הלבשה תחתונה)</t>
  </si>
  <si>
    <t>חיילי צה"ל בתוך בית בעזה, מציגים הלבשה תחתונה נשית כגילוי של "נשק"</t>
  </si>
  <si>
    <t>וידאו של חיילי צה"ל בתוך בית בעזה. החיילים מציגים הלבשה תחתונה נשית שמצאו כגילוי של "נשק"</t>
  </si>
  <si>
    <t>ביזה, נשים, רשתות חברתיות, דה־הומניזציה (שלילת אנושיות), סרטי חיילים ישראלים, בגדי נשים (כולל הלבשה תחתונה)</t>
  </si>
  <si>
    <t>חיילי צה"ל מפרסמים סרטון מלגלג במספרה הרוסה</t>
  </si>
  <si>
    <t>וידאו שפורסם על ידי חיילי צה"ל שמלגלג על השמדה של מספרה בשכונת זייתון בעיר עזה.</t>
  </si>
  <si>
    <t>השפלה, הרס, רשתות חברתיות, סרטי חיילים ישראלים, דה־הומניזציה (שלילת אנושיות)</t>
  </si>
  <si>
    <t>חיילי צה"ל לכאורה קשרו את רגליו של פלסטיני שנהרג וגררו את גופתו במחנה הפליטים טול כרם.</t>
  </si>
  <si>
    <t>שני עדי ראייה טוענים שחיילי צה"ל קשרו את רגליו של גבר וגררו את גופתו במחנה הפליטים טול כרם.</t>
  </si>
  <si>
    <t>מחנה פליטים, טול כרם</t>
  </si>
  <si>
    <t>דה־הומניזציה (שלילת אנושיות), השפלה, גופות, אלימות</t>
  </si>
  <si>
    <t>הגדה המערבית, טול כרם</t>
  </si>
  <si>
    <t>חייל צה"ל משתמש בציוד הנדסי כבד כדי להרוס בית כבדיחה.</t>
  </si>
  <si>
    <t>חייל העלה סרטון טיקטוק שבו הוא מראה את עצמו הורס בית באמצעות ציוד הנדסי כבד, מכיוון שהמפקד שלו ביקש ממנו להסיר את כתובות הגרפיטי מקירותיו.</t>
  </si>
  <si>
    <t>וידאו, תמונה</t>
  </si>
  <si>
    <t>רשתות חברתיות, ונדליזם, הרס, סרטי חיילים ישראלים, דה־הומניזציה (שלילת אנושיות), מבנים</t>
  </si>
  <si>
    <t>חייל צה"ל לועג למצב המבולגן וההרס של הבית שבו הוא נמצא</t>
  </si>
  <si>
    <t>וידאו שהועלה לרשתות החברתיות מראה חייל אומר לנשים ישראליות בבית שהן צריכות לראות איך הבית בשוג'עייה נראה בכל פעם שהן מתלוננות על קצת בלגן.</t>
  </si>
  <si>
    <t>עיר עזה, שגא'עיה</t>
  </si>
  <si>
    <t>רשתות חברתיות, השפלה, החברה הישראלית, סרטי חיילים ישראלים, דה־הומניזציה (שלילת אנושיות)</t>
  </si>
  <si>
    <t>צה"ל עוצר תושבי עזה ומגרש אותם מבתיהם</t>
  </si>
  <si>
    <t>פוסט בפייסבוק שמראה תמונה של עזתים שנלקחו כבני ערובה ותמונה נוספת של עזתים המגורשים מבתיהם.</t>
  </si>
  <si>
    <t>רשתות חברתיות, ענישה קולקטיבית, עקירה בכפייה, תמונות חיילים ישראלים, דה־הומניזציה (שלילת אנושיות), עצורים</t>
  </si>
  <si>
    <t>ישראל סייעה לקצין מילואים בצה"ל לברוח מקפריסין נוכח חקירת פשעי מלחמה</t>
  </si>
  <si>
    <t>התקשורת הישראלית מאשרת שהממשלה סייעה לקצין צה"ל לברוח מקפריסין כדי להימנע ממעצר בגין פשעי מלחמה לאחר תלונה של קרן הינד רג'אב.</t>
  </si>
  <si>
    <t>קפריסין</t>
  </si>
  <si>
    <t>פשעי מלחמה, אחריותיות / מתן דין וחשבון</t>
  </si>
  <si>
    <t>ממשלת ישראל, Hind Rajab Foundation, בית הדין הפלילי הבינלאומי, צה״ל</t>
  </si>
  <si>
    <t>שרפת בית הספר חמאד בבית לאהיא (מיקום גיאוגרפי - גיאולוקציה)</t>
  </si>
  <si>
    <t>חיילי גדוד 432 של צה"ל שורפים את בית הספר חמאד בבית לאהיא. תושבי עזה שתפסו שם מחסה, סמוך לבית החולים האינדונזי, נעקרו ממקומם.</t>
  </si>
  <si>
    <t>עקירה בכפייה, מבצע קרקעי, הצתה, הרס, בית חולים, בתי ספר, תמונות חיילים ישראלים, מיקום גיאוגרפי (גיאולוקציה)</t>
  </si>
  <si>
    <t>בית החולים האינדונזי, בית לאהיא, רצועת עזה</t>
  </si>
  <si>
    <t>קבורת קורבנות לא מזוהים מחוץ לבית החולים כמאל עדואן (מיקום גיאוגרפי - גיאולוקציה)</t>
  </si>
  <si>
    <t>קבורת קורבנות לא מזוהים מחוץ לחומות בית החולים כמאל עדואן היא שיא האסון ההומניטרי והרפואי בג'באליה ובית לאהיא.</t>
  </si>
  <si>
    <t>קבורה, בית חולים, בריאות הציבור, משבר הומניטרי, מיקום גיאוגרפי (גיאולוקציה)</t>
  </si>
  <si>
    <t>בית החולים כמאל עדואן, רצועת עזה</t>
  </si>
  <si>
    <t>כוחות ישראליים מפנים בית ספר זמן קצר לאחר שהסיוע הועבר אליו (מיקום גיאוגרפי - גיאולוקציה)</t>
  </si>
  <si>
    <t>צה"ל מפנה שלושה בתי ספר בבית חנון זמן קצר לאחר שסיוע של מזון/מים מגיע לאחד מהם לראשונה לאחר חודש וחצי.</t>
  </si>
  <si>
    <t>בית הספר לבנים, בית חאנון</t>
  </si>
  <si>
    <t>מזון, סיוע הומניטרי, עקירה בכפייה, מים, בתי ספר, רעב כבד, מיקום גיאוגרפי (גיאולוקציה)</t>
  </si>
  <si>
    <t>בית חאנון, רצועת עזה</t>
  </si>
  <si>
    <t>הפצצה ישראלית כבדה על בית לאהיא (מיקום גיאוגרפי - גיאולוקציה)</t>
  </si>
  <si>
    <t>אחת מההתקפות האוויריות הגדולות ביותר על בית לאהיא כחלק מהמבצע בצפון עזה בסוף 2024</t>
  </si>
  <si>
    <t>צפון רצועת עזה, בית לאהיא</t>
  </si>
  <si>
    <t>הפצצות, תקיפה אווירית, הרס, אזרחים, מיקום גיאוגרפי (גיאולוקציה)</t>
  </si>
  <si>
    <t>צפון רצועת עזה, בית לאהיא, רצועת עזה</t>
  </si>
  <si>
    <t>סוכנות המזון של האומות המאוחדות מזהירה כי המסלול הימי החדש של ארצות הברית לסיוע לעזה עלול להיכשל אם התנאים לא ישתפרו.</t>
  </si>
  <si>
    <t>בעקבות מותו של אזרח מיריית רובה בתוך קהל אנשים שלקחו סחורות ממשאיות סיוע, תוכנית המזון של האומות המאוחדות מזהירה שהמסלול הימי החדש של ארצות הברית להעברת סיוע לעזה, המבוסס על מזח שנבנה על ידי ארצות הברית, עשוי להיכשל אלא אם ישראל תשפר את התנאים לפעולות הומניטריות.</t>
  </si>
  <si>
    <t>אלן קניקמאייר, סמי מגדי</t>
  </si>
  <si>
    <t>סיוע הומניטרי, משבר הומניטרי, מזון, אלימות, אזרחים, ירי, רעב כבד</t>
  </si>
  <si>
    <t>תכנית המזון העולמית, USAID</t>
  </si>
  <si>
    <t>רצועת עזה, מסדרון נצרים</t>
  </si>
  <si>
    <t>האומות המאוחדות מפסיקות את כל חלוקת המזון ברפיח לאחר שנגמר המלאי.</t>
  </si>
  <si>
    <t>האומות המאוחדות השעו את חלוקת המזון ברפיח בשל חוסר במלאי ובגלל המצב הביטחוני המדרדר לאור המבצעים הצבאיים של ישראל.</t>
  </si>
  <si>
    <t>טיה גולדןברג, סמי מגדי, לי קית'</t>
  </si>
  <si>
    <t>מזון, משבר הומניטרי, עקירה בכפייה, אזרחים, בית חולים, מים, רעב כבד, בריאות הציבור, אלימות, סיוע הומניטרי, עסקת בני ערובה</t>
  </si>
  <si>
    <t>תכנית המזון העולמית, ארצות הברית, ממשלת ישראל, בית הדין הפלילי הבינלאומי, האומות המאוחדות</t>
  </si>
  <si>
    <t>ישראל, רפיח, דרום רצועת עזה, צפון רצועת עזה, רצועת עזה</t>
  </si>
  <si>
    <t>בנימין נתניהו, ג'ו ביידן, יואב גלנט, ישראל כ"ץ</t>
  </si>
  <si>
    <t>דובר יוניסף מקליט סרטון של עצמו בבית החולים נאסר הריק וחלקית ההרוס לאחר פינויו במרץ 2024</t>
  </si>
  <si>
    <t>דוברת יוניסף מצלמת סרטון של בית החולים נאסאר הריק לאחר פינויו במרץ 2024. בית החולים שרוף וחלקית הרוס. הדגש בסרטון הוא על ילדים.</t>
  </si>
  <si>
    <t>בית החולים נאסר</t>
  </si>
  <si>
    <t>בריאות הציבור, בית חולים, ילדים, אזרחים</t>
  </si>
  <si>
    <t>יוניסף</t>
  </si>
  <si>
    <t>עיתונאי מעזה משקף כיצד חבר משפחה איבד הכל במהלך המלחמה.</t>
  </si>
  <si>
    <t>אובדן ואבל הפכו את תושב עזה שהיה פעם משגשג לנטוש ולחסר כל. הוא דיווח שאיבד את כל בני משפחתו וישן ברחוב.</t>
  </si>
  <si>
    <t>אזרחים, כלכלה, עדות, מוות</t>
  </si>
  <si>
    <t>מנהל בית החולים אל-אהלי הבפטיסטי מדבר על המצב הבריאותי בעזה</t>
  </si>
  <si>
    <t>ד"ר פאדל נעים, מנהל בית החולים הבפטיסטי אל-אהלי, מדבר בהרחבה על המצב הבריאותי הקשה בעזה. הוא קורא לרשויות הישראליות לטפל בצרכים הדחופים של צוות רפואי, ציוד ושיקום בתי חולים שנפגעו.</t>
  </si>
  <si>
    <t>בית החולים אל-אהלי הבפטיסטי</t>
  </si>
  <si>
    <t>בריאות הציבור, תברואה, רעב כבד, פשעי מלחמה, מים, תת־תזונה, תשתיות, רצח, עובדי בריאות, מצור</t>
  </si>
  <si>
    <t>רצועת עזה, צפון רצועת עזה, בית החולים אל-אהלי הבפטיסטי</t>
  </si>
  <si>
    <t>טענות צה"ל על סיוע הנכנס לעזה סותרות את דיווחי העיתונאים הפלסטינים</t>
  </si>
  <si>
    <t>חדשות דרופסייט מדווחות כי למרות שצה״ל טוען כי מאות משאיות סיוע נכנסו לרצועת עזה, עיתונאים פלסטינים טוענים כי האזורים המוקפים בעזה לא מקבלים מזון. ההקשר הוא המצור ההדוק על צפון עזה כחלק ממבצע משמעותי שם בסוף 2024.</t>
  </si>
  <si>
    <t>מתפ"ש (מתאם פעולות הממשלה בשטחים)</t>
  </si>
  <si>
    <t>סיוע הומניטרי, עיתונאים, רעב כבד, עדות</t>
  </si>
  <si>
    <t>ארצות הברית, ממשלת ישראל, COGAT</t>
  </si>
  <si>
    <t>המזרח התיכון: סיכום יומי</t>
  </si>
  <si>
    <t>או"ח"א מדווחת כי ישראל הרגה 343 אנשים ב-7 "מקרי הרג המוניים" ב-6 ימים ברחבי רצועת עזה. כוחות ישראליים הטילו מצור על מחנה הפליטים נור שמס ליד טול כרם והוציאו להורג מנהיג חמאס לכאורה במחנה הפליטים בטול כרם. התקפות ישראליות בלבנון גובות תשעה עשר קורבנות בלבנון. ארצות הברית "מוצפת בטענות כי נשק אמריקאי הרג אזרחים בעזה."</t>
  </si>
  <si>
    <t>בית לאהיה, נוסייראת, מחנה הפליטים ג'בליה, חאן יונס, מחנה הפליטים אלשאטי, טול כרם, נור שמס, בעלבכ</t>
  </si>
  <si>
    <t>תקיפה אווירית, ילדים, אזרחים, עקירה בכפייה, בריאות הציבור, מבצע קרקעי, הפצצות, בתי ספר, סיוע הומניטרי, נשים, הריסה</t>
  </si>
  <si>
    <t>חמאס, ארצות הברית, צה״ל, אונר״א, OCHA</t>
  </si>
  <si>
    <t>רצועת עזה, בית לאהיא, ג'באליה, חאן יונס, צפון רצועת עזה, דרום רצועת עזה, הגדה המערבית, טול כרם, מחנה הפליטים נור א-שמס</t>
  </si>
  <si>
    <t>עדכון מבית החולים קמאל אדואן, צפון עזה</t>
  </si>
  <si>
    <t>מנהל בית החולים, ד"ר חוסאם אבו ספיה, משתף פרטים על התקיפות האוויריות בצפון עזה שהותירו 88 הרוגים. הוא מתאר את החיפוש אחרי המתים מתחת להריסות ודן בחוסר הצוותים הרפואיים והכירורגיים, בציוד ובמתקנים, כמו גם בתת-תזונה. ד"ר אבו ספיה גם מזכיר כי צוותים רפואיים היו מטרה לירי מכטב"מים.</t>
  </si>
  <si>
    <t>תקיפה אווירית, בריאות הציבור, עובדי בריאות, ילדים, תרופות, קבורה, הפצצות, בית חולים, אזרחים, תינוקות, עדות, מזון, תת־תזונה, סיוע הומניטרי, ציוד רפואי, ציוד רפואי מתכלה</t>
  </si>
  <si>
    <t>בית החולים כמאל עדואן, צפון רצועת עזה, בית לאהיא, עיר עזה, שייח' רדואן</t>
  </si>
  <si>
    <t>התקפות חדשות על בית החולים קמאל אדואן</t>
  </si>
  <si>
    <t>ד"ר חוסאם אבו ספיה מתקשר לעיתונאי הגזאי אנאס אל שריף כדי לדווח על התקפות מתמשכות על בית החולים קמאל אדואן: "אנחנו מתים... תעבירו את המסר שלנו לעולם..."</t>
  </si>
  <si>
    <t>תקיפה אווירית, הפצצות, אזרחים, בריאות הציבור, השפלה, ילדים, עובדי בריאות, בית חולים, תינוקות, מים, חשמל, משפט הומניטרי, עדות, ציוד רפואי, ציוד רפואי מתכלה</t>
  </si>
  <si>
    <t>רצועת עזה, בית החולים כמאל עדואן, צפון רצועת עזה</t>
  </si>
  <si>
    <t>‘כולם הלכו, אין לי אף אחד’: סיפור של צעירה חושף זוועות שלא תועדו בעבר בעזה</t>
  </si>
  <si>
    <t>חקר של CNN (9:29 דקות) חושף זוועות שלא תועדו בעבר בעזה, ומדגיש את ההשפעה של התקפות ישראליות אקראיות על אזרחים. במיוחד, נמצאו מספר גופות בבניין שבו נפצעה אישה ששרדה. ההפצצה הייתה ככל הנראה بمפצצה במשקל 2,000 פאונד.</t>
  </si>
  <si>
    <t>רחוב סלאח-א-דין, עזה</t>
  </si>
  <si>
    <t>אזרחים, הפצצות, פשעי מלחמה, משבר הומניטרי, תוכן מטריד, עדות פלסטינית, דיווח עיתונאי, ירי חסר הבחנה, פצצה במשקל טון</t>
  </si>
  <si>
    <t>לפחות 16 בתי קברות בעזה הושחתו על ידי כוחות ישראליים, מגלים תמונות לוויין וסרטונים.</t>
  </si>
  <si>
    <t>חקר של CNN המבוסס על תמונות לוויין וסרטונים מגלה כי כוחות ישראליים חיללו לפחות 16 בתי קברות בעזה במהלך המתקפה הקרקעית שלהם, מה שמעורר חששות לגבי הפרות פוטנציאליות של החוק הבינלאומי.</t>
  </si>
  <si>
    <t>ג'רמי דיימונד, מוחמד דרוויש, אביר סלמן, בנימין בראון וג'יאנלוקה מזופיורה</t>
  </si>
  <si>
    <t>טקסט, תמונה, וידאו</t>
  </si>
  <si>
    <t>הרס אתרים תרבותיים, פשעי מלחמה, אזרחים, בית קברות</t>
  </si>
  <si>
    <t>אל-בורייג', עיר עזה, חאן יונס</t>
  </si>
  <si>
    <t>תוצאות הפיצוץ הכפול ההרסני</t>
  </si>
  <si>
    <t>חובש ועיתונאי פצוע חוסאם שבט אבלים על חבר צוות ההגנה האזרחית שנהרג (לפי דיווחים, עלי מוחמד מוסתפה) לאחר שהצבא הישראלי הפציץ יעד אזרחי.</t>
  </si>
  <si>
    <t>הפצצות, תקיפה אווירית, עובדי בריאות, עיתונאים, אזרחים, פציעה</t>
  </si>
  <si>
    <t>27 ח"כים ושרים לנתניהו: אמץ את "תכנית הגנרלים" — הכוללת אזור צבאי סגור בצפון עזה</t>
  </si>
  <si>
    <t>27 חברי כנסת ושרים קראו לראש הממשלה בנימין נתניהו לכנס את הקבינט הביטחוני ולאמץ את "תוכנית הגנרלים" עבור רצועת עזה הצפונית.</t>
  </si>
  <si>
    <t>אמיר אטינגר</t>
  </si>
  <si>
    <t>חדשות</t>
  </si>
  <si>
    <t>סיוע הומניטרי, עקירה בכפייה, מזון, תוכנית האלופים</t>
  </si>
  <si>
    <t>חוקר רצח עם מאשים את ישראל בביצוע רצח עם</t>
  </si>
  <si>
    <t>חוקר השואה מרטין שו מאתגר את ההיסטוריון בני מוריס באל ג'זירה, ודוחה את טענתו של מוריס כי ההרס האזרחי בעזה הוא רק "נזק צדדי" במלחמה. שו טוען כי ישראל הפרה ביודעין את כללי הפרופורציה על ידי שימוש שיטתי בפצצות של 2,000 פאונד כדי להרוג מאות אזרחים לכל לוחם - מדיניות שצפויה להשמיד את החברה בעזה, ושניתן להבין אותה רק כהשמדת עם.</t>
  </si>
  <si>
    <t>אקדמיה, רצח עם, פשעי מלחמה, דיון ציבורי</t>
  </si>
  <si>
    <t>מרטין שו, בני מוריס</t>
  </si>
  <si>
    <t>אייפק משתף מאמר שטוען שמספרי הנפגעים של משרד הבריאות בעזה הם "לא אמיתיים"</t>
  </si>
  <si>
    <t>ציוץ של AIPAC המקשר למאמר במגזין טאבלאט שטוען שמשרד הבריאות בעזה מזייף את הסטטיסטיקות לגבי נפגעים אזרחיים בעזה.</t>
  </si>
  <si>
    <t>אייפאק (@AIPAC)</t>
  </si>
  <si>
    <t>ערעור על מניין ההרוגים בעזה, דיווח עיתונאי, תעמולה, דעת קהל, מניין ההרוגים בעזה</t>
  </si>
  <si>
    <t>AIPAC</t>
  </si>
  <si>
    <t>חייל צה"ל לועג להרס בעזה</t>
  </si>
  <si>
    <t>וידאו שמראה חייל צה"ל מתאר את החוף בעיר עזה: "ים שטוח, נקי, בלי אבנים, בלי כלום". המצלמה מראה את החוף ואז פונה לצד השני. החייל אומר שהנוף שם פחות יפה. המצלמה מראה מה שנראה כמו זבל ואז רכבי צבא. החייל אומר: "נזיין אתכם!"</t>
  </si>
  <si>
    <t>סרטי חיילים ישראלים, הסתה לאלימות, רשתות חברתיות, הרס, השפלה, החברה הישראלית, דה־הומניזציה (שלילת אנושיות)</t>
  </si>
  <si>
    <t>חייל צה"ל מציג נעליים שמצא בבית פלסטיני</t>
  </si>
  <si>
    <t>וידאו של חייל צה"ל בציוד קרב מלא, שמראה למצלמה קופסה של נעלי עקב יוקרתיות, שנמצאו ככל הנראה בדירה של בעלי דירה שגורשו. הוא מציע בחיוך לחברתו את הנעליים כהצעת נישואין.</t>
  </si>
  <si>
    <t>סרטי חיילים ישראלים, השפלה, ביזה, החברה הישראלית, נשים, אזרחים, עקירה בכפייה, דה־הומניזציה (שלילת אנושיות)</t>
  </si>
  <si>
    <t>חייל צה"ל שובר טלוויזיה בתוך בית בעזה</t>
  </si>
  <si>
    <t>קבוצת חיילי צה"ל יושבת בסלון של בית בעזה, אותו הם מלאו בזבל. אחד מהם מוצא פלייסטיישן 4 וזורק אותו בכוח על הטלוויזיה בעוד השאר צוחקים.</t>
  </si>
  <si>
    <t>סרטי חיילים ישראלים, ונדליזם, רכוש מוחרם, עקירה בכפייה, אזרחים, דה־הומניזציה (שלילת אנושיות)</t>
  </si>
  <si>
    <t>חיילים לועגים לרכוש פלסטיני</t>
  </si>
  <si>
    <t>וידאו ברשתות החברתיות שכותרתו "המשפחה בסיבוב" מציג חיילי צה"ל מציגים פריטים של פלסטינים שנפלו או הועברו, מתייחסים לדגל פלסטין כדגל חמאס, לועגים לתחתוני נשים כ"לבוש טקטי," וחייל אחד אומר "נמשיך להשמיד ולנקות את השטח," וחייל אחר מצטט מהתנ"ך: "ארדוף אחרי אויביי ואשיגם; לא אשוב עד שיכחדו."</t>
  </si>
  <si>
    <t>בית לאהיה</t>
  </si>
  <si>
    <t>סרטי חיילים ישראלים, השפלה, נשים, עקירה בכפייה, רשתות חברתיות, ביזה, אזרחים, דה־הומניזציה (שלילת אנושיות), ונדליזם, הימין הדתי, הסתה לאלימות</t>
  </si>
  <si>
    <t>רס"ן בצה"ל קורא להשמדת עזה</t>
  </si>
  <si>
    <t>רס"ן בצה"ל, בסרטון שפורסם בחשבון האינסטגרם שלו: "אין חפים מפשע בעזה. [...] כולם אשמים. ולא נדע ניצחון עד שנשמיד את עזה. [...] כמו שאומרת התורה: 'לא להשאיר בהם אף אחד.' [...] ואין פה עניין מוסרי. העניין המוסרי הוא להשמיד אותם. העניין המוסרי זה לגרש אותם. הדבר המוסרי זה לעשות חניון."</t>
  </si>
  <si>
    <t>הסתה לרצח עם, הנכבה, פשעי מלחמה, אזרחים, ילדים, קשישים, ענישה קולקטיבית, טיהור אתני, הסתה לאלימות, רשתות חברתיות, נשים, הימין הדתי, דה־הומניזציה (שלילת אנושיות)</t>
  </si>
  <si>
    <t>חייל צה"ל לובש בגדים של פלסטיני מת/עקור</t>
  </si>
  <si>
    <t>תמונה במדיה חברתית מראה חייל צה"ל ברפיח לובש פריטי לבוש השייכים לגבר פלסטיני שמת או נעקר מביתו.</t>
  </si>
  <si>
    <t>רשתות חברתיות, תמונות חיילים ישראלים, אזרחים, ביזה, דה־הומניזציה (שלילת אנושיות)</t>
  </si>
  <si>
    <t>חיילי צה"ל לובשים חיג'אב שנבזז</t>
  </si>
  <si>
    <t>חיילים ישראלים מגדוד 890 מצולמים לובשים חיג'אב של נשים פלסטיניות שנהרגו או נעקרו מבתיהן בעיר עזה.</t>
  </si>
  <si>
    <t>ביזה, נשים, תמונות חיילים ישראלים, רשתות חברתיות, אזרחים, דה־הומניזציה (שלילת אנושיות)</t>
  </si>
  <si>
    <t>חייל צה"ל משחית בית בעזה</t>
  </si>
  <si>
    <t>הווידאו מראה חייל צה"ל שובר רהיטים בתוך בית מגורים ברפיח, עם כיתוב בעברית שאומר: 'שיפוצים בעזה'.</t>
  </si>
  <si>
    <t>ונדליזם, סרטי חיילים ישראלים, אזרחים, דה־הומניזציה (שלילת אנושיות)</t>
  </si>
  <si>
    <t>חייל צה"ל מפרסם תמונה של עצורים עזתים</t>
  </si>
  <si>
    <t>חייל בצה"ל בעל אזרחות כפולה ישראלית-אמריקאית פרסם תמונה מעזה המראה עצורים פלסטינים כורעים ברך ועם כיסויי עיניים, ידיהם על ראשיהם, עם הכיתוב "אמא, אני חושב ששחררתי את פלסטין".</t>
  </si>
  <si>
    <t>דה־הומניזציה (שלילת אנושיות), השפלה, רשתות חברתיות, תמונות חיילים ישראלים, התעללות, עצורים</t>
  </si>
  <si>
    <t>חיילי צה"ל פולשים לבית של משפחה פלסטינית עקורה</t>
  </si>
  <si>
    <t>וידאו שצולם בבית ברפיח על ידי חיילי צה"ל מציג את תוכן הבית, עם טקסט בעברית: "סיור לפני רכישה. [שם חיל אחר] עושה לי סיבוב בנכס. ממש מתחם לזוגות צעירים."</t>
  </si>
  <si>
    <t>ונדליזם, רשתות חברתיות, סרטי חיילים ישראלים, אזרחים, דה־הומניזציה (שלילת אנושיות)</t>
  </si>
  <si>
    <t>חיילי צה"ל מריעים בזמן שהם צופים בבניין מתפוצץ</t>
  </si>
  <si>
    <t>וידאו של קבוצת חיילי צה"ל צופים בהתפוצצות צפויה בשכונת מגורים, מוחאים כפיים ומריעים כשזה קורה</t>
  </si>
  <si>
    <t>סרטי חיילים ישראלים, לעג, חומרי נפץ, הריסה</t>
  </si>
  <si>
    <t>חייל צה"ל שורף עותק של הקוראן</t>
  </si>
  <si>
    <t>וידאו של חייל צה"ל בתוך מסגד במזרח רפיח, פונה למצלמה ומשליך עותק של הקוראן לתוך אש.</t>
  </si>
  <si>
    <t>אינסטגרם</t>
  </si>
  <si>
    <t>מזרח רפיח</t>
  </si>
  <si>
    <t>השפלה, הצתה, מסגדים, סרטי חיילים ישראלים, ספרים, הרס אתרים תרבותיים, לעג, תמונות חיילים ישראלים, קוראן, הימין הדתי, רשתות חברתיות, ונדליזם, דה־הומניזציה (שלילת אנושיות)</t>
  </si>
  <si>
    <t>חייל צה"ל קורא לנכבה נוספת</t>
  </si>
  <si>
    <t>תמונה של חייל צה"ל ליד הפוסט שלו בפייסבוק: "בשביעי כל מי שלא השכיל להבין שאנחנו מתמודדים מול רוע מוחלט הבין זאת. אשכרה יש כאן צד אחד שהוא הטוב המוחלט וצד אחד שהוא הרע מוחלט. בכמו שב48 היינו בטוחים בצדקת דרכנו ועשינו את הנדרש להמשך קיומנו כמו גירוש כפרים שלמים והקמת ערים יהודיות על חורבותם (אשדוד, אשקלון, צפון תל אביב ועוד), כך חייבים לעשות גם עכשיו. לחזור לזהות ולתודעה היהודית, להאמין בצדקת דרכנו ולהבין שהפתרון נגד האסלאם הברברי והרצחני הוא אך ורק לקיחת אדמה. נדרשת כאן "נכבה" נוספת. גירוש כיבוש התיישבות. זו הנוסחה. אין פתרון אחר."</t>
  </si>
  <si>
    <t>הסתה לרצח עם, הנכבה, התנחלויות יהודיות בעזה, טיהור אתני, גזענות, דה־הומניזציה (שלילת אנושיות)</t>
  </si>
  <si>
    <t>חייל צה"ל בספריית אוניברסיטת אל-אקצא הבוערת</t>
  </si>
  <si>
    <t>תמונה של חייל צה"ל בציוד קרב מלא קורא ספר בעוד מאחוריו בוערת אש בספרים של ספריית אוניברסיטת אל-אקצה.</t>
  </si>
  <si>
    <t>אוניברסיטת אל-אקצא</t>
  </si>
  <si>
    <t>הצתה, חינוך, הרס אתרים תרבותיים, לעג, ספרים, אקדמיה, תמונות חיילים ישראלים, סקולסטיסייד (השמדת מערכת חינוך)</t>
  </si>
  <si>
    <t>חייל בצה"ל טוען שהם שרפו אלף ספרים בעזה</t>
  </si>
  <si>
    <t>חייל צה"ל משתף דיווח חדשותי בנוגע לחקירה של המשטרה הצבאית נגד חייל שצילם את עצמו שורף את הקוראן. הכיתוב אומר: "אלף ספרים שרפנו בעזה. גאה בך אח שלי."</t>
  </si>
  <si>
    <t>השפלה, ג'נוסייד תרבותי, הצתה, מסגדים, סרטי חיילים ישראלים, ספרים, הרס אתרים תרבותיים, לעג, תמונות חיילים ישראלים, קוראן, הימין הדתי, רשתות חברתיות, ונדליזם, דה־הומניזציה (שלילת אנושיות)</t>
  </si>
  <si>
    <t>חייל צה"ל מניח הלבשה תחתונה ליד פיו של חייל ישן</t>
  </si>
  <si>
    <t>סרטון קצר שבו חייל צה"ל שוכב על ספה בדירה בצפון עזה, בעוד החייל השני, עם רובה ביד אחת, מחזיק פריט הלבשה תחתונה ביד השנייה מעל פניו של החייל השוכב. נשמעות נשימות ברקע.</t>
  </si>
  <si>
    <t>סרטי חיילים ישראלים, השפלה, רכוש מוחרם, אזרחים, לעג, בגדי נשים (כולל הלבשה תחתונה)</t>
  </si>
  <si>
    <t>חייל צה"ל מעמיד פנים שהוא מציע נישואים</t>
  </si>
  <si>
    <t>הווידאו מראה קבוצת חיילי צה"ל בתוך בית בבית לאהיא. הם סוקרים את הדירה, מדברים על התושבים המפונים, ככל הנראה זוג צעיר, ומזכירים את שמותיהם ואת תאריך הנישואים (6 באוקטובר); לאחר מכן הם מוצאים זר פרחים מפלסטיק ומנסים לביים הצעת נישואין בין שני חיילים. מבנים הרוסים והריסות נראים מהחלון.</t>
  </si>
  <si>
    <t>סרטי חיילים ישראלים, השפלה, רכוש מוחרם, נשים, אזרחים, דה־הומניזציה (שלילת אנושיות), לעג</t>
  </si>
  <si>
    <t>בית לאהיא, צפון רצועת עזה</t>
  </si>
  <si>
    <t>חייל צה"ל מדבר בבדיחות על ביזה.</t>
  </si>
  <si>
    <t>וידאו שבו חייל צה"ל שואל בחיוך חייל אחר, "עוד הפעם אתה בוזז משהו?" החייל שמול המצלמה, מחזיק רובה, מגיב בכך שהוא מראה שטר של 20 שקלים. הוא מסביר שהוא מצא אותו בדירה ומעניק אותו לחבר שלו ש-300 השקלים שלו נגנבו על ידי מחבלים במהלך התקפה על הבסיס שלהם. הוא מוסיף שהשבת כסף גנוב היא אחת מהמטרות שלהם.</t>
  </si>
  <si>
    <t>סרטי חיילים ישראלים, ביזה, השפלה, ענישה קולקטיבית, רכוש מוחרם, לעג, דה־הומניזציה (שלילת אנושיות)</t>
  </si>
  <si>
    <t>חיילי צה"ל מתכוננים לפוצץ מסגד עם מוקשים (שרשור)</t>
  </si>
  <si>
    <t>שתי תמונות של חיילי צה"ל שמניחים מספר רב של פצצות עגולות על הרצפות והעמודים של מסגד בחאן יונס. ארבע ציוצים לפני זה כוללים תמונות וסרטונים שונים של הרס, לרבות הצתת בתים בחאן יונס.</t>
  </si>
  <si>
    <t>מסגדים, הפצצות, הרס אתרים תרבותיים, ג'נוסייד תרבותי, פשעי מלחמה, ענישה קולקטיבית, אזרחים, הצתת בתים, הרס</t>
  </si>
  <si>
    <t>שני חיילי צה"ל בחדר שינה של אישה בעזה [חלק משרשור ארוך]</t>
  </si>
  <si>
    <t>שני חיילי צה"ל בציוד קרב מלא במה שנראה כמו חדר שינה של אישה עם חפצים אינטימיים שלה (קרמים, תחתונים, איפור), אחד לובש אפוד אדום ותיק נשי, והשני עם ורד מלאכותי בין שיניו. השרשור נמשך ל-13 ציוצים נוספים שכוללים תוכן נוסף של דה-הומניזציה, לרבות הרס, ביזה, השחתה, הצתת בתים ועצור.</t>
  </si>
  <si>
    <t>השפלה, רכוש מוחרם, דה־הומניזציה (שלילת אנושיות), נשים, אזרחים, תמונות חיילים ישראלים, החברה הישראלית, לעג, הרס, הצתת בתים, בגדי נשים (כולל הלבשה תחתונה), ביזה, עצורים</t>
  </si>
  <si>
    <t>רצועת עזה, בית חאנון, הגדה המערבית, עיר עזה, חאן יונס</t>
  </si>
  <si>
    <t>חייל צה"ל מציג פריט הלבשה תחתונה [חלק משיחה ארוכה]</t>
  </si>
  <si>
    <t>חייל צה"ל בציוד קרב מלא מחזיק בכותונת ועושה תנועות מיניות עם מוזיקה ברקע, פורסם ביוטיוב כחלק מהוולוג של החייל. השרשור כולל 13 ציוצים נוספים שמכילים תוכן נוסף השל דה-הומניזציה, לרבות הרס, ביזה, השחתה, הצתת בתים ועצור.</t>
  </si>
  <si>
    <t>חיילי צה"ל מציגים פריטים אינטימיים בחדר השינה של אישה מעזה [חלק משרשור ארוך]</t>
  </si>
  <si>
    <t>שלוש תמונות של אותו חייל צה"ל בציוד קרב מלא מציג פריטים נשיים אינטימיים בחדר שינה של אישה בעזה. השרשור כולל 13 ציוצים נוספים שמכילים תוכן נוסף של דה-הומניזציה, לרבות הרס, ביזה, השחתה, הצתת בתים ועצור.</t>
  </si>
  <si>
    <t>ארבע תמונות של חיילי צה"ל בתנוחות של ניצחון בעזה</t>
  </si>
  <si>
    <t>ארבע תמונות של חיילי צה"ל: 1. שני חיילים בציוד קרב מלא כורעים ודורכים על דגל פלסטין. 2. חייל בציוד קרב מלא עומד על דוכן (של מסגד?) ופורש ידיים. 3. שלושה חיילים בציוד קרב מלא בסלון בעזה, מוזגים קפה באמצעות כלי מטבח שהם כנראה מצאו בבית. 4. חייל צה"ל עומד בין הריסות עיר ומרים ידיים באצבעות זקופות.</t>
  </si>
  <si>
    <t>השפלה, אורביסייד (השמדת ערים), רכוש מוחרם, החברה הישראלית, תמונות חיילים ישראלים, הרס, מסגדים</t>
  </si>
  <si>
    <t>חייל צה"ל שובר את החלון האחורי של רכב</t>
  </si>
  <si>
    <t>חייל צה"ל בציוד קרב מלא זורק אבן על החלון האחורי השבור של רכב חונה, ושובר אותו עוד יותר.</t>
  </si>
  <si>
    <t>ונדליזם, אזרחים, סרטי חיילים ישראלים, דה־הומניזציה (שלילת אנושיות)</t>
  </si>
  <si>
    <t>שרשור של שלושה סרטונים של עצורים פלסטינים המוחזקים על ידי צה"ל</t>
  </si>
  <si>
    <t>שלושה סרטונים מראים עצורים פלסטינים שנעצרו על ידי צה"ל, עם מוזיקה ברקע: 1. חייל צה"ל במסכה ציוד קרב מלא מושך עצור צעיר עם כיסוי עיניים, לבוש בתחתונים, מתוך רכב צבאי, כשהוא מחזיק אותו בעורף. 2. שני עצורים, אחד מהם נראה צעיר מאוד, יושבים בתוך בית ספר בעיניים מכוסות וידיים קשורות. 3. שני עצורים עם כיסוי עיניים בתחתונים נראים בתוך רכב צבאי.</t>
  </si>
  <si>
    <t>תנאי שבי, סרטי חיילים ישראלים, עצורים, השפלה, דה־הומניזציה (שלילת אנושיות), אזרחים</t>
  </si>
  <si>
    <t>וידאו שמלגלג על פליטים פלסטינים במעבר נצרים</t>
  </si>
  <si>
    <t>הווידאו מראה מרחוק קבוצה גדולה של פליטים פלסטינים ליד החוף (סביר להניח שהולכים על כביש החוף) במעבר נצרים, בעוד קול מתאר אותם בזלזול: "חברים. אולטרה סכנין הגיעה לתמוך בעזה… היישר מדוחה. חחחח, תראו איזה כמות!"</t>
  </si>
  <si>
    <t>מעבר נצרים</t>
  </si>
  <si>
    <t>השפלה, סרטי חיילים ישראלים, עקירה בכפייה, אזרחים, דה־הומניזציה (שלילת אנושיות), החברה הישראלית, לעג</t>
  </si>
  <si>
    <t>עיר עזה, מסדרון נצרים</t>
  </si>
  <si>
    <t>ארבע תמונות בשרשור: 1. חייל צה"ל לבוש בבגדים ערביים מסורתיים. 2. חייל מול תמונה בוערת. 3. חייל מחזיק רובה בתחתונים. 4. שני חיילים יושבים על נדנדה.</t>
  </si>
  <si>
    <t>ארבע תמונות: 1. חייל צה"ל לבוש בגלביה לבנה ובכאפיה לבנה בתוך בית בעזה, חייל נוסף במדים עומד מאחוריו. 2. חייל יושב בציוד קרב מלא ורובה מונח על כיסא בתוך בית, בעוד תמונה גדולה בוערת מאחוריו. 3. חייל מחזיק רובה בתחתונים עם הרס ברקע. 4. שני חיילים יושבים על נדנדה בבניין הרוס.</t>
  </si>
  <si>
    <t>עיר עזה, חאן יונס</t>
  </si>
  <si>
    <t>השפלה, הצתה, ונדליזם, רכוש מוחרם, עקירה בכפייה, אזרחים, לעג, תמונות חיילים ישראלים, צעצועים, הרס</t>
  </si>
  <si>
    <t>דימויים של חדר מלא במוקשים וחייל מצביע עם רובה שלו מחלון ולועג ללפלסטינים.</t>
  </si>
  <si>
    <t>שתי תמונות: 1. רצפת חדר בדירה מכוסה במוקשים. חיילים מטפלים בהם. 2. חייל בתוך דירה עם רובה מכוון החוצה מהחלון לכיוון בניינים אחרים. כיתוב אומר: "אזרחי חאן יונס. היה לי תענוג לפוצץ את הבתים שלכם באוויר" עם אימוג'י צוחק. כל זה פורסם באינסטגרם.</t>
  </si>
  <si>
    <t>הפצצות, השפלה, רשתות חברתיות, ענישה קולקטיבית, לעג</t>
  </si>
  <si>
    <t>חייל צה"ל עם הלבשה תחתונה של נשים תלויה על גדר תיל. בתמונה השנייה מופיעים שני חיילים עם חזייה.</t>
  </si>
  <si>
    <t>חייל בציוד קרב מלא פונה למצלמה ומחייך, ליד כ-10 פריטי הלבשה תחתונה צבעוניים התלויים על חוט תיל, ונוגע בידו באחד החזיות. בתמונה השנייה חייל מחזיק חזייה, כנראה לוקח אותה.</t>
  </si>
  <si>
    <t>השפלה, ביזה, לעג, נשים, תמונות חיילים ישראלים, בגדי נשים (כולל הלבשה תחתונה)</t>
  </si>
  <si>
    <t>חיילי צה"ל מראים עצור פלסטיני מאוד צעיר</t>
  </si>
  <si>
    <t>שני חיילי צה"ל ליד קיר מלא בגרפיטי בעברית, לא רחוק ממעבר נצרים. שניהם לבושים במדי קרב מלאים, ורק עיניהם נראות. אחד מהם הוא המפקד והוא מורה לחייל שלו להראות למצלמה "את החטוף", שנראה כמו עצור פלסטיני מאוד צעיר, מכורבל עם ידיים קשורות ועיניים מכוסות. בקרבת מקום חייל נוסף יושב על נדנדה.</t>
  </si>
  <si>
    <t>סרטי חיילים ישראלים, השפלה, תנאי שבי, עצורים, ילדים, אזרחים, דה־הומניזציה (שלילת אנושיות), לעג, צעצועים</t>
  </si>
  <si>
    <t>מסדרון נצרים, עיר עזה</t>
  </si>
  <si>
    <t>חיילים מציגים הלבשה תחתונה ואביזרים של נשים מעזה (6 תמונות)</t>
  </si>
  <si>
    <t>שתי תמונות: 1. שני חיילי צה"ל עם חצי גוף חשוף עומדים בחוץ. אחד מהם לובש חזייה מפוארת והשני נוגע בחזה של חברו וצוחק. 2. חייל בציוד קרב מלא לובש חזייה מעל המדים שלו, מחזיק בתיק ומבצע מחווה סקסית עם הלשון. הציוץ השני בשרשור כולל ארבע תמונות: 1. חייל לובש בגדי נשים ומחזיק בתיק יד. 2. חייל עם צעיף נשי(?). 3. חייל נוסף לובש חזייה ומחזיק בתיק ליד החייל מהתמונה הראשונה. 4. חייל מחזיק בגד נשים.</t>
  </si>
  <si>
    <t>השפלה, ביזה, נשים, אזרחים, לעג, תמונות חיילים ישראלים, החברה הישראלית, בגדי נשים (כולל הלבשה תחתונה)</t>
  </si>
  <si>
    <t>שני חיילים מחזיקים בתמונה של אישה בלנז'רי [שרשור נוסף ארוך]</t>
  </si>
  <si>
    <t>שני חיילים במדים, פונים למצלמה ומחייכים בזמן שהם מחזיקים יחד חבילה שעליה תמונה של אישה בהלבשה תחתונה. הכיתוב אומר: "עזה, תורידי את המכנסיים כי הכוח שלנו מגיע". ישנם 11 ציוצים נוספים בשרשור הזה, כולל פיצוץ מסגד, הריסת בניינים, הצתת בניינים, הרס הכניסה לאוניברסיטת אל-אזהר, חיילי צה"ל שבוזזים ולובשים בגדים של נשים פלסטיניות, חייל ללא חולצה ורצועת ראש של חמאס וסכין בידו, ותוכן מבזה נוסף.</t>
  </si>
  <si>
    <t>השפלה, הסתה לאלימות, תמונות חיילים ישראלים, ענישה קולקטיבית, לעג, סרטי חיילים ישראלים, בגדי נשים (כולל הלבשה תחתונה), נשים, משחקי וידאו, ונדליזם, הריסה, הרס, הצתת בתים, מסגדים</t>
  </si>
  <si>
    <t>חייל צה"ל לועג למעוכב [תוכן נוסף ב-6 ציוצים אחרים]</t>
  </si>
  <si>
    <t>קבוצת עצורים עומדת בשורה עם ידיים למעלה מול רכב צבאי ברחוב בעיר. כמה חיילים עומדים מסביב. גבר - ככל הנראה עובד בתחום הבריאות - בלבוש לבן וידיים קשורות מובל על ידי חייל. הכיתוב בעברית אומר: "זבל אנושי" "הנה הוא, לא כזה גיבור אחרי שהגענו אליו". ברקע נשמעת הודעה בערבית. התוכן הנוסף בשרשור כולל הרס של מסגד ובניינים אחרים, ונדליזם, חייל לבוש בשמלה, ווידאו של מאות או אלפי פליטים מעזה.</t>
  </si>
  <si>
    <t>השפלה, סרטי חיילים ישראלים, תנאי שבי, עובדי בריאות, עצורים, אזרחים, עקירה בכפייה, בגדי נשים (כולל הלבשה תחתונה), הרס, מסגדים, דה־הומניזציה (שלילת אנושיות)</t>
  </si>
  <si>
    <t>חייל צה"ל שורף עיתון בשפה הערבית</t>
  </si>
  <si>
    <t>שלושה חיילים נוספים נמצאים בקרבת מקום. שריפת העיתון מתרחשת בבית.</t>
  </si>
  <si>
    <t>תמונות חיילים ישראלים, החברה הישראלית, ונדליזם, השפלה, רכוש מוחרם, דה־הומניזציה (שלילת אנושיות)</t>
  </si>
  <si>
    <t>שלוש תמונות של חיילי צה"ל שורפים בניינים בעזה</t>
  </si>
  <si>
    <t>חיילי צה"ל מול בניינים בוערים בשלוש תמונות שונות; הכיתוב בעברית אומר "עזה ז"ל".</t>
  </si>
  <si>
    <t>הצתה, מבצע קרקעי, תמונות חיילים ישראלים, החברה הישראלית, ענישה קולקטיבית, דומיסייד (השמדת מרחבי מחיה), אזרחים, אורביסייד (השמדת ערים), השפלה, הצתת בתים</t>
  </si>
  <si>
    <t>חייל צה"ל משמיד גיטרה; יחד עם עוד חייל שניהם צוחקים. בתמונה אחרת חייל קורע תמונה.</t>
  </si>
  <si>
    <t>חייל צה"ל שובר גיטרה בתוך בית בעזה, בעוד חיילים אחרים צוחקים ברקע. ציוץ אחר כולל חייל צה"ל שקרע תמונה עם הראש שלו.</t>
  </si>
  <si>
    <t>ונדליזם, סרטי חיילים ישראלים, לעג, רכוש מוחרם, עקירה בכפייה, אזרחים, צעצועים</t>
  </si>
  <si>
    <t>חיילים לועגים להרס בבניין שגם הוצת.</t>
  </si>
  <si>
    <t>חיילי צה"ל צוחקים על הפסקת החשמל בין חורבות בית פלסטיני שהוצת בעזה.</t>
  </si>
  <si>
    <t>הריסה, חשמל, סרטי חיילים ישראלים, לעג, השפלה, הרס</t>
  </si>
  <si>
    <t>חיילי צה"ל שורפים את גג בניין מגורים, מצולמים מלמטה</t>
  </si>
  <si>
    <t>חיילי צה"ל מבעירים מגדל מגורים בעיר עזה בלילה, עם כיתוב בעברית שאומר: "עזה בלהבות". חתיכות של פסולת וזכוכית נופלות.</t>
  </si>
  <si>
    <t>הצתה, הריסה, ענישה קולקטיבית, הצתת בתים, סרטי חיילים ישראלים</t>
  </si>
  <si>
    <t>כוחות ישראליים הרסו חלקים מבית הקברות אל-פלוג'ה בצפון עזה</t>
  </si>
  <si>
    <t>כוחות ישראליים בליווי דחפורים הרסו חלקים מבית הקברות אל-פלוג'ה בצפון עזה.</t>
  </si>
  <si>
    <t xml:space="preserve">בית הקברות אל פאלוג'ה, צפון רצועת עזה
</t>
  </si>
  <si>
    <t>קבורה, הריסה, הרס, בית קברות, דה־הומניזציה (שלילת אנושיות)</t>
  </si>
  <si>
    <t>דחפורים ישראליים חופרים ומשמידים את בית הקברות אל-בתיש סמוך לעיר עזה</t>
  </si>
  <si>
    <t>דחפורים ישראליים הורסים את בית הקברות אל-בתיש ליד העיר עזה. גופות מפוזרות והקברים לא ניתנים לאיתור.</t>
  </si>
  <si>
    <t>בית הקברות אל-בתיש בעזה</t>
  </si>
  <si>
    <t>הרס בית ההוצאה לאור וספריית אל-כלימה, שנשרפו.</t>
  </si>
  <si>
    <t>צה"ל (?) משמיד ושורף את בית ההוצאה לאור והספרייה של אל-כלימה בשכונת שייח' רדואן בעזה.</t>
  </si>
  <si>
    <t>שייח' רדואן, עיר עזה</t>
  </si>
  <si>
    <t>ג'נוסייד תרבותי, הרס אתרים תרבותיים, ספרים, הצתה</t>
  </si>
  <si>
    <t>עיר עזה, צפון רצועת עזה</t>
  </si>
  <si>
    <t>צה"ל הרס את "טירת ברקוק" ההיסטורית בחאן יונס</t>
  </si>
  <si>
    <t>צה"ל הרס את "טירת ברקוק" ההיסטורית בחאן יונס. פוסטר טוען כי "ישראל הרסה כמעט את כל האתרים הארכיאולוגיים ברצועת עזה ושרפה ספריות ואת הבניין המרכזי של הארכיון להיסטוריה."</t>
  </si>
  <si>
    <t>ג'נוסייד תרבותי, חינוך, הרס אתרים תרבותיים, הרס</t>
  </si>
  <si>
    <t>דחפור של צה"ל הורס קברים ברצועת עזה</t>
  </si>
  <si>
    <t>סרטון מתוך דחפור של צה"ל המפרק קברים ברצועת עזה תוך כדי האזנה למוזיקה.</t>
  </si>
  <si>
    <t>קבורה, הריסה, סרטי חיילים ישראלים, בית קברות, הרס, הרס אתרים תרבותיים</t>
  </si>
  <si>
    <t>צילומי אוויר של אל ג'זירה מראים את היקף ההרס בבית חנון</t>
  </si>
  <si>
    <t>צילומי אוויר של אל ג'זירה מראים שהעיר בית חאנון בצפון עזה נהרסה ברובה על ידי ישראל.</t>
  </si>
  <si>
    <t>הפצצות, אורביסייד (השמדת ערים), הריסה, הרס</t>
  </si>
  <si>
    <t>הצבא הישראלי הורס מבנים באוניברסיטת אל-אזהר</t>
  </si>
  <si>
    <t>סרטון מראה את הריסת הבניינים באוניברסיטה מרחוק.</t>
  </si>
  <si>
    <t>אקדמיה, הפצצות, הריסה, הרס אתרים תרבותיים, אורביסייד (השמדת ערים), סקולסטיסייד (השמדת מערכת חינוך)</t>
  </si>
  <si>
    <t>שלט ברצועת עזה המצהיר על הקמת התנחלות חדשה, "ברית נצרים"</t>
  </si>
  <si>
    <t>השלט הוצב על ידי חברה של צה"ל לזכר חייל שנפל.</t>
  </si>
  <si>
    <t>נחלה תנועת התיישבות (@T_Nachala)</t>
  </si>
  <si>
    <t>התנחלויות יהודיות בעזה</t>
  </si>
  <si>
    <t>הלוויית ד"ר אחמד אל-כלות</t>
  </si>
  <si>
    <t>הצוות הרפואי בבית החולים כמאל עדואן נותנים כבוד אחרון לעמיתם.</t>
  </si>
  <si>
    <t>עובדי בריאות, בית חולים, קבורה, אזרחים</t>
  </si>
  <si>
    <t>ההגנה האזרחית אינה מצליחה לאסוף את הגופות.</t>
  </si>
  <si>
    <t>דו"ח על חוסר היכולת של ההגנה האזרחית לאסוף גופות מתחת להריסות לאחר הפצצת בניין בן שש קומות. מספר ההרוגים הרשמי אינו כולל גופות שלא נאספו מההריסות ולכן סביר להניח שהוא גבוה בהרבה מהמדווח.</t>
  </si>
  <si>
    <t>תקיפה אווירית, הפצצות, קבורה, דיווח עיתונאי, מניין ההרוגים בעזה, מבנים</t>
  </si>
  <si>
    <t>ציוץ של סטס קופול הקורא "לא להשאיר אף עזתי בחיים"</t>
  </si>
  <si>
    <t>ציוץ של סטס קופול, צלם בערוץ 14 שאומר: "לא להשאיר אף עזתי בחיים". הוא מציין לאחר מכן שאין אנשים בעזה אלא נאצים שלא צריכים להישאר חיים.</t>
  </si>
  <si>
    <t>החברה הישראלית, הסתה לרצח עם, גזענות, הסתה לאלימות, אזרחים, דה־הומניזציה (שלילת אנושיות)</t>
  </si>
  <si>
    <t>דחפור ומחפר הורסים בניינים בעזה</t>
  </si>
  <si>
    <t>וידאו בהילוך מהיר של דחפור ומחפר הורסים בניינים בתוך שכונת בעיר, חלקים גדולים ממנה כבר הרוסה. הכיתוב בעברית אומר: "הופ הופ לגו" ו"משתדלים לא להשאיר לכם כלום, כלבים." המנגינה היא של השיר "Happy New Year" (שנה טובה); פורסם באינסטגרם.</t>
  </si>
  <si>
    <t>סרטי חיילים ישראלים, דומיסייד (השמדת מרחבי מחיה), אורביסייד (השמדת ערים), רשתות חברתיות, השפלה, החברה הישראלית, לעג</t>
  </si>
  <si>
    <t>צילומי רחפן של חיילי צה"ל מבעירים את שכונת שג'אעיה</t>
  </si>
  <si>
    <t>חיילי צה"ל מחטיבת גבעתי מציתים את שכונת שג'איה. קריינות של תקשורת ישראלית הכוללת את ההודעה הבאה: "תחנות פרפר, כאן קודקוד. אנחנו יוצאים למבצע נר שמיני של חנוכה, שרפת שכונת שג'אעיה... נשמיד אותם עד לעפר".</t>
  </si>
  <si>
    <t>שגא'עיה</t>
  </si>
  <si>
    <t>הצתה, אורביסייד (השמדת ערים), סרטי חיילים ישראלים, דה־הומניזציה (שלילת אנושיות)</t>
  </si>
  <si>
    <t>רצועת עזה, עיר עזה, שגא'עיה</t>
  </si>
  <si>
    <t>רב-סרן בצה"ל מבטיח לחזור לנצרים בחשבון הפייסבוק האישי שלו</t>
  </si>
  <si>
    <t>רב סרן בצה"ל - תושב לשעבר של גוש קטיף - מדבר על החזרה להתנחלויות יהודיות בעזה. "אנחנו עכשיו חוזרים לנצרים. נצרים תיבנה ותיכונן."</t>
  </si>
  <si>
    <t>נצרים</t>
  </si>
  <si>
    <t>סיפוח, התנחלויות יהודיות בעזה, סרטי חיילים ישראלים, טיהור אתני</t>
  </si>
  <si>
    <t>מתנחלים ישראלים נכנסים לעזה עם טרקטורים</t>
  </si>
  <si>
    <t>טרקטורים ישראליים נכנסים לרצועת עזה ומעבדים שם שדות. כמו כן, הזמנה למצעד השיבה של המתנחלים לעזה ב-29 בפברואר 2024.</t>
  </si>
  <si>
    <t>החברה הישראלית, התנחלויות יהודיות בעזה, התנחלויות, מחאה (בישראל), סיפוח</t>
  </si>
  <si>
    <t>חיילי צה"ל במדים מצולמים מודים שהם נלחמים בעזה כדי "לחזור" ולבנות התנחלויות.</t>
  </si>
  <si>
    <t>חיילים ישראלים המזהים את עצמם בשמותיהם כמפוני גוש קטיף שחוזרים הביתה להתנחל מחדש בעזה</t>
  </si>
  <si>
    <t>סיפוח, התנחלויות יהודיות בעזה, סרטי חיילים ישראלים, רשתות חברתיות, מבנים</t>
  </si>
  <si>
    <t>חייל אומר שהיה לו הכבוד לשטח את עזה בשירות ההתנחלות היהודית החדשה שתיבנה מעליה.</t>
  </si>
  <si>
    <t>חייל צה"ל עומד מול שטח ריק ואומר שהוא זכה לקחת חלק בשיטוח עזה כדי לבנות מעליה התנחלויות יהודיות חדשות: "במקום שנבנה על מנת להרוס, אנחנו הורסים על מנת לבנות..."</t>
  </si>
  <si>
    <t>דומיסייד (השמדת מרחבי מחיה), סיפוח, התנחלויות יהודיות בעזה, הרס, הימין הדתי, טיהור אתני</t>
  </si>
  <si>
    <t>חיילי צה"ל אוכלים פיצה דונה איטליה בחאן יונס</t>
  </si>
  <si>
    <t>דונה איטליה, רשת פיצריות בינלאומית, מספקת פיצה לחיילים ישראלים בבית של משפחה עקורה בחאן יונס. מספר פיצות מוכנות במקביל. המחבר מציין שזה קורה בזמן שהאוכלוסייה בעזה סובלת מרעב.</t>
  </si>
  <si>
    <t>רעב כבד, מזון, רכוש מוחרם, רשתות חברתיות</t>
  </si>
  <si>
    <t>דחפורים של צה"ל מועכים משאית ומתקנים באזור התעשייה במזרח עזה</t>
  </si>
  <si>
    <t>חיילי צה"ל פרסמו סרטונים בטיקטוק המראים אותם משמידים משאיות אזרחיות ומתקנים באזור התעשייה במזרח העיר עזה. ברקע מתנגנת שיר קצבי על עבודה. כמו כן, כלולה תמונה של אזור התעשייה במזרח עזה לפני שצה"ל הרס אותו במטרה ליצור אזור חיץ צבאי.</t>
  </si>
  <si>
    <t>מזרח העיר עזה</t>
  </si>
  <si>
    <t>כלכלה, תשתיות, ונדליזם, הרס, סרטי חיילים ישראלים, השפלה, רשתות חברתיות</t>
  </si>
  <si>
    <t>אנטוניו גוטרש, מזכיר האומות המאוחדות, הוכרז כפרסונה נון גרטה (אישיות בלתי רצויה) על ידי שר החוץ הישראלי.</t>
  </si>
  <si>
    <t>זמן קצר לאחר שהמזכיר הכללי של האומות המאוחדות אנטוניו גוטרש קרא להפסקת אש במזרח התיכון, שר החוץ הישראלי דאז ישראל כץ הכריז עליו כפרסונה נון גרטה (אישיות בלתי רצויה), ואסר על כניסתו לישראל. כץ ביקר את גוטרש על כך שלא גינה את התקפת איראן על ישראל, על שלא גינה את פעולות חמאס ב-7 באוקטובר, וסירב להגדיר את חמאס כארגון טרור. הוא גם האשים את ראש האומות המאוחדות בתמיכה בקבוצות כמו חמאס, חיזבאללה, החות'ים ואיראן.</t>
  </si>
  <si>
    <t>ישראל כץ (@Israel_katz)</t>
  </si>
  <si>
    <t>ממשלת ישראל, האומות המאוחדות</t>
  </si>
  <si>
    <t>ישראל כ"ץ, אנטוניו גוטרש</t>
  </si>
  <si>
    <t>רשמים של עיתונאי ישראלי מביקור בעזה</t>
  </si>
  <si>
    <t>רושם מביקור מספר 9 בעזה (ב-8 פוסטים), השלב השלישי של לוחמת הפשיטות, בשכונת זיתון ובמסדרון מיער בארי לים (מאוחר יותר: מסדרון נצרים). מספר נושאים: קרב ברמה נמוכה בזיתון, בניית כביש רב מסלולים במסדרון עם חברות אזרחיות, בסיסי צבא, מנהרות, תאי מעצר של בני ערובה וכלובים, מוטיבציה של חיילים והגדודים השונים באזור.</t>
  </si>
  <si>
    <t>דורון קדוש (@Doron_Kadosh)</t>
  </si>
  <si>
    <t>טקסט, וידאו, תמונה</t>
  </si>
  <si>
    <t>מבצע קרקעי, בני ערובה, כלובים, תשתיות, מדיה, עיתונאים, כתב צבאי</t>
  </si>
  <si>
    <t>עיר עזה, מסדרון נצרים, שכונת זיתון</t>
  </si>
  <si>
    <t>ראיונות עם ישראלים החוסמים סיוע הומניטרי לעזה</t>
  </si>
  <si>
    <t>ראיונות עם פעילים בצו 9 - ארגון שמתנגד לסיוע ההומניטרי לעזה במהלך הפגנה.</t>
  </si>
  <si>
    <t>ישראל, עוטף עזה</t>
  </si>
  <si>
    <t>סיוע הומניטרי, טיהור אתני, הסתה לרצח עם, עדות, הרס, דה־הומניזציה (שלילת אנושיות), מצור, מחאה (בישראל)</t>
  </si>
  <si>
    <t>צו 9</t>
  </si>
  <si>
    <t>הצבא הישראלי הפך את בית החולים ע"ש הידידות הטורקית-פלסטינית לבסיס צבאי ומכין את עצמו לחגוג את סדר פסח בו.</t>
  </si>
  <si>
    <t>לאחר שישראל תקפה את בית החולים ע"ש הידידות הטורקית-פלסטינית, היא הפכה את בית החולים לבסיס צבאי. חיילים מקיימים סדר פסח ומציגים את המאכלים שהם מתכננים לאכול. חלק מהווידאו מראה מה שנראה כמו מעל מאה חיילים בסדר.</t>
  </si>
  <si>
    <t>בית החולים ע"ש הידידות הטורקית-פלסטינית, מסדרון נצרים</t>
  </si>
  <si>
    <t>בית חולים, מזון, טיהור אתני</t>
  </si>
  <si>
    <t>נציבות האו"ם לזכויות האדם מודאגות מאוד מהצהרות של בכירים ישראלים על תוכניות להעברת אזרחים מעזה למדינות שלישיות</t>
  </si>
  <si>
    <t>הנציב העליון של האו"ם לזכויות אדם (OHCHR) פולקר טירק מביע דאגה עמוקה מהצהרות של בכירים ישראלים על תוכניות להעברת אזרחים מעזה למדינות שלישיות. החוק הבינלאומי אוסר על העברה בכוח של אנשים מוגנים בתוך שטח כבוש או על גירוש ממנו.</t>
  </si>
  <si>
    <t>זכויות האדם של האומות המאוחדות (@UNHumanRights)</t>
  </si>
  <si>
    <t>עקירה בכפייה, אזרחים, הצהרה רשמית</t>
  </si>
  <si>
    <t>פולקר טירק</t>
  </si>
  <si>
    <t>סרטון שצולם מרכב משוריין ישראלי המראה דגלים ישראליים לאורך רחוב אל-רשיד בעזה</t>
  </si>
  <si>
    <t>וידאו שצולם על ידי חיילי צה"ל מרכב משוריין, המראה מספר רב של דגלים ישראליים מונפים וגרפיטי בשפה העברית לאורך רחוב אל-רשיד, דרך מרכזית לאורך חוף עזה. החיילים שמצלמים שרים יחד עם מוזיקה בערבית.</t>
  </si>
  <si>
    <t>אורי קורליאנצ'יק (@VerminusM)</t>
  </si>
  <si>
    <t>רצועת עזה, כביש החוף אל-רשיד</t>
  </si>
  <si>
    <t>סרטי חיילים ישראלים, דה־הומניזציה (שלילת אנושיות), הרס, לעג, ונדליזם</t>
  </si>
  <si>
    <t>חיילים משמידים את ח'וזעה במשך שבועיים</t>
  </si>
  <si>
    <t>הרס ח'וזעה. הסרטון כולל מוזיקה וקריינות של חייל המספר כמה הוא גאה בהרס הכפר של הנאצים שתקפו את ניר עוז.</t>
  </si>
  <si>
    <t>אורביסייד (השמדת ערים), דומיסייד (השמדת מרחבי מחיה), הפצצות, הרס, סרטי חיילים ישראלים, רשתות חברתיות, טיהור אתני, הריסה</t>
  </si>
  <si>
    <t>חיילי צה"ל לובשים את בגדים תחתונים של נשים מעזה</t>
  </si>
  <si>
    <t>שני חיילי צה"ל מציגים הלבשה תחתונה של נשים פלסטיניות.</t>
  </si>
  <si>
    <t>השפלה, נשים, תמונות חיילים ישראלים, לעג, ביזה, דה־הומניזציה (שלילת אנושיות), בגדי נשים (כולל הלבשה תחתונה)</t>
  </si>
  <si>
    <t>חיילי צה"ל בוזזים כסף</t>
  </si>
  <si>
    <t>תמונה המראה חמישה חיילי צה"ל מחטיבת הנח"ל בוזזים כסף מבית בעיר עזה.</t>
  </si>
  <si>
    <t>דוגמנית ישראלית קוראת להשמדת אזרחי ישראל vפלסטינים.</t>
  </si>
  <si>
    <t>הדוגמנית הישראלית תאהוניה רובל קוראת להשמדת אזרחי ישראל הפלסטינים משום שהם צועדים בישראל עם דגלים פלסטיניים.</t>
  </si>
  <si>
    <t>דה־הומניזציה (שלילת אנושיות), הסתה לרצח עם, גזענות, החברה הישראלית, טיהור אתני, רשתות חברתיות</t>
  </si>
  <si>
    <t>ישראלים ברשתות החברתיות לועגים למותם של שלושה מבני משפחה פלסטינית-ישראלית בתאונת דרכים [שרשור]</t>
  </si>
  <si>
    <t>משתמשי מדיה חברתית ישראלים לועגים וחוגגים את מותם של שלושה בני משפחה פלסטינית עם אזרחות ישראלית. התוכן מופיע בצילומי מסך בשרשור.</t>
  </si>
  <si>
    <t>גזענות, פלסטינים אזרחי ישראל, החברה הישראלית, לעג, רשתות חברתיות</t>
  </si>
  <si>
    <t>דיווח על הוצאות להורג בשטח העיר עזה</t>
  </si>
  <si>
    <t>ב-24 באפריל, כוחות ישראליים פלשו לדרום רימאל, עזה, הציתו בתים והרסו מבנים תוך כדי פינוי כפוי של נשים וילדים מתחת לגיל 14 לדרום העיר עזה תחת איומי צלפים. גברים ובנים נעצרו סמוך לצומת שליחאת, חלקם עברו חקירות קשות, וכמה מהם הוצאו להורג מאוחר יותר, כפי שהעידו שני עצורים משוחררים שראו את הרציחות. מאוחר יותר, חיילים שחררו כמה מהעצורים עירומים על החוף, ואז פתחו באש, הכו כמה עצורים נוספים, ביניהם גבר בן 60 שמת מול בניו.</t>
  </si>
  <si>
    <t>שכונת רימאל, העיר דרום עזה, מסדרון נצרים</t>
  </si>
  <si>
    <t>עצורים, תנאי שבי, רצח, אזרחים, ילדים, קשישים, נשים, עקירה בכפייה, הצתה, פשעי מלחמה, הוצאה להורג, דה־הומניזציה (שלילת אנושיות), השפלה</t>
  </si>
  <si>
    <t>עיר עזה, דיר אל-בלח, מסדרון נצרים</t>
  </si>
  <si>
    <t>הריגת אזרחים בלתי חמושים על ידי כוחות צה"ל [שרשור]</t>
  </si>
  <si>
    <t>תיעוד שהושג מחשבון מדיה חברתית של חייל ישראלי מחטיבת הצנחנים, מראה את הריגתו של אזרח עזתי חסר נשק, שניסה לאסוף גופה של ילד צעיר. התוקף נראה כמו צלף. שאר השרשור כולל דוגמאות נוספות.</t>
  </si>
  <si>
    <t>כללי מעורבות, רצח, אזרחים, ילדים, פשעי מלחמה, סרטי חיילים ישראלים, ירי, צלפים</t>
  </si>
  <si>
    <t>החברה הישראלית XTEND מתגאה בגיוס של 40 מיליון דולר לאחר הצלחתה בתחום הרחפנים.</t>
  </si>
  <si>
    <t>רחפנים מסוג קוואדקופטר מצוידים ברובי צלפים גרמו למספר רב של נפגעים אזרחיים בעזה, כולל ילדים. ד"ר ג'סאן אבו-סיתה, מנתח בריטי שהתנדב בבתי החולים בעזה במהלך המלחמה, דיווח: "בלילה אחד, קיבלנו 30 פצועים מירי רחפנים שכוון לאנשים שניסו להגיע לבית החולים אהלי.</t>
  </si>
  <si>
    <t>רצועת עזה, בית החולים אל-אהלי הבפטיסטי</t>
  </si>
  <si>
    <t>כללי מעורבות, ילדים, אזרחים, ענישה קולקטיבית, בית חולים, תקיפה אווירית, רחפן / קוואדקופטר, עדות</t>
  </si>
  <si>
    <t>שבעים גופות מרקיבות התגלו בג'באליה</t>
  </si>
  <si>
    <t>העיתונאי חוסאם שבט מדווח כי מאז שחר ה-31 במאי 2024, נמצאו כ-70 גופות מרקיבות—בעיקר של נשים וילדים—במחנה הפליטים ג'באליה. ככל הנראה, הם נורו על ידי צלפים ישראלים בזמן שניסו לברוח מההפצצות.</t>
  </si>
  <si>
    <t>גופות, אזרחים, נשים, ילדים, טיהור אתני, פשעי מלחמה, ענישה קולקטיבית, כללי מעורבות, קבורה, טבח</t>
  </si>
  <si>
    <t>עדויות מרופאים שהתנדבו בבתי חולים בעזה</t>
  </si>
  <si>
    <t>שלושה רופאים מתנדבים בבתי חולים בעזה מדווחים על תנאים קשים: מנתח מסידני מתאר ביצוע ניתוחים בבית החולים אל-אקצא— ברגליים, חזה ובטן—ללא הקלה בכאב לאחר הניתוח, כשהוא עד למוות יומיומי של ילדים. פסיכולוג קליני מסביר על שתי טראומות הפוגעות בילדי עזה: סבל מהפצצות ומוות של בני משפחה, שמחמירות עם המודעות הכואבת שהעולם נכשל להתערב. רופא נוסף מציין שרוב קורבנות ההפצצות מגיעים לבתי החולים כבר מתים, עם ניצולים הסובלים מפגיעות קשות. בינתיים, עזה מתמודדת עם רעב, ונתוני האומות המאוחדות מראים ירידה של 70% בסיוע ההומניטרי מאז ההתקדמות הצבאית של ישראל לרפיח.</t>
  </si>
  <si>
    <t>רצועת עזה, בית החולים אל-אקצא</t>
  </si>
  <si>
    <t>בית חולים, בריאות הציבור, עובדי בריאות, עדות, ילדים, אזרחים, הפצצות, משבר הומניטרי, סיוע הומניטרי</t>
  </si>
  <si>
    <t>בית החולים אל-אקצא, רצועת עזה</t>
  </si>
  <si>
    <t>צה"ל מונע פינוי גופות מתל אל-סולטן</t>
  </si>
  <si>
    <t>בתל אל-סולטאן, מערבית לרפיח, ישראל הרגה אזרחים שנעקרו בעת תנועתם, מספר ימים קודם לכן. הגופות נשארות מרקיבות ברחובות, בעוד שצוותים רפואיים מנועים מלהיכנס כדי לאסוף אותן.</t>
  </si>
  <si>
    <t>תל א-סולטאן, רפיח</t>
  </si>
  <si>
    <t>גופות, אזרחים</t>
  </si>
  <si>
    <t>אחות מתנדבת אמריקאית חוזרת מעזה עם דיווחים מזעזעים על תנאי בתי החולים בעזה</t>
  </si>
  <si>
    <t>מוניקה ג'ונסון, אחות מפורטלנד שהתנדבה בבית החולים רפיח עם האגודה הרפואית הפלסטינית-אמריקאית, מתארת מחסור חמור במצרכים בסיסיים—אין סבון, חומר חיטוי לידיים או מגבות נייר; אין מצעים לחולים, מה שמאלץ חולי טיפול נמרץ לשכב על סדינים פלסטיים ב"שלוליות דם", ללא אפשרות להחליף אותם. היא מעידה: “לאנשים יש פציעות פיצוץ—ואנחנו נותנים להם טילנול. אנחנו נותנים להם איבופרופן. על יד שנקטעה. או כוויות המכסות 30% מגופם."</t>
  </si>
  <si>
    <t>בית חולים, עדות, בריאות הציבור, עובדי בריאות, משבר הומניטרי, אזרחים, ציוד רפואי מתכלה</t>
  </si>
  <si>
    <t>משפחות פלסטיניות נכנעות לרחפן צהל"י בתוך בית בעזה</t>
  </si>
  <si>
    <t>חייל ישראלי פרסם סרטון ברשתות החברתיות המראה משפחות פלסטיניות (כ-15-20 אנשים) בתוך בית בעזה, מנופפים בידיהם לכניעה, למה שנראה כמו רחפן ישראלי. נכון למועד כתיבת שורות אלו, מצבם של האנשים ומיקום האירוע המדויק עדיין לא אומתו.</t>
  </si>
  <si>
    <t>אזרחים, מבצע קרקעי, סרטי חיילים ישראלים, השפלה, רשתות חברתיות, רחפן / קוואדקופטר</t>
  </si>
  <si>
    <t>הוצאה להורג במחסום נצרים</t>
  </si>
  <si>
    <t>על פי עד ראייה, בין השעות 9:00-10:00 בבוקר ב-17 במרץ 2024, כוחות ישראליים במחסום נצרים ירו בפלסטיני בן 65, אשר נשא עמו קפה ובגדים למשפחתו בדרום עזה. לאחר מותו, דחפור קבר את גופתו סמוך למחסום. פלסטינים שעמדו שם הורשו להמשיך דרומה רק לאחר השעה 11:30 בעקבות האירוע.</t>
  </si>
  <si>
    <t>רצח, אזרחים, קשישים, כללי מעורבות, פשעי מלחמה, קבורה, עדות פלסטינית, הוצאה להורג</t>
  </si>
  <si>
    <t>טבח במחנה הפליטים ג'בליה</t>
  </si>
  <si>
    <t>כחלק ממבצע גדול בצפון עזה, תקיפות אוויריות ישראליות פגעו ב-11 בנייני מגורים במחנה הפליטים ג'בליה, וכתוצאה מכך נהרגו יותר מ-150 פלסטינים.</t>
  </si>
  <si>
    <t>טיימס של עזה (@Timesofgaza)</t>
  </si>
  <si>
    <t>מחנה ג'באליה</t>
  </si>
  <si>
    <t>הפצצות, אזרחים, תקיפה אווירית, פשעי מלחמה</t>
  </si>
  <si>
    <t>פרשן ישראלי דן באיומים של ארה"ב להטיל אמברגו על נשק בעקבות הסנקציות על סיוע לעזה, בעוד פוליטיקאים ישראלים מקדמים תוכניות להתיישבות ברצועת עזה ולגרש תושביה.</t>
  </si>
  <si>
    <t>ארצות הברית איימה לאחרונה על אמברגו נשק אם ישראל לא תחזיר סיוע הומניטרי לצפון עזה, ומאשימה אותה בהרעבת פלסטינים במכוון כדי לגרש אותם ולחזק את השליטה באזור. בינתיים, חברי כנסת של הליכוד קידמו בגלוי את רעיון ההתיישבות בעזה, ללא גינוי מצד ראש הממשלה בנימין נתניהו. במקביל, פרשן בערוץ 12, עמית סגל, רמז על "התאמות גבול" ועל ביצוע המבצעי של "תכנית הגנרלים"—הכוונה להעברת האוכלוסייה של צפון עזה בכוח. ההערות של המגיב הישראלי כאן סימנו את תחילת השינוי בשיח הליברלי הישראלי בנוגע לפשעי מלחמה ישראלים באוקטובר 2024.</t>
  </si>
  <si>
    <t>תומר פרסיקו (@TomerPersico)</t>
  </si>
  <si>
    <t>עקירה בכפייה, טיהור אתני, פשעים נגד האנושות, אזרחים, סיוע הומניטרי, משפט הומניטרי, התנחלויות יהודיות בעזה, סרבנות</t>
  </si>
  <si>
    <t>ארצות הברית, ממשלת ישראל, צה״ל</t>
  </si>
  <si>
    <t>אנתוני בלינקן, דונלד טראמפ, ג'ו ביידן, בנימין נתניהו, עמית סגל</t>
  </si>
  <si>
    <t>פרשן ישראלי מדווח כי ישראל מפנה באופן שיטתי פלסטינים מצפון עזה כדי לפנות מקום להתיישבות יהודית.</t>
  </si>
  <si>
    <t>צה"ל מגרש באופן שיטתי פלסטינים מצפון עזה ללא הצדקה מבצעית, הורס בתים וחוסם סיוע הומניטרי. דו"ח של "הארץ" מצביע על כך שהתושבים מפונים בכוח מהשכונה הצפונית של הרצועה, ומציין כי "הצבא החל בשלב טיהור בצפון עזה תוך הכנה לשליטה טריטוריאלית ארוכת טווח" - מה שמפנה את הדרך להתיישבות יהודית עתידית. שר האוצר בצלאל סמוטריץ' ושר הביטחון הלאומי איתמר בן גביר הביעו תמיכה מפורשת בהתיישבות יהודית בעזה בכנס שנערך ב-21 באוקטובר 2024, מבלי שראש הממשלה בנימין נתניהו יאתגר את דבריהם, מה שמחזק את המסקנה שהגירושים הללו משרתים מטרות פוליטיות ולא ביטחוניות. ההערות של הפרשן הישראלי כאן התרחשו במקביל לשינוי השיח הליברלי הישראלי לגבי פשעי מלחמה ישראלים באוקטובר-נובמבר 2024.</t>
  </si>
  <si>
    <t>רעב כבד, טיהור אתני, עקירה בכפייה, פשעי מלחמה, סיוע הומניטרי, התנחלויות יהודיות בעזה, פשעים נגד האנושות, הימין הקיצוני בישראל, תוכנית האלופים, סרבנות</t>
  </si>
  <si>
    <t>בנימין נתניהו, איתמר בן גביר, בצלאל סמוטריץ', עמית סגל</t>
  </si>
  <si>
    <t>פרשן ישראלי מדווח כי ישראל מגרשת בכוח תושבי עזה כדי לאפשר התיישבות יהודית, תוך חבלה מכוונת בעסקאות חטופים כדי להאריך את המלחמה.</t>
  </si>
  <si>
    <t>ישראל מבצעת שני פשעים "עצומים" הקשורים זה בזה בעזה: גירוש שיטתי של פלסטינים מצפון עזה (אזור ג'בליה) כדי לפנות שטח להתנחלויות עתידיות, תוך כדי הקרבה מכוונת של 101 בני ערובה ישראלים על ידי חבלה בעסקאות שחרור פוטנציאליות. ראש הממשלה בנימין נתניהו ממשיך לחסום הסכמות לגבי בני ערובה - למרות התמיכה הציבורית והערכת שר הביטחון יואב גלנט ש'אין מה להשיג בעזה' - כדי להנציח את המלחמה ככיסוי לגירוש כפוי. השרים בצלאל סמוטריץ' ואיתמר בן גביר מקדמים אג'נדה של סיפוח דה פקטו באמצעות הרחבת ההתנחלויות, תוך הפרה בוטה של החוק הבינלאומי האוסר על העברת אוכלוסייה לשטחים הכבושים. חיילים מתבשרים: השירות שלכם מנוצל לביצוע פשעי מלחמה של טיהור אתני, בעוד בני ערובה נטושים הופכים לשחמט פוליטי. ההערות של המגיב הישראלי כאן התרחשו במקביל לשינוי בדיסקורס הליברלי הישראלי לגבי פשעי מלחמה ישראליים באוקטובר-נובמבר 2024.</t>
  </si>
  <si>
    <t>טיהור אתני, עסקת בני ערובה, בני ערובה, פשעי מלחמה, הימין הקיצוני בישראל, התנחלויות יהודיות בעזה, תוכנית האלופים, סרבנות</t>
  </si>
  <si>
    <t>יואב גלנט, בנימין נתניהו, בצלאל סמוטריץ'</t>
  </si>
  <si>
    <t>פרשן ישראלי מדווח כי שר האוצר סמוטריץ' הכריז שהמלחמה חשובה יותר מהצלת החטופים.</t>
  </si>
  <si>
    <t>הצהרתו של שר האוצר בצלאל סמוטריץ' כי "לא אתמוך בעסקת שחרור בני ערובה שתסיים את המלחמה. אני מאמין שנכון להקים התנחלויות בעזה, ויהיו התנחלויות בעזה, אם כי זה לא בין מטרות המלחמה," חושפת מציאות מטרידה – ישראל דוחה עסקאות שחרור החטופים כדי להמשיך במלחמה שמטרתה האמיתית הפכה להרחבת ההתנחלויות בעזה. למרות שחמאס פורק ככוח שלטוני והפך לארגון גרילה בלבד, המבצעים הצבאיים נמשכים מעבר לצרכים אסטרטגיים. ישראל אינה מוכנה לאפשר לרשות הפלסטינית להיכנס לעזה אך בו זמנית אינה יכולה לשמור על שליטה צבאית מלאה בשל מגבלות כוח אדם ועלויות כלכליות. זה הוביל לטרנספר הדרגתי של פלסטינים מצפון עזה (מעל 70,000 פלסטינים כבר גורשו מג'בליה והאזורים הסובבים בזמן כתיבת פוסט זה) – פשע מלחמה שמאפשר שליטה בשטח ללא אחריות על תושביו תוך הכנת הקרקע להתנחלויות יהודיות, כפי שסמוטריץ' עצמו הצהיר בבירור. המלחמה הפכה אם כן לכלי המשרת את האג'נדה המשיחית של מיעוט פוליטי שאינו מייצג את הציבור הרחב, תוך הקרבת החטופים וחיילי צה"ל על מזבח הרחבת ההתנחלויות, למרות הצהרתו של שר הביטחון יואב גלנט כי צה"ל כבר השיג את מטרותיו הצבאיות בעזה. ההערות של הפרשן הישראלי כאן התרחשו במקביל לשינוי בשיח הליברלי הישראלי בנוגע לפשעי מלחמה ישראליים באוקטובר-נובמבר 2024.</t>
  </si>
  <si>
    <t>טיהור אתני, עסקת בני ערובה, בני ערובה, עקירה בכפייה, פשעים נגד האנושות, אזרחים, הימין הקיצוני בישראל, התנחלויות יהודיות בעזה, פשעי מלחמה</t>
  </si>
  <si>
    <t>ממשלת ישראל, הרשות הפלסטינית, צה״ל</t>
  </si>
  <si>
    <t>בצלאל סמוטריץ', יואב גלנט</t>
  </si>
  <si>
    <t>ישראל מפנה אזרחים מהמחסה האחרון בצפון עזה</t>
  </si>
  <si>
    <t>הפרשן הישראלי משתף כי ערוץ הטלגרם של העיתונאי הישראלי עמית סגל מדווח שהמחסה האחרון שנותר לאזרחים ברבע הצפוני ביותר של רצועת עזה פונה ('יציאה מבית לאהיה, בעקבות פינוי המחסה הפעיל האחרון בצפון עזה'). לא ניתן הסבר מדוע זה קורה, ולא אם אזרחים שהועברו יוכלו לחזור. אם הפינוי הזה חסר הצדקה צבאית ברורה—או אם התושבים מנועים מלחזור—זה מהווה גירוש כפוי בלתי חוקי. טיהור אתני. הגירוש הוא חלק מהמבצע הגדול בצפון עזה בסוף 2024.</t>
  </si>
  <si>
    <t>טיהור אתני, עקירה בכפייה, אזרחים, חדשות, התנחלויות, רשתות חברתיות, פשעי מלחמה</t>
  </si>
  <si>
    <t>עמית סגל</t>
  </si>
  <si>
    <t>פינוי חולים קריטיים מבית החולים קמאל אדואן</t>
  </si>
  <si>
    <t>צוותי סיוע הומניטריים בראשות ארגון הבריאות העולמי מפנים 14 מטופלים מקמאל עדואן לבית החולים שיפא. צה"ל מונע סיוע קריטי, מזון, ציוד ותרופות.</t>
  </si>
  <si>
    <t>סוכנות האומות המאוחדות לסיוע הומניטרי (UNOCHA)</t>
  </si>
  <si>
    <t>❌</t>
  </si>
  <si>
    <t>בריאות הציבור, עובדי בריאות, בית חולים, תרופות, סיוע הומניטרי, דלק, מזון, אזרחים, עקירה בכפייה</t>
  </si>
  <si>
    <t>צה״ל, ארגון הבריאות העולמי</t>
  </si>
  <si>
    <t>צה"ל נשאר בג'באליה כדי למנוע את חזרת התושבים האזרחיים</t>
  </si>
  <si>
    <t>יניב קובוביץ' מדווח בהארץ: "למרות שהושגו מטרות המלחמה, תחת לחץ פוליטי, צה"ל נשאר בג'בליה כדי למנוע מהתושבים לחזור."</t>
  </si>
  <si>
    <t>מצור, אזרחים, עקירה בכפייה</t>
  </si>
  <si>
    <t>בית ספר עולה בלהבות בעקבות חדירת צה"ל</t>
  </si>
  <si>
    <t>עיתונאי מעזה מדווח על הנזק לבית הספר מהדיה אל-שוואה בבת חנון, אשר נשרף בעקבות מבצע צבאי באזור. בית הספר, ששימש מחסה לאזרחים מפונים, פונה כאשר האזור הסובב עמד בפני הפגזות מוגברות ונזק מתמשך לתשתיות.</t>
  </si>
  <si>
    <t>בתי ספר, מבצע קרקעי, אזרחים, עקירה בכפייה, סקולסטיסייד (השמדת מערכת חינוך), הצתה, הרס, דיווח עיתונאי</t>
  </si>
  <si>
    <t>עיתונאי מעזה מדווח מבית ספר שהופצץ, ששימש מחסה למפונים</t>
  </si>
  <si>
    <t>העיתונאי חוסאם שבת מדווח מבית ספר שהופצץ, ששימש מחסה למפונים. הוא מתאר את התנאים הבלתי נסבלים שבהם נתקלים אזרחים במהלך הפצצות יומיות מתמשכות ומפרט את הסצנות הנוראיות מההפצצות, כולל חלקי גוף מבותרים.</t>
  </si>
  <si>
    <t>בית הספר אבו-אסי</t>
  </si>
  <si>
    <t>תקיפה אווירית, הפצצות, אזרחים, עקירה בכפייה, בתי ספר, סקולסטיסייד (השמדת מערכת חינוך), פשעי מלחמה</t>
  </si>
  <si>
    <t>תיעוד מהפצצה בבית ספר שבו שהו משפחות מפונים</t>
  </si>
  <si>
    <t>וידאו ששיתף העיתונאי חוסאם שבאת מציג אזרחים פצועים והרוגים בעקבות הפצצת בניין בית ספר שבו חיפשו משפחות מפונים מקלט. בפוסט שלו, שבאת מאשים את הכוחות הישראלים ברצח עם ובטיהור אתני, וטוען ש-90% מבנייני עזה נהרסו, מה שמשאיר למשפחות שום ברירה אלא למצוא מקלט בבתי ספר - שהופכים למטרות.</t>
  </si>
  <si>
    <t>בית ספר בעיר עזה</t>
  </si>
  <si>
    <t>תקיפה אווירית, הפצצות, אזרחים, גופות, תוכן מטריד, טיהור אתני, רצח עם, דיווח עיתונאי, סקולסטיסייד (השמדת מערכת חינוך), בתי ספר</t>
  </si>
  <si>
    <t>התקפה אווירית על בית שהביאה למותם של כ-50 אזרחים, רובם נשים וילדים.</t>
  </si>
  <si>
    <t>דיווח של העיתונאי חוסאם שבאת על תקיפה אווירית ממוקדת בבית בבת לאהיא, בה נהרגו כ-50 אזרחים, רובם נשים וילדים. הפוסט מבקר את הקהילה הבינלאומית על שתיקתה לנוכח הטבח המתמשך והמצור על רצועת עזה.</t>
  </si>
  <si>
    <t>הפצצות, ילדים, אזרחים, טיהור אתני, מצור, דיווח עיתונאי, תקיפה אווירית</t>
  </si>
  <si>
    <t>עיתונאי מספר על כאב הניתוק משפחתו ועל תנאי חייהם הקשים בעיצומה של מלחמה</t>
  </si>
  <si>
    <t>פוסט של העיתונאי חוסאם שבאת המתאר את הכאב של הפרידה ממשפחתו וואת תנאי חייהם הקשים במלחמה. לאחרונה הוא ערך שיחת וידאו עם בני משפחתו, שפונו מבתיהם וכעת חיים באוהל ישן ובהיעדר צרכים בסיסיים. הפוסט מדגיש את האתגרים שהם מתמודדים איתם ואת חוסר היכולת של העיתונאי לעזור להם בשל פציעה ונסיבות אחרות.</t>
  </si>
  <si>
    <t>אזרחים, עקירה בכפייה, עיתונאים, משבר הומניטרי, עדות פלסטינית, משפחה</t>
  </si>
  <si>
    <t>חיילי צה"ל מצלמים בתוך ומסביב לבית משפחה</t>
  </si>
  <si>
    <t>תמונות של חיילי צה"ל שצולמו בתוך בית ובבניינים השרופים וההרסניים שסביב. אחת התמונות מראה חיילים לועגים לתמונה שנמצאה בבית; אחרת מראה חייל מצטלם עם ספל שעליו שם ותמונה של ילד. הפוסט פונה לילד שעל הספל (סוהייב ג'סאן תומאן), ומודיע לו על התמונות ועל הפשיטה על ביתו.</t>
  </si>
  <si>
    <t>הצתה, ילדים, אזרחים, מבצע קרקעי, הריסה, ונדליזם, פשעי מלחמה, דה־הומניזציה (שלילת אנושיות), לעג, דומיסייד (השמדת מרחבי מחיה)</t>
  </si>
  <si>
    <t>קצין צה"ל מסיירת גבעתי כתב פוסטים מפורשים על רצח עם</t>
  </si>
  <si>
    <t>קצין צה"ל מסיירת גבעתי, שלומי וורמסטין, כתב פוסטים מפורשים על רצח עם כדי למחוק את תושבי עזה מעל פני האדמה ולרוקן את עזה לאחר השמדת כל מה שיש בה.</t>
  </si>
  <si>
    <t>רצח עם, התנחלויות, הסתה לרצח עם, התנחלויות יהודיות בעזה, טיהור אתני, הרס</t>
  </si>
  <si>
    <t>רפיח, רצועת עזה, עיר עזה</t>
  </si>
  <si>
    <t>רב-סמל בצה"ל מודה שהוא הורס בתים בעזה ללא סיבה.</t>
  </si>
  <si>
    <t>רב-סמל ישראלי מעיד שהוא הורס בתים בעזה ללא סיבה ומפרסם סרטון על פעולות כאלה.</t>
  </si>
  <si>
    <t>אורביסייד (השמדת ערים), הריסה, הרס, סרטי חיילים ישראלים, תמונות חיילים ישראלים, רשתות חברתיות</t>
  </si>
  <si>
    <t>קברי המונים התגלו בעקבות נסיגת צה"ל מאזורים שונים ברצועת עזה [אינפוגרפיקה]</t>
  </si>
  <si>
    <t>אינפוגרפיקה על יותר מ-130 קברי המונים שנמצאו ברצועת עזה בעקבות נסיגת צה"ל מאזורים שונים.</t>
  </si>
  <si>
    <t>קבורה, דה־הומניזציה (שלילת אנושיות), גופות, דו"ח רשמי, בית קברות</t>
  </si>
  <si>
    <t>רצועת עזה, ג'באליה, רפיח, עיר עזה, חאן יונס, בית החולים האינדונזי</t>
  </si>
  <si>
    <t>שמות ותמונות של 458 עובדי בריאות שנרצחו על ידי כוחות הכיבוש הישראלים בפלסטין מאז 7 באוקטובר 2023</t>
  </si>
  <si>
    <t>שמות ותמונות של 458 עובדי בריאות שנהרגו על ידי כוחות צה"ל מאז 7 באוקטובר 2023, מהם 153 רופאים, 124 אחיות ו-181 עובדים נוספים בתחום הבריאות.</t>
  </si>
  <si>
    <t>רצועת עזה, הגדה המערבית</t>
  </si>
  <si>
    <t>עובדי בריאות, בריאות הציבור, מוות</t>
  </si>
  <si>
    <t>פקיד בכיר בארה"ב מאשר: "משלוח הנשק הוקפא כדי להעביר מסר של התנגדות לפעולה צבאית ברפיח"</t>
  </si>
  <si>
    <t>פקיד בכיר בממשל ביידן אישר כי ארצות הברית דחתה משלוח נשק לישראל כדי להעביר מסר של התנגדות לפעולה צבאית ברפיח. ארצות הברית חוששת מהאופן שבו תשתמש בפצצות כבדות ברפיח, שם נמצאים מאות אלפי אנשים מפונים. המשלוח כלל פצצות במשקל 900 קילוגרם ו-225 קילוגרם.</t>
  </si>
  <si>
    <t>תקיפה אווירית, הפצצות, פצצה במשקל טון, אזרחים, עקירה בכפייה, סיוע צבאי אמריקאי</t>
  </si>
  <si>
    <t>ישראל, רפיח, רצועת עזה</t>
  </si>
  <si>
    <t>ג'ו ביידן</t>
  </si>
  <si>
    <t>מחקר גילה שכמעט כל ההפגנות בקמפוסים בנושא עזה בארצות הברית לא היו אלימות.</t>
  </si>
  <si>
    <t>ניתוח של 553 הפגנות בקמפוסים בכל רחבי ארצות הברית בין 18 באפריל ל-3 במאי 2024 מצא שפחות מ-20 מהן הובילו לסוג כלשהו של אלימות בין-אישית חמורה או נזק לרכוש, לפי סטטיסטיקות מפרויקט נתוני מיקום ואירועים של סכסוכים מזוינים (Acled). במהלך אותו פרק זמן, Acled תיעד לפחות 70 מקרים של התערבות כוחנית של המשטרה נגד הפגנות בקמפוסים בארצות הברית.</t>
  </si>
  <si>
    <t>אלימות, אקדמיה, מחאה (בינלאומית)</t>
  </si>
  <si>
    <t>יותר מ-95% מהאסירים בבתי חולים בישראל אזוקים במהלך טיפול רפואי</t>
  </si>
  <si>
    <t>מחקר מגלה שיותר מ-95% מהאסירים בבתי חולים בישראל אזוקים במהלך טיפול רפואי, מה שמעורר חששות אתיים לגבי הטיפול בהם.</t>
  </si>
  <si>
    <t>מיטל יסור בית-אור</t>
  </si>
  <si>
    <t>בריאות הציבור, אלימות, אסירים, בית חולים, תנאי שבי</t>
  </si>
  <si>
    <t>משרד הבריאות הישראלי, שירות בתי הסוהר</t>
  </si>
  <si>
    <t>סקר: ניגוד בין העמדות של הישראלים לממשלת ארצות הברית</t>
  </si>
  <si>
    <t>סקר המדד החודשי של החברה הישראלית של המכון למדיניות העם היהודי (JPPI) חושף חוסר הסכמה משמעותי בין דעת הקהל הישראלית לבין הממשל האמריקאי בנוגע למדיניות בנושא עזה וחיזבאללה. רק 5% מהישראלים היהודים מסכימים עם ההצעה האמריקאית: שליטת הרשות הפלסטינית בעזה יחד עם אחרים. 44% מהציבור הישראלי מאמינים שישראל צריכה לפתוח חזית שנייה נגד חיזבאללה בהקדם האפשרי. 36% מהיהודים בישראל מאמינים שיש להקים שליטה ישראלית על כל רצועת עזה, ו-26% תומכים בשיקום ההתנחלויות בגוש קטיף.</t>
  </si>
  <si>
    <t>המכון למדיניות העם היהודי (JPPI)</t>
  </si>
  <si>
    <t>דעת קהל, החברה הישראלית, הפסקת אש</t>
  </si>
  <si>
    <t>חיזבאללה, ארצות הברית, הרשות הפלסטינית</t>
  </si>
  <si>
    <t>ישראל, רצועת עזה, לבנון</t>
  </si>
  <si>
    <t>רוב הציבור הישראלי תומך בפעולה צבאית ברפיח</t>
  </si>
  <si>
    <t>סקר שנערך על ידי "גלובס" מגלה כי רוב הציבור הישראלי תומך בפעולה צבאית ברפיח, למרות ההתנגדות האמריקאית. בנוסף, כמעט 2/3 מהציבור הישראלי סבורים כי ישראל עושה כל מה שהיא יכולה כדי למנוע פגיעה באזרחים בעזה. 44% מהציבור הישראלי חושבים שישראל צריכה לאפשר סיוע הומניטרי לעזה רק בתנאי שישוחררו החטופים.</t>
  </si>
  <si>
    <t>גלובס</t>
  </si>
  <si>
    <t>גלובוס</t>
  </si>
  <si>
    <t>סקר</t>
  </si>
  <si>
    <t>דעת קהל, החברה הישראלית, אזרחים, סיוע הומניטרי, ענישה קולקטיבית, עסקת בני ערובה, דיווח עיתונאי</t>
  </si>
  <si>
    <t>ארצות הברית, איראן, חמאס</t>
  </si>
  <si>
    <t>רוב הישראלים תומכים בהסכם עם חמאס</t>
  </si>
  <si>
    <t>סקר שנערך על ידי המכון הישראלי לדמוקרטיה מגלה כי רוב הישראלים תומכים בהסכם עם חמאס, עם רמות שונות של אופטימיות לגבי ביטחון לאומי בין קבוצות דמוגרפיות שונות.</t>
  </si>
  <si>
    <t>תמר הרמן, ליאור יוחנני, ירון קפלן, איננה אורלי ספוגניקוב</t>
  </si>
  <si>
    <t>דעת קהל, החברה הישראלית, עסקת בני ערובה, דו"ח רשמי</t>
  </si>
  <si>
    <t>חמאס, איראן</t>
  </si>
  <si>
    <t>רוב המשיבים היהודים פסימיים לגבי הגעה להסכם לשחרור החטופים.</t>
  </si>
  <si>
    <t>סקר שנערך באוגוסט 2024 מגלה כי רוב המשיבים היהודים פסימיים לגבי הגעה להסכם לשחרור החטופים, עם דעות שונות בין המפלגות הפוליטיות לגבי פעולות צבאיות ומניעים פוליטיים. רוב המצביעים מהשמאל סבורים כי שליטה במעבר פילדלפי היא תנאי שמשמש כדי למנוע הסכם לשחרור חטופים בשל האינטרסים הפוליטיים של נתניהו. רוב המצביעים מהימין סבורים כי שליטה במעבר פילדלפי היא צורך צבאי.</t>
  </si>
  <si>
    <t>תמר הרמן, ליאור יוחנני, ירון קפלן</t>
  </si>
  <si>
    <t>דעת קהל, עסקת בני ערובה, החברה הישראלית, דו"ח רשמי</t>
  </si>
  <si>
    <t>חמאס, ממשלת ישראל, לבנון</t>
  </si>
  <si>
    <t>ישראל, ציר פילדלפי</t>
  </si>
  <si>
    <t>ישראל יכולה לנטר כל שיחת טלפון בגדה המערבית ובעזה, אומר מקור מודיעיני</t>
  </si>
  <si>
    <t>חבר לשעבר ביחידת 8200 חושף כי ישראל יכולה לעקוב אחרי כל שיחת טלפון בגדה המערבית וברצועת עזה, ומדגיש את טקטיקות המעקב הנרחבות המופעלות נגד הפלסטינים.</t>
  </si>
  <si>
    <t>לובנה מסראווה</t>
  </si>
  <si>
    <t>התעללות, צנזורה, עיתונאים, הגבלת חופש הביטוי</t>
  </si>
  <si>
    <t>צה״ל, הרשות הפלסטינית</t>
  </si>
  <si>
    <t>הגדה המערבית, רצועת עזה</t>
  </si>
  <si>
    <t>מחלקת המדינה של ארצות הברית זייפה דוח שפוטר את ישראל מאשמה בעניין הסיוע ההומניטרי לעזה</t>
  </si>
  <si>
    <t>פקידה בכירה לשעבר בממשלת ארה"ב, סטייסי גילברט, התפטרה מתפקידה בטענה כי מחלקת המדינה זייפה דוח כדי לפטור את ישראל מאחריות על חסימת סיוע הומניטרי לעזה, בניגוד לדעות של המומחים שלה.</t>
  </si>
  <si>
    <t>ג'וליאן בורגר</t>
  </si>
  <si>
    <t>סיוע הומניטרי, דו"ח רשמי</t>
  </si>
  <si>
    <t>ממשלת ישראל, צה״ל, ארצות הברית</t>
  </si>
  <si>
    <t>תוכנית הגנרלים של עשרות קציני מילואים בכירים: 'מצור על החלק הצפוני של רצועת עזה'</t>
  </si>
  <si>
    <t>פורום קציני מילואים מציג תוכנית להטיל מצור צבאי על צפון עזה, בטענה שהמבצעים הנוכחיים אינם מספיקים כדי להביס את חמאס ולהשיג את שחרורם החטופים.</t>
  </si>
  <si>
    <t>איתמר איחנר</t>
  </si>
  <si>
    <t>משפט הומניטרי, בני ערובה, ענישה קולקטיבית, רעב כבד</t>
  </si>
  <si>
    <t>איך המלחמה הרסה את השכונות בעזה – חקירה חזותית</t>
  </si>
  <si>
    <t>חקירה של הגארדיאן מפרטת את ההרס ההמוני של בניינים ואדמות בשכונות עזה בעקבות הסכסוך המתמשך, ומדגישה את ההשפעה על האזרחים ואת המושג 'domicide'.</t>
  </si>
  <si>
    <t>נילס דה הוג, אנטוניו ווצ'ה, אלנה מורסי, מנישה גנגלי, אשלי קירק</t>
  </si>
  <si>
    <t>טקסט, תמונה, אודיו</t>
  </si>
  <si>
    <t>הרס אתרים תרבותיים, דומיסייד (השמדת מרחבי מחיה), אזרחים, פשעי מלחמה, בריאות הציבור, בתי ספר, משבר הומניטרי</t>
  </si>
  <si>
    <t>רצועת עזה, בית חאנון, חאן יונס</t>
  </si>
  <si>
    <t>סקר יוני 2024: כמעט 80% מהציבור היהודי, כולל רוב מצביעי הליכוד, תומכים בגיוס כללי או מדורג של חרדים</t>
  </si>
  <si>
    <t>סקר שנערך ביוני 2024 מגלה שכמעט 80% מהציבור היהודי, כולל רוב מצביעי הליכוד, תומכים בגיוס כללי או מדורג של חרדים בישראל.</t>
  </si>
  <si>
    <t>דעת קהל, החברה הישראלית, ניתוח, דיווח עיתונאי</t>
  </si>
  <si>
    <t>סגן אלוף סיפר לערוץ 14 על רצח תינוקות וניצולת שואה בבארי — אירועים שמעולם לא התרחשו.</t>
  </si>
  <si>
    <t>סגן אלוף שהתראיין לערוץ 14 טען כי היה עד לרצח של שמונה תינוקות ולרצח של ניצולת שואה בקיבוץ בארי, אירועים שהוא הצהיר מאוחר יותר שלא התרחשו בפועל.</t>
  </si>
  <si>
    <t>ליזה רוזובסקי, ג'וש בריינר</t>
  </si>
  <si>
    <t>ילדים, רצח, עדות, תעמולה</t>
  </si>
  <si>
    <t>גיא בסון</t>
  </si>
  <si>
    <t>רוב האמריקאים כעת מתנגדים לפעולה הישראלית בעזה</t>
  </si>
  <si>
    <t>רוב האמריקאים כיום מתנגדים לפעולות הצבאיות של ישראל בעזה, מה שמשקף שינוי משמעותי בדעת הקהל מאז נובמבר 2023, כאשר שיעור התמיכה ירד מ-50% ל-36% במרץ 2024.</t>
  </si>
  <si>
    <t>ג'פרי מ. ג'ונס</t>
  </si>
  <si>
    <t>דעת קהל, משבר הומניטרי, הפסקת אש, דיווח עיתונאי</t>
  </si>
  <si>
    <t>רוב המצביעים הדמוקרטיים בארצות הברית מאמינים שישראל מבצעת רצח עם</t>
  </si>
  <si>
    <t>רוב המצביעים הדמוקרטים בארצות הברית מאמינים שישראל מבצעת רצח עם נגד הפלסטינים בעזה, לפי סקר חדש. זאת למרות הכחשות של מנהיגות המפלגה הדמוקרטית. בנוסף, דעת הקהל הולכת ונעשית ביקורתית יותר כלפי המימון האמריקאי של הסיוע צבאי לישראל.</t>
  </si>
  <si>
    <t>מהדי חסן</t>
  </si>
  <si>
    <t>רצח עם, דעת קהל, הפסקת אש, סיוע הומניטרי, מדיה, סיוע צבאי אמריקאי</t>
  </si>
  <si>
    <t>סקר מאי 2024: הערכה כללית נמוכה של ביצועי הממשלה מאז 7.10 בניהול הלחימה בצפון ובדרום, ביחסי ציבור ובטיפול במפונים</t>
  </si>
  <si>
    <t>סקר מאי 2024 חושף אמון ציבורי נמוך בביצועי הממשלה הישראלית בנוגע לניהול הלחימה ולטיפול במפונים מאז ה-7 באוקטובר. 80% מהציבור מאמינים שאין לממשלת ישראל תוכניות ליום שאחרי המלחמה. רוב המצביעים היהודים בישראל סבורים כי צווי המעצר של בית הדין הפלילי הבינלאומי נגד בנימין נתניהו ויואב גלנט נובעים מהטיה נגד ישראל. רק 10 אחוז מהיהודים הישראלים מאמינים שצווי המעצר קשורים להתנהלות ישראל בזמן המלחמה.</t>
  </si>
  <si>
    <t>דעת קהל, ניתוח, מעצר, החברה הישראלית, פלסטינים אזרחי ישראל</t>
  </si>
  <si>
    <t>ממשלת ישראל, צה״ל, בית הדין הפלילי הבינלאומי</t>
  </si>
  <si>
    <t>סקר דצמבר 2023: רק 15% מהציבור חושבים שנתניהו הוא ראש הממשלה המתאים ביותר לתפקיד לאחר סיום המלחמה</t>
  </si>
  <si>
    <t>סקר מדצמבר 2023 מגלה שרק 15% מהציבור מאמינים שנתניהו הוא האדם המתאים ביותר לתפקיד ראש הממשלה לאחר סיום המלחמה, עם חששות משמעותיים לגבי יציבות הקואליציה. חצי מהציבור תומך בפתיחת חזית נגד חיזבאללה בצפון. 56% סבורים שהמשך הלחימה העצימה הוא הדרך הטובה ביותר לשחרור בני ערובה. 66% מהאוכלוסייה מתנגדים למעבר לשלב חדש במלחמה, בהתאם לדרישות וושינגטון, שיכלול הפצצות פחות כבדות על ריכוזי אוכלוסייה אזרחית. 75% מהיהודים מתנגדים לשינוי זה, בעוד ש-56% מהאזרחים הפלסטינים בישראל תומכים במעבר לשלב החדש.</t>
  </si>
  <si>
    <t>תמר הרמן, אור ענבי</t>
  </si>
  <si>
    <t>דעת קהל, בני ערובה, החברה הישראלית, תקיפה אווירית, אזרחים, פלסטינים אזרחי ישראל</t>
  </si>
  <si>
    <t>חיזבאללה, ממשלת ישראל, צה״ל</t>
  </si>
  <si>
    <t>בנימין נתניהו, בני גנץ</t>
  </si>
  <si>
    <t>הוא לא הבין, הוא היה מפוחד: גבר פלסטיני עם מוגבלות נורה למוות על ידי צה"ל בבית חולים בעזה</t>
  </si>
  <si>
    <t>גבר פלסטיני עם מוגבלות נורה ב"יריית ישירה לצוואר" בעודו מוחזק בבית חולים על ידי חיילי צה"ל ברצועת עזה, כך נודע ל-ITV News. הגבר בן ה-39, שסבל מקשיי למידה חמורים, ברח לבית החולים אל-ח'יר הסמוך עם הוריו ואחיו לאחר שהבניין שבו גרו נפגע מהפגזה. זיינב אמרה שכמה אנשים ניסו להסביר לחיילים הישראלים שאחיה סובל ממוגבלות ושאין לו יכולת להבין את ההוראות שניתנות לו, טענה שהושמעה גם על ידי עדי ראייה שדיברו עם ITV News.</t>
  </si>
  <si>
    <t>רוהיט קצ'רו, דן האוולס, לוטי קילריין</t>
  </si>
  <si>
    <t>בית חולים אל-ח'יר</t>
  </si>
  <si>
    <t>אזרחים, בריאות הציבור, בית חולים, אלימות, תוכן מטריד, דיווח עיתונאי, עדות פלסטינית, נכות</t>
  </si>
  <si>
    <t>חאן יונס, דרום רצועת עזה, רצועת עזה</t>
  </si>
  <si>
    <t>‘הוא ילד, בחתיכות!’: הסרטון המטריד מעזה שהצית זעם</t>
  </si>
  <si>
    <t>וידאו מטריד מעזה מראה ילד פצוע במהלך תקיפה אווירית ישראלית. כאשר עוברי אורח מתקרבים אליו כדי לעזור, פצצה שנייה פוגעת באותו אזור.</t>
  </si>
  <si>
    <t>ילדים, אזרחים, תקיפה אווירית, הפצצות, רשתות חברתיות</t>
  </si>
  <si>
    <t>רופא במתקן המעצר שדה תימן לשרים וליועצת המשפטית לממשלה: "כולנו הופכים לשותפים להפרת החוק"</t>
  </si>
  <si>
    <t>רופא במתקן שדה תימן מתאר את התנאים המסוכנים שבהם נתונים העזתים הכלואים, ומזהיר כי הם מפרים את הסטנדרטים החוקיים ומסכנים הן את בריאות העצורים והן את המעמד החוקי של המדינה. מאמר זה היה אחד מהסימנים המוקדמים בתקשורת הישראלית על ההתעללות הנרחבת בשדה תימן.</t>
  </si>
  <si>
    <t>מיכאל האוסר טוב, הגר שזף</t>
  </si>
  <si>
    <t>שדה תימן, ישראל</t>
  </si>
  <si>
    <t>בריאות הציבור, מתקן כליאה, משבר הומניטרי, התעללות, עינויים, דה־הומניזציה (שלילת אנושיות), עצורים, עובדי בריאות</t>
  </si>
  <si>
    <t>מרכז הכליאה שדה תימן</t>
  </si>
  <si>
    <t>דו"ח חדש: הריגת פלסטינים מורעבים, פגיעה במשאיות סיוע היא מדיניות ישראלית מכוונת להשלטת תנאי הרעב ברצועת עזה</t>
  </si>
  <si>
    <t>דו"ח של מוניטור זכויות האדם האירופאי-מזרח תיכוני (24 עמודים) מפרט את המדיניות המכוונת של ישראל המובילה לרעב של פלסטינים ברצועת עזה, ומדגיש את הרג האזרחים ואת הפגיעה בסיוע הומניטרי.</t>
  </si>
  <si>
    <t>מנטר זכויות האדם אירו-מד</t>
  </si>
  <si>
    <t>משבר הומניטרי, רעב כבד, ענישה קולקטיבית, רצח עם, אזרחים, חסימת סיוע, סיוע הומניטרי, טבח</t>
  </si>
  <si>
    <t>סקר פברואר 2024: 70% מהיהודים תומכים בשינוי הפטור לחרדים בחוק הגיוס החדש</t>
  </si>
  <si>
    <t>סקר שנערך בפברואר 2024 מגלה ש-70% מהיהודים תומכים בשינוי הפטור לחרדים בחוק הגיוס החדש, לצד תובנות שונות לגבי התחושות הלאומיות והתפיסות הביטחוניות בקרב ציבורים שונים בישראל. בין השאר, רוב היהודים הישראלים (74-12) רוצים להרחיב את המבצע הצבאי לרפיח, ורוב הישראלים מאמינים שהם יכולים לסמוך על ארצות הברית שתמשיך לתמוך בהם (39-20).</t>
  </si>
  <si>
    <t>תמר הרמן, ירון קפלן</t>
  </si>
  <si>
    <t>דעת קהל, החברה הישראלית, ניתוח</t>
  </si>
  <si>
    <t>בית משפט אמריקאי קובע כי 'סביר' שהלחימה בעזה נחשבת לרצח עם</t>
  </si>
  <si>
    <t>בית משפט פדרלי בקליפורניה קבע שהקמפיין הצבאי של ישראל בעזה "עשוי להיות" ג'נוסייד, תוך דחיית תביעה שנועדה לעצור את התמיכה הצבאית של ארה"ב בישראל בשל בעיות סמכות שיפוט.</t>
  </si>
  <si>
    <t>קליפורניה</t>
  </si>
  <si>
    <t>רצח עם, פשעים נגד האנושות, משבר הומניטרי</t>
  </si>
  <si>
    <t>ארצות הברית, צה״ל</t>
  </si>
  <si>
    <t>סקר יולי 2024: שיא של שני שלישים מהישראלים מגדירים את המצב הכללי כרע או רע מאוד</t>
  </si>
  <si>
    <t>סקר שנערך ביולי 2024 מגלה ששני שלישים מהציבור בישראל רואים את המצב הכללי כרע או רע מאוד, עם חוסר שביעות רצון ניכר כלפי הממשלה חוצה מחנות פוליטיים. הסקר כולל שאלות לגבי עמדות כלפי הממשלה, תנועת המחאה, עסקת חטופים פוטנציאלית, לבנון ונתניהו.</t>
  </si>
  <si>
    <t>דעת קהל, החברה הישראלית, ניתוח, עסקת בני ערובה</t>
  </si>
  <si>
    <t>ישראל, לבנון, רצועת עזה</t>
  </si>
  <si>
    <t>פסימיות בנוגע ל'יום שאחרי' מלחמת עזה נפוצה בקרב חוקרי המזרח התיכון</t>
  </si>
  <si>
    <t>סקר של מעל 750 חוקרי המזרח התיכון חושף פסימיות נרחבת לגבי הסיכויים לפתרון שתי המדינות לאחר מלחמת עזה, כאשר רבים מאמינים שהלחימה תוביל לעקירה המונית של פלסטינים. 57% מאמינים שהמטרה העיקרית של ישראל היא להפוך את עזה לבלתי ניתנת למגורים ו-75% הגדירו את פעולות ישראל כ"רצח עם" או "פשעי מלחמה חמורים הדומים לרצח עם".</t>
  </si>
  <si>
    <t>מרק לינץ', שיבלי תלחמי</t>
  </si>
  <si>
    <t>ניתוח, עקירה בכפייה, רצח עם, פשעי מלחמה, אקדמיה, טיהור אתני, סקר, פתרון שתי מדינות</t>
  </si>
  <si>
    <t>ישראלים אומרים שהגיע הזמן שהאחראים על ה-7 באוקטובר יתפטרו.</t>
  </si>
  <si>
    <t>סקר מגלה כי רוב משמעותי של ישראלים יהודים וערבים מאמין כי מי שאחראי לכישלון של 7 באוקטובר צריך להתפטר בעקבות המלחמה המתמשכת בעזה. הסקר גם מגלה כי 64% מהיהודים הישראלים ראו מעט או לא ראו תמונות או סרטונים על ההרס הנרחב בעזה. שאלות נוספות בסקר מתמקדות בביטחון אישי, ההשלכות של ההתקפה האיראנית על ישראל, הערכה של מלחמת עזה ושאלת העתיד של רצועת עזה.</t>
  </si>
  <si>
    <t>דעת קהל, החברה הישראלית, אחריותיות / מתן דין וחשבון, ניתוח, רשתות חברתיות, התנחלויות יהודיות בעזה, בני ערובה</t>
  </si>
  <si>
    <t>ממשלת ישראל, איראן</t>
  </si>
  <si>
    <t>סקר: חצי מהציבור הישראלי רואה סיכוי נמוך לניצחון מוחלט על חמאס</t>
  </si>
  <si>
    <t>הסקר מגלה שיותר מחצי מהציבור רואה סיכויים נמוכים ל"ניצחון מוחלט" במלחמה, עם הבדל ניכר בדעות בקרב משיבים יהודים לערבים לגבי סיוע הומניטרי לעזה. כ-68% מהישראלים היהודים מתנגדים לאפשר סיוע הומניטרי לעזה. שאלות נוספות כוללות את הסיכויים ל"ניצחון מוחלט" במלחמה, הסיכוי למדינה פלסטינית, דירוג האשראי של ישראל והמחאות הפנימיות בתוך ישראל.</t>
  </si>
  <si>
    <t>דעת קהל, סיוע הומניטרי, ניתוח, בני ערובה, מחאה (בישראל), החברה הישראלית</t>
  </si>
  <si>
    <t>חמאס</t>
  </si>
  <si>
    <t>רעב? המחקר שקובע: זמינות מזון בעזה – 3,374 קלוריות לאדם</t>
  </si>
  <si>
    <t>מחקר חדש של חוקרים מאוניברסיטת ירושלים ומאוניברסיטת בן גוריון מצביע על כך שזמינות המזון בעזה בין ינואר לאפריל 2024 עומדת בסטנדרטים הבינלאומיים, ואף עולה עליהם. וזאת, בניגוד לטענות על משבר הומניטרי.</t>
  </si>
  <si>
    <t>איתמר אייכנר</t>
  </si>
  <si>
    <t>מזון, סיוע הומניטרי, משבר הומניטרי, תת־תזונה</t>
  </si>
  <si>
    <t>COGAT</t>
  </si>
  <si>
    <t>הרציחות השקטות בעזה: חורבן מערכת הבריאות ברפיח [דו"ח]</t>
  </si>
  <si>
    <t>הדו"ח של רופאים ללא גבולות מדגיש את ההידרדרות החמורה במערכת הבריאות של עזה, שמובילה לעלייה במקרי המוות שניתן היה למנוע, ולתת תזונה בקרב ילדים ברפיח, על רקע הסכסוך המתמשך.</t>
  </si>
  <si>
    <t>רופאים ללא גבולות</t>
  </si>
  <si>
    <t>בריאות הציבור, תת־תזונה, משבר הומניטרי, ילדים, מחלות, הרס, עובדי בריאות</t>
  </si>
  <si>
    <t>רפיח, דיר אל-בלח, אל-מוואסי, מחנה הפליטים נוסייראת, נמל אשדוד, מעבר ניצנה</t>
  </si>
  <si>
    <t>זמן רעב</t>
  </si>
  <si>
    <t>המאמר טוען כי בעיות המזון והרעב ממחישות בבירור שעזה אינה טריטוריה פוליטית אלא כלוב המוני, אליו מוכנס מזון. הוא מבקר את מדידות הקלוריות.</t>
  </si>
  <si>
    <t>הזמן הזה</t>
  </si>
  <si>
    <t>עלמה איגרא</t>
  </si>
  <si>
    <t>מזון, תת־תזונה, מצור, רעב כבד, משבר הומניטרי</t>
  </si>
  <si>
    <t>גישה</t>
  </si>
  <si>
    <t>תכנון השיקום וההתאוששות של עזה לאחר המלחמה</t>
  </si>
  <si>
    <t>המאמר דן במאמצי השיקום וההתאוששות לאחר המלחמה בעזה בעקבות ההרס הנרחב. ההערכות כוללות מחירים ולוח זמנים לשיקום עזה.</t>
  </si>
  <si>
    <t>כלכלה, משבר הומניטרי, שיקום, אזרחים, סיוע הומניטרי, הרס</t>
  </si>
  <si>
    <t>5,500 נשים בעזה עומדות ללדת 'במרוץ נגד המוות'</t>
  </si>
  <si>
    <t>ראיון עם גורם רשמי בקרן האו"ם לאוכלוסייה, הדן במצבן הקשה של 5,500 נשים בהריון בעזה. הן מתמודדות עם אתגרים רפואיים חמורים על רקע הסכסוך המתמשך. המאמר מדגיש את הצורך הדחוף בסיוע הומניטרי ובהפסקת אש.</t>
  </si>
  <si>
    <t>בריאות הציבור, משבר הומניטרי, נשים, הפסקת אש, הריון</t>
  </si>
  <si>
    <t>האומות המאוחדות, UNFPA</t>
  </si>
  <si>
    <t>דו"ח חדש של האו"ם: השפעות המלחמה החזירו את ההתפתחות בעזה בלא פחות מ-69 שנים לאחור</t>
  </si>
  <si>
    <t>דו"ח חדש של תוכנית הפיתוח של האומות המאוחדות (UNDP) והוועדה הכלכלית והחברתית של האומות המאוחדות למערב אסיה (UNESCWA) מעריך כי ההשפעות של המלחמה החזירו את ההתפתחות בעזה לאחור בלא פחות מ-69 שנים, עם תחזיות לעלייה בעוני ולצמצום כלכלי משמעותי. ההערכה מצביעה על כך, שגם אם סיוע הומניטרי יינתן בכל שנה, הכלכלה עשויה שלא לשוב לרמתה שלפני המשבר במשך עשור או יותר. הדו"ח כולל תרחישים שונים לתוכניות התאוששות מוקדמות, ומחשב את קצב ההתפתחות תחת כל תרחיש.</t>
  </si>
  <si>
    <t>כלכלה, סיוע הומניטרי, משבר הומניטרי, שיקום, עוני</t>
  </si>
  <si>
    <t>פלסטיני נהרג במהלך מהומות מתנחלים ישראלים בגדה המערבית, אחרים נפצעו במהלך הפרעות.</t>
  </si>
  <si>
    <t>גבר פלסטיני נהרג ו-25 אחרים נפצעו בכפר בגדה המערבית, במהלך מהומות אלימות של מתנחלים ישראלים, לאחר היעלמותו של נער בן 14 מהתנחלות. גורמי בריאות פלסטיניים אומרים שיותר מ-460 פלסטינים נהרגו בגד המערבית מירי ישראלי מאז פרוץ המלחמה באוקטובר.</t>
  </si>
  <si>
    <t>אל-מועייר, נפת רמאללה</t>
  </si>
  <si>
    <t>אלימות, התנחלויות, אזרחים, ענישה קולקטיבית, אלימות מתנחלים</t>
  </si>
  <si>
    <t>אישה פלסטינית גילתה שהחיילים הישראלים חרטו בסכין מגן דוד על גבו של בעלה לאחר שעינו אותו.</t>
  </si>
  <si>
    <t>אישה פלסטינית גילתה שחיילים ישראלים חרטו בסכין מגן דוד על גבו של בעלה, לאחר שעינו אותו.</t>
  </si>
  <si>
    <t>עינויים, אלימות, נשים, השפלה</t>
  </si>
  <si>
    <t>איך אני שורד את הג'נוסייד נגד עמי</t>
  </si>
  <si>
    <t>עדות אישית המתארת את החוויה הקשה של משפחה במהלך תקיפה אווירית בעזה, מדגישה את הטראומה והכאוס של חיים תחת איום של רצח עם וחוויית פגיעות מרובות.</t>
  </si>
  <si>
    <t>שכונת א-תוואם בצפון עזה</t>
  </si>
  <si>
    <t>רצח עם, הפצצות, אזרחים, בריאות הציבור, תקיפה אווירית, עקירה בכפייה, פציעה, בית חולים, עדות פלסטינית</t>
  </si>
  <si>
    <t>צפון רצועת עזה, בית החולים א-שיפא, חאן יונס, רפיח</t>
  </si>
  <si>
    <t>סקר מראה כי יותר משליש מהאמריקאים מאמינים שישראל מבצעת רצח עם</t>
  </si>
  <si>
    <t>סקר מגלה שיותר משליש מהאמריקאים מאמינים שישראל מבצעת רצח עם נגד הפלסטינים, מה שמדגיש פערים פוליטיים ודוריים משמעותיים בדעות. כמעט חצי מהנשאלים בגיל 18-29, 49%, אומרים שישראל מבצעת רצח עם. המספרים דומים באופן כללי לדמוקרטים רשומים. הסקר מתפרסם לפני ההחלטה הזמנית של בית הדין הבינלאומי לצדק, בתיק של רצח עם, אשר הוגש נגד ישראל על ידי דרום אפריקה.</t>
  </si>
  <si>
    <t>דעת קהל, רצח עם, דיווח עיתונאי</t>
  </si>
  <si>
    <t>בית הדין הבינלאומי לצדק, ארצות הברית</t>
  </si>
  <si>
    <t>סקר ספטמבר 2024: יום השנה הראשון לאירועים של 7 באוקטובר ולמלחמה בעזה</t>
  </si>
  <si>
    <t>סקר דעת קהל שנערך על ידי מכון הדמוקרטיה הישראלי חושף שינויים משמעותיים בתחושת הביטחון האישי ובתנאים הכלכליים של הציבור הישראלי שנה לאחר אירועי 7 באוקטובר ומלחמת "חרבות ברזל". 53% מהנשאלים סבורים שהגיע הזמן לסיים את המלחמה, בעיקר משום שהמלחמה מסכנת את החטופים. רוב היהודים הישראלים השמאלנים והמרכזיים ורוב אזרחי ישראל הפלסטינים סבורים שיש לסיים את המלחמה, בניגוד ל-27% בלבד מהיהודים הישראלים הימניים. רוב מוחלט של היהודים הישראלים מאמין שהצבא הישראלי התנהג באופן מוסרי במהלך המלחמה. רוב משמעותי של פלסטינים בעלי אזרחות ישראלית מאמין שהוא לא. הדעות לגבי החובה לחקור דיווחים על עינויים והתעללות במעוכבים פלסטינים מקיימות נטייה דומה.</t>
  </si>
  <si>
    <t>דעת קהל, כלכלה, אלימות, בני ערובה, החברה הישראלית, התעללות, עינויים, עצורים, פלסטינים אזרחי ישראל</t>
  </si>
  <si>
    <t>סקר מהיר: מבצע "חיצי הצפון" - ממצאים עיקריים</t>
  </si>
  <si>
    <t>סקר דעת קהל שנערך על ידי מכון הדמוקרטיה הישראלי חושף תמיכה משמעותית בקרב הישראלים בפעולה צבאית נגד חיזבאללה על רקע הסכסוכים המתמשכים. המשיבים היהודים הישראלים הראו העדפה ברורה להעניק ביטחון ליישוב הצפוני של המדינה על ידי השמדת היכולות הצבאיות של חיזבאללה. לעומת זאת, פלסטינים בעלי אזרחות ישראלית תמכו באופן נחרץ בפתרון פוליטי המתווך על ידי הקהילה הבינלאומית, אשר יסיר את חיזבאללה מהגבול.</t>
  </si>
  <si>
    <t>דעת קהל, אלימות, החברה הישראלית, מבצע קרקעי, דו"ח רשמי, פלסטינים אזרחי ישראל</t>
  </si>
  <si>
    <t>חיזבאללה, צה״ל, לבנון</t>
  </si>
  <si>
    <t>ישראל, לבנון</t>
  </si>
  <si>
    <t>סקר: רוב האמריקאים אומרים שביידן צריך להפסיק את משלוחי הנשק לישראל</t>
  </si>
  <si>
    <t>סקר עדכני של YouGov CEPR מצביע על כך שרוב האמריקאים מאמינים שעל הנשיא ביידן להפסיק את משלוחי הנשק לישראל עד שהיא תפסיק את ההתקפות על עזה, מה שמדגיש פער משמעותי בדעות בין המפלגות. פער רחב בין המפלגות, כאשר תומכי ביידן תומכים בחסימת משלוחי הנשק ברוב חזק של 62%–14%; תומכי טראמפ מתנגדים ברוב של 55%–30%.</t>
  </si>
  <si>
    <t>מרכז למחקר כלכלי ומדיניות</t>
  </si>
  <si>
    <t>דעת קהל, החברה האמריקאית</t>
  </si>
  <si>
    <t>דו"ח וועדה של מועצת זכויות האדם של האומות המאוחדות מאשים את ישראל וחמאס בפשעי מלחמה</t>
  </si>
  <si>
    <t>דו"ח של ועדת מועצת זכויות האדם של האומות המאוחדות מאשים את ישראל ואת חמאס בפשעי מלחמה ופשעים נגד האנושות במהלך הסכסוך שהחל ב-7 באוקטובר. הדו"ח קובע כי ישראל מכוונת נגד אזרחים, עושה שימוש באלימות מינית ומשמידה במכוון תשתיות במטרה לרוקן את רצועת עזה מאוכלוסייתה. הדו"ח מאשים גם את חמאס בביצוע פשעי מלחמה, כולל אלימות מינית, ב-7 באוקטובר. ישראל מאשימה את מחבר הדו"ח באנטישמיות.</t>
  </si>
  <si>
    <t>אמיר טיבון</t>
  </si>
  <si>
    <t>פשעי מלחמה, פשעים נגד האנושות, אלימות, עקירה בכפייה, אלימות מינית, תשתיות</t>
  </si>
  <si>
    <t>חמאס, צה״ל, האומות המאוחדות</t>
  </si>
  <si>
    <t>יותר מ-100 אתרי מורשת בעזה נפגעו או נהרסו על ידי התקפות ישראליות</t>
  </si>
  <si>
    <t>דו"ח מפרט את ההרס והנזק ליותר מ-100 אתרי תרבות בעזה בעקבות התקיפות האוויריות הישראליות מאז שהסכסוך התגבר ב-7 באוקטובר 2023. בין האתרים: מסגד עומר הגדול, אחד המסגדים החשובים והעתיקים ביותר בפלסטין ההיסטורית; כנסיית סנט פורפיריוס, שנחשבת לכנסייה השלישית העתיקה ביותר בעולם; בית קברות רומאי בן 2,000 שנה בצפון עזה, שנחפר רק בשנה שעברה; ומוזיאון רפיח, מקום בדרום עזה שהוקדש ללימוד על המורשת הארוכה והרב-שכבתית של האזור.</t>
  </si>
  <si>
    <t>קלואי ולטמן</t>
  </si>
  <si>
    <t>הרס אתרים תרבותיים, ג'נוסייד תרבותי, מסגדים, הרס, תקיפה אווירית</t>
  </si>
  <si>
    <t>דו"ח אומר כי ישראל לא סיפקה ראיות למיליטנטיות נרחבת בקרב עובדי אונר"א</t>
  </si>
  <si>
    <t>דו"ח מצביע על כך שישראל לא הצליחה להוכיח טענות על פעילות מיליטנטית נרחבת בקרב עובדי אונר"א, תוך קריאה לשיפור תהליכי בדיקה ורפורמות בתוך הסוכנות.</t>
  </si>
  <si>
    <t>קלייר פרקר</t>
  </si>
  <si>
    <t>סיוע הומניטרי, מימון, קמפיין נגד אונר״א</t>
  </si>
  <si>
    <t>חמאס, אונר״א</t>
  </si>
  <si>
    <t>אנטוניו גוטרש, פיליפ לזאריני</t>
  </si>
  <si>
    <t>הקמפיין הצבאי של ישראל הותיר את מערכת הבריאות בעזה קרובה לקריסה.</t>
  </si>
  <si>
    <t>הקמפיין הצבאי של ישראל בעזה השפיע קשות על מערכת הבריאות באזור, והביא את שירותי הבריאות לסף קריסה תוך כדי הסכסוך המתמשך. עד סוף מרץ, רק 10 מתוך 36 בתי החולים בעזה היו "פונקציונליים במינימום".</t>
  </si>
  <si>
    <t>ווויון נריים, אבו בכר בשיר</t>
  </si>
  <si>
    <t>בריאות הציבור, משבר הומניטרי, הפצצות, מניין ההרוגים בעזה, ציוד רפואי מתכלה, בית חולים, הרס, עובדי בריאות</t>
  </si>
  <si>
    <t>בית החולים נאסר, בית החולים א-שיפא, בית החולים אל-אקצא</t>
  </si>
  <si>
    <t>רעב מתקרב בעזה מראה על חזרת המצור האזרחי במלחמות</t>
  </si>
  <si>
    <t>קיים סיכון מיידי לרעב בעזה בשל הסכסוך המתמשך, שמדגיש שזהו החלק הגדול ביותר מאוכלוסייה בסיכון לרעב, בהיסטוריה האחרונה. המאמר כולל את דחיית ישראל את ההאשמה שהיא מונעת עזרה.</t>
  </si>
  <si>
    <t>סטפני נולן</t>
  </si>
  <si>
    <t>רעב כבד, משבר הומניטרי, מצור, מזון, אזרחים</t>
  </si>
  <si>
    <t>האומות המאוחדות, COGAT</t>
  </si>
  <si>
    <t>רוב הישראלים נותנים דירוגים נמוכים לראש הממשלה נתניהו; דירוגים גבוהים לרמטכ"ל צה"ל, הלוי</t>
  </si>
  <si>
    <t>סקר מהיר חושף את הדעות הציבוריות על ביצועי המנהיגים הישראלים במהלך הסכסוך הנוכחי, ומדגיש הבדלים משמעותיים בתפיסות בין משיבים יהודים לערבים. בין המשיבים היהודים, ראש הממשלה נתניהו קיבל דירוג חיובי מ-32% מהמדגם, הרמטכ"ל, הלוי, קיבל את הדירוג הגבוה ביותר - 55% מהמשיבים היהודים מעריכים אותו בחיוב. שר האוצר, סמוטריץ', קיבל את הדירוג הנמוך ביותר, 21.5% העריכו אותו בחיוב.</t>
  </si>
  <si>
    <t>דעת קהל, החברה הישראלית, דיווח עיתונאי</t>
  </si>
  <si>
    <t>בצלאל סמוטריץ', בנימין נתניהו, בני גנץ, יואב גלנט, הרצי הלוי</t>
  </si>
  <si>
    <t>הסקר של יום אחרי: 44% מהציבור רוצים ליישב מחדש את עזה. 58% תומכים בבחירות חדשות.</t>
  </si>
  <si>
    <t>סקר עדכני מגלה ש-44% מהציבור הישראלי תומכים בחידוש ההתיישבות היהודית בעזה לאחר הסכסוך הנוכחי (39% מתנגדים), בעוד שהדעות משתנות באופן משמעותי לפי הזדהות פוליטית. 36% עברו ימינה מאז תחילת המלחמה ורק 6% עברו שמאלה.</t>
  </si>
  <si>
    <t>עמית סגל, בן כספית</t>
  </si>
  <si>
    <t>מדגם</t>
  </si>
  <si>
    <t>דעת קהל, התנחלויות יהודיות בעזה, החברה הישראלית, סקר, דיווח עיתונאי</t>
  </si>
  <si>
    <t>צה"ל הופך בית ספר בעזה לבסיס צבאי</t>
  </si>
  <si>
    <t>העיתונאי הישראלי אמיר בוחבוט חושף בטעות כי דיוויזיה 162 הייתה מוצבת בתוך חצר בית ספר ומפרה את החוק ההומניטרי הבינלאומי, במיוחד את אמנת ג'נבה הרביעית. המעשה נחשב לפשע מלחמה.</t>
  </si>
  <si>
    <t>בתי ספר, פשעי מלחמה, משפט הומניטרי, חינוך, תקשורת ישראלית</t>
  </si>
  <si>
    <t>חיילי צה"ל מקיימים טקס הכנסת ספר תורה לבית נטוש כלשהו ברצועת עזה.</t>
  </si>
  <si>
    <t>חיילי צה"ל עורכים טקס הקדשה של ספר תורה בבית נטוש ברצועת עזה תוך כדי שירה, ריקוד ותיפוף.</t>
  </si>
  <si>
    <t>סרטי חיילים ישראלים, רכוש מוחרם, הימין הדתי</t>
  </si>
  <si>
    <t>חיילי צה"ל במדים מצהירים שהמשימה שלהם היא לכבוש, לפנות ולהתיישב בעזה</t>
  </si>
  <si>
    <t>ארבעה חיילי צה"ל במדים בעזה מצלמים מסר לביבי, בעוד הם עומדים מול בניין הרוס בבית חנון. הם מצהירים שהם מסיימים את המשימה שלהם על ידי כיבוש, פינוי והתיישבות.</t>
  </si>
  <si>
    <t>מסתכלים על המקצוע בעיניים (@Mistaclim)</t>
  </si>
  <si>
    <t>טיהור אתני, דומיסייד (השמדת מרחבי מחיה), סיפוח, התנחלויות יהודיות בעזה, סרטי חיילים ישראלים</t>
  </si>
  <si>
    <t>רצועת עזה, בית חאנון</t>
  </si>
  <si>
    <t>חבר הכנסת מדבר על יישוב מחדש בעזה</t>
  </si>
  <si>
    <t>חברת הכנסת, לימור סון-הרמלך, מתראיינת בערוץ הכנסת. היא מתארת את החזון שלה להתיישבות בעזה, ומציגה אותו כפתרון לטרור. הסרטון מציג רחוב הרוס בעזה.</t>
  </si>
  <si>
    <t>התנחלויות, סיפוח, אורביסייד (השמדת ערים), הימין הפוליטי בישראל, הימין הקיצוני בישראל, הימין הדתי</t>
  </si>
  <si>
    <t>כל האוכלוסייה בצפון עזה בסיכון למות': פקיד סיוע של האומות המאוחדות</t>
  </si>
  <si>
    <t>פקיד סיוע של האומות המאוחדות מזהיר כי כל אוכלוסיית צפון עזה בסיכון למות בשל ההתקפות הישראליות המתמשכות, ומדגיש משברים הומניטריים חמורים והפרות של החוק הבינלאומי. לפי הפקיד, "התעלמות כה בוטה מהאנושיות הבסיסית ומהחוקי מלחמה חייבת להיפסק".</t>
  </si>
  <si>
    <t>אוליביה רוזן</t>
  </si>
  <si>
    <t>בריאות הציבור, משבר הומניטרי, פשעי מלחמה, רצח עם, בית חולים, סיוע הומניטרי</t>
  </si>
  <si>
    <t>צפון רצועת עזה, בית החולים כמאל עדואן</t>
  </si>
  <si>
    <t>‘סבל כמעט חסר תקדים’ בעזה כאשר האומות המאוחדות אומרות שכמעט 70% מההרוגים הם נשים וילדים</t>
  </si>
  <si>
    <t>דו"ח של האומות המאוחדות אישר 8,119 מההרגים במחצית הראשונה של המלחמה. ניתוח הנתונים מגלה שכמעט 70% מההרוגים בעימות בעזה הם נשים וילדים, מה שמדגיש הפרות חמורות של זכויות האדם ואת ההשפעה של פעולות צבאיות על אזרחים.</t>
  </si>
  <si>
    <t>שרה ג'ונסון</t>
  </si>
  <si>
    <t>אזרחים, ילדים, נשים, משבר הומניטרי, פשעי מלחמה, משפט הומניטרי, מוות</t>
  </si>
  <si>
    <t>צה״ל, מועצת הפליטים הנורווגית</t>
  </si>
  <si>
    <t>עזה: קמפיין חיסון נגד פוליו מגיע ל-94,000 ילדים בצפון הנצור</t>
  </si>
  <si>
    <t>מבצע חיסון נגד פוליו בתמיכת האומות המאוחדות בצפון עזה חיסן בהצלחה 94,000 ילדים, אך אלפים נותרו מחוץ להישג יד בשל הסכסוך המתמשך ופינוי אוכלוסייה.</t>
  </si>
  <si>
    <t>ילדים, בריאות הציבור, משבר הומניטרי, מחלות</t>
  </si>
  <si>
    <t>האומות המאוחדות, יוניסף, ארגון הבריאות העולמי</t>
  </si>
  <si>
    <t>נציג יוניסף מדווח על 'השמדה מוחלטת' לאחר שנסע לאורך עזה</t>
  </si>
  <si>
    <t>נציג של יוניסף מתאר את המשבר ההומניטרי ההרסני בעזה, ומדגיש תת-תזונה חמורה וצפיפות יתר תוך כדי הסכסוך המתמשך. לדבריו, ילדים נמצאים על סף מוות ומשפחות חייבות לקבל מים נקיים, מזון ומקלט.</t>
  </si>
  <si>
    <t>ג'ייסון ברק</t>
  </si>
  <si>
    <t>משבר הומניטרי, תת־תזונה, ילדים, סיוע הומניטרי, בריאות הציבור, רעב כבד, הרס</t>
  </si>
  <si>
    <t>בית החולים כמאל עדואן, חאן יונס</t>
  </si>
  <si>
    <t>בלעדי: הערכת המודיעין האמריקאית קובעת כי כמעט חצי מהפצצות הישראלית שנורו על עזה היו "פצצות טיפשות", לא מדויקות.</t>
  </si>
  <si>
    <t>הערכת המודיעין האמריקאי חושפת שכמעט חצי מהפצצות שישראל השתמשה בעזה היו "פצצות טיפשות", לא מדויקות, וזה מעורר חששות לגבי נפגעים אזרחיים.</t>
  </si>
  <si>
    <t>נטשה ברטראנד, קייטי בו ליליס</t>
  </si>
  <si>
    <t>הפצצות, אזרחים, משבר הומניטרי, פשעי מלחמה, תקיפה אווירית</t>
  </si>
  <si>
    <t>רופאים ישראלים קוראים להפצצת בתי חולים בעזה</t>
  </si>
  <si>
    <t>כ-90 רופאים ישראלים חתמו על מכתב הקורא להפצצת בתי חולים בעזה, בטענה שהם מטרות לגיטימיות בשל פעילות טרור חשודה.</t>
  </si>
  <si>
    <t>טלי שפירו, יונתן אופיר</t>
  </si>
  <si>
    <t>הפצצות, בריאות הציבור, דה־הומניזציה (שלילת אנושיות), טרור, הסתה לאלימות, בית חולים, הימין הדתי, תקיפה אווירית</t>
  </si>
  <si>
    <t>צה״ל, חמאס</t>
  </si>
  <si>
    <t>בית החולים א-שיפא</t>
  </si>
  <si>
    <t>קשת 12 פיטרה את השחקנית למה טטור בעקבות פוסט נגד החטופה נועה ארגמני</t>
  </si>
  <si>
    <t>השחקנית והמנחה למא טאטור פוטרה מקשת 12 בעקבות פוסט ביקורתי באינסטגרם בנוגע למראה של החטופה נועה ארגמני, ששוחררה לאחרונה משבי חמאס.</t>
  </si>
  <si>
    <t>חדשות, בני ערובה, התעללות, הגבלת חופש הביטוי, מדיה</t>
  </si>
  <si>
    <t>“אנחנו אחראים לזה”: רופאים אמריקאים שחזרו מעזה, קוראים לסיום השתתפות ארה"ב ברצח עם.</t>
  </si>
  <si>
    <t>רופאים אמריקאים שחזרו מעזה, מדגישים את המשבר ההומניטרי וקוראים לסיים את התמיכה האמריקאית בפעולות ישראל.</t>
  </si>
  <si>
    <t>Democracy Now</t>
  </si>
  <si>
    <t>רצח עם, בריאות הציבור, ילדים, דה־הומניזציה (שלילת אנושיות), פשעי מלחמה, אזרחים, עובדי בריאות, עדות, ירי, ירי חסר הבחנה, בית חולים</t>
  </si>
  <si>
    <t>ישראל/השטחים הכבושים: שנה לאחר ה-7 באוקטובר, הצורך בהפסקת אש ושחרור בני ערובה דחוף יותר מאי פעם.</t>
  </si>
  <si>
    <t>אמנסטי אינטרנשיונל מציינת את יום השנה הראשון ל-7 באוקטובר וקוראת להפסקת אש מיידית ולשחרור החטופים על רקע האלימות המתמשכת ברצועת עזה.</t>
  </si>
  <si>
    <t>אגנס קלאמרד</t>
  </si>
  <si>
    <t>הפסקת אש, בני ערובה, משבר הומניטרי, אסירים, פשעים נגד האנושות</t>
  </si>
  <si>
    <t>ישראל/השטחים הכבושים: ראיות חדשות למתקפות לא-חוקיות של ישראל בעזה הגורמות נפגעים אזרחיים רבים תוך סיכון ממשי לרצח עם.</t>
  </si>
  <si>
    <t>אמנסטי אינטרנשיונל מדווחת על התקפות לא-חוקיות של ישראל ברפיח, שגרמו לנפגעים רבים בקרב אזרחים, כולל ילדים, וקוראת לחקור אפשרות של פשעי מלחמה.</t>
  </si>
  <si>
    <t>אמנסטי אינטרנשיונל</t>
  </si>
  <si>
    <t>אזרחים, פשעי מלחמה, ילדים, רצח עם, משפחה, עדות, תקיפה אווירית, גופות</t>
  </si>
  <si>
    <t>רצועת עזה, עיר עזה, רפיח</t>
  </si>
  <si>
    <t>ישראל/השטחים הכבושים: תחמושת אמריקאית הרגה 43 אזרחים בשני תקיפות אוויריות ישראליות מתועדות בעזה – תחקיר חדש.</t>
  </si>
  <si>
    <t>תחקיר של אמנסטי אינטרנשיונל חושף כי תחמושת שיוצרה בארצות הברית שימשה בשני תקיפות אוויריות ישראליות מתועדות שהרגו 43 אזרחים בעזה. אמנסטי קוראת לחקור את ההתקפות הללו כפשעי מלחמה.</t>
  </si>
  <si>
    <t>תקיפה אווירית, אזרחים, פשעי מלחמה, משפט הומניטרי, הפצצות, משפחה, ילדים, נשים</t>
  </si>
  <si>
    <t>יועצת של שרה נתניהו תומכת בעינויים של תושבי עזה המעורבים ברצח ישראלים.</t>
  </si>
  <si>
    <t>יועצת של שרה נתניהו, ציפי נבון, תומכת בעינויים של תושבי עזה המעורבים ברצח ישראלים, ומתארת בפירוט מעשי אלימות ספציפיים שהיא מאחלת להם. היא גם קוראת לדווח על כתובת הפייסבוק של "בוגדים" מהשמאל הישראלי התוקפים את ראש ממשלת ישראל.</t>
  </si>
  <si>
    <t>צוות MEE</t>
  </si>
  <si>
    <t>עינויים, אלימות, דה־הומניזציה (שלילת אנושיות), התעללות</t>
  </si>
  <si>
    <t>דעה: אני רופא אמריקאי שבא לעזה. ראיתי השמדה, לא מלחמה.</t>
  </si>
  <si>
    <t>רופא אמריקאי מדווח על החוויות הקשות בעת התנדבותו בעזה, הוא מתאר את המשבר ההומניטרי החמור ואת האתגרים העצומים שעומדים בפני הצוות הרפואי במקביל לאלימות מתמשכת.</t>
  </si>
  <si>
    <t>אירפאן גאלאריה</t>
  </si>
  <si>
    <t>בריאות הציבור, משבר הומניטרי, הפצצות, ילדים, אזרחים, עובדי בריאות, פציעה, בית חולים, עדות</t>
  </si>
  <si>
    <t>ירידה בשיעור הנשים והילדים הפלסטינים שנהרגו ככל שמספר ההרוגים הכללי במלחמה עולה.</t>
  </si>
  <si>
    <t>על פי תחקיר של סוכנות הידיעות AP חלה ירידה בשיעור הנשים והילדים הפלסטינים שנהרגו במלחמת ישראל-חמאס המתמשכת, למרות העלייה הכוללת במספר הנפגעים. בתחילת המלחמה (אוקטובר 2023), שיעור מקרי המוות של נשים וילדים היה 64%, בעוד שבאפריל 2024 השיעור ירד ל-38%. המאמר כולל ניסיונות שונים לנתח את הנתונים המגיעים ממשרד הבריאות בעזה.</t>
  </si>
  <si>
    <t>יוסף פדרמן, לארי פן</t>
  </si>
  <si>
    <t>אזרחים, נשים, ילדים, מניין ההרוגים בעזה</t>
  </si>
  <si>
    <t>משרד הבריאות בעזה, צה״ל, חמאס</t>
  </si>
  <si>
    <t>תחקיר של צה"ל הגיע למסקנה שכוח צה"ל ברפיח פעל בניגוד לנהלים, והרג בשוגג עובד עובד של האו"ם.</t>
  </si>
  <si>
    <t>התחקיר חשף שרכב עובד האו"ם שהה בכביש שהתנועה בו אסורה בלי תיאום עם צה"ל. יחידת צה"ל ירתה פגז טנק ורימונים על הרכב. מלבד עובד האו"ם שנהרג, נפצע עובד נוסף.</t>
  </si>
  <si>
    <t>יניב קובוביץ'</t>
  </si>
  <si>
    <t>סיוע הומניטרי, כללי מעורבות</t>
  </si>
  <si>
    <t>צה״ל, האומות המאוחדות</t>
  </si>
  <si>
    <t>חייל צה"ל הציע בפייסבוק למכור סחורה שנבזזה.</t>
  </si>
  <si>
    <t>חייל צה"ל הציע בפייסבוק למכירה דרכון של ילד פלסטיני במחיר של 500 ש"ח (~140$), וכן פריטים אחרים שנבזזו בעזה. החייל הושעה מלחימה אך נשאר ביחידתו ולא נשלח לכלא צבאי.</t>
  </si>
  <si>
    <t>יובל שדה</t>
  </si>
  <si>
    <t>ביזה, החברה הישראלית, דה־הומניזציה (שלילת אנושיות)</t>
  </si>
  <si>
    <t>הרצי הלוי</t>
  </si>
  <si>
    <t>על פי דו"ח קולונה, ישראל עדיין לא סיפקה ראיות לקשרים של אנשי צוות אונר"א עם טרור.</t>
  </si>
  <si>
    <t>תחקיר עצמאי בראשות קתרין קולונה (שרת החוץ לשעבר של צרפת) מצא כי ישראל לא סיפקה ראיות לטענותיה כי עובדי אונר"א קשורים לארגוני טרור. בנוסף, דוח שסיפקו מוסדות סקנדינביים מצא ראיות מוגבלות מאוד לטענות ישראל לגבי תוכן אנטישמי בספרי הלימוד שמשתמשים בהם בבתי הספר של אונר"א. שתי הטענות היו חלק מקמפיין ישראלי נגד אונר"א מתחילת 2024. המאמר מתייחס גם לכמה מהמדינות שחידשו את המימון שלהן לאונר"א אחרי שהפסיקו אותו.</t>
  </si>
  <si>
    <t>בינלאומי</t>
  </si>
  <si>
    <t>סיוע הומניטרי, משבר הומניטרי, חינוך, קמפיין נגד אונר״א, מימון, דו"ח רשמי</t>
  </si>
  <si>
    <t>חמאס, הג׳יהאד האסלאמי, האומות המאוחדות, אונר״א</t>
  </si>
  <si>
    <t>ראיון טלפוני עם ח"כ שרן השכל: מה הבעיה שלך עם העברת יתומים מעזה לגדה המערבית?</t>
  </si>
  <si>
    <t>ראיון עם חברת הכנסת שרן השכל ביחס לאתגרים בהעברת ילדים יתומים מעזה לגדה המערבית. ח"כ השכל טוענת כי העברת ילדים כאלה חייבת להיות מתואמת עם הממשלה ומאשימה את חמאס בכל ההרוגים במלחמה.</t>
  </si>
  <si>
    <t>ניר גונטז</t>
  </si>
  <si>
    <t>ילדים, סיוע הומניטרי, משבר הומניטרי, ראיון</t>
  </si>
  <si>
    <t>חמאס, ממשלת ישראל</t>
  </si>
  <si>
    <t>חקירת מותם של שני עצירים מהרצועה מעלה כי חיילים הכו אותם בדרכם למתקן שדה תימן</t>
  </si>
  <si>
    <t>חוקרים גילו ששני עצורים פלסטינים מעזה מתו לאחר שהוכו על ידי חיילים בזמן שהועברו למתקן המעצר שדה תימן. למרות שכמה חיילים נחקרו, אף אחד מהם לא נעצר במקרה זה כמו גם ב-33 מקרים אחרים, בהם פלסטינים מעזה שנעצרו חיים, מתו בזמן שהיו במעצר ישראלי.</t>
  </si>
  <si>
    <t>בר פלג, ג'וש בריינר</t>
  </si>
  <si>
    <t>התעללות, אלימות, אסירים, השפלה, דה־הומניזציה (שלילת אנושיות), עצורים</t>
  </si>
  <si>
    <t>צה״ל, מערכת הכליאה הישראלית</t>
  </si>
  <si>
    <t>רצועת עזה, חאן יונס, מרכז הכליאה שדה תימן</t>
  </si>
  <si>
    <t>לפחות 12 פלסטינים טבעו בניסיון להוציא חבילות סיוע שהוטלו לים</t>
  </si>
  <si>
    <t>לפחות 12 פלסטינים טבעו בניסיון לאסוף חבילות סיוע שהוטלו מהאוויר לים מול חופי צפון עזה. ארגוני זכויות האדם מתחו שוב ושוב ביקורת על הטלת סיוע מהאוויר כדרך לא יעילה ומבזה להעביר סיוע לעזתים, במקום הקריאה לרשויות הישראליות להסיר את המגבלות על מעברי הגבול לתוך המובלעת. המאמר מזכיר 5 פלסטינים נוספים שמתו ו-10 אחרים שנפצעו כאשר סיוע שהוטל מהאוויר נפל עליהם מוקדם יותר במרץ 2024.</t>
  </si>
  <si>
    <t>עבדלקדדר סבאח, קרים חדאר, ג'ומנה קראדשה, אביר סלמן, סנא נור חאק</t>
  </si>
  <si>
    <t>סיוע הומניטרי, מוות, מזון, מצור, הצנחת סיוע</t>
  </si>
  <si>
    <t>66 פלסטינים נהרגו במתקפה ליד בית החולים כמאל עדואן</t>
  </si>
  <si>
    <t>לפחות 66 אנשים, רובם נשים וילדים, נהרגו במתקפה של צה"ל ליד בית החולים כמאל אדואן בצפון עזה. יותר מ-100 נפצעו באותו אירוע.</t>
  </si>
  <si>
    <t>אזרחים, בית חולים, הפצצות, ילדים, נשים</t>
  </si>
  <si>
    <t>פוסטים ברשתות החברתיות מציגים עצורים פלסטינים עם כיסוי עיניים וכפותים.</t>
  </si>
  <si>
    <t>ניתוח של פוסטים ברשתות החברתיות על ידי חיילי צה"ל המראים, בין היתר, פלסטינים עצורים עם כיסוי עיניים, כפותים וערומים. המאמר מציע שההפרות עשויות להיות בלתי חוקיות לפי החוק ההומניטרי הבינלאומי. המאמר גם מציין את מה שמכונה "מועדון ציד חמאס", חשבון אינסטגרם שיש לו טלאי שחלק מחיילי צה"ל לובשים.</t>
  </si>
  <si>
    <t>Bellingcat</t>
  </si>
  <si>
    <t>יוניס טיראווי</t>
  </si>
  <si>
    <t>עצורים, תנאי שבי, רשתות חברתיות, השפלה, משפט הומניטרי, דה־הומניזציה (שלילת אנושיות)</t>
  </si>
  <si>
    <t>נתניהו מבטיח להילחם בסנקציות האמריקאיות על יחידת צה"ל המואשמת בהפרות בגדה המערבית</t>
  </si>
  <si>
    <t>בנימין נתניהו מבטיח להתנגד לסנקציות של ארה"ב (מתוקף חוק ליהי) נגד גדוד נצח יהודה של צה"ל, אשר ארה"ב מאשימה בהפרות זכויות אדם בשטחי הגדה המערבית.</t>
  </si>
  <si>
    <t>פיטר בומונט</t>
  </si>
  <si>
    <t>פשעי מלחמה, עינויים, אזרחים, חוק ליהי (Leahy Law)</t>
  </si>
  <si>
    <t>משרד החוץ האמריקאי, צה״ל</t>
  </si>
  <si>
    <t>ברני סנדרס אומר שנתניהו תוקף את ההפגנות בקמפוסים כדי להסיט את הביקורת על המלחמה</t>
  </si>
  <si>
    <t>ברני סנדרס מבקר את ראש ממשלת ישראל בנימין נתניהו על כך שהוא משתמש בהאשמות על אנטישמיות כדי להסיט את תשומת הלב מהמשבר ההומניטרי בעזה, על רקע עליית ההפגנות הפרו-פלסטיניות בקמפוסים של אוניברסיטאות בארצות הברית.</t>
  </si>
  <si>
    <t>סקוט דטרו</t>
  </si>
  <si>
    <t>אנטישמיות, פשעי מלחמה, משבר הומניטרי, מחאה (בינלאומית), ראיון</t>
  </si>
  <si>
    <t>קנדה פונה לישראל לאחר שסוכנות הסיוע אומרת כי משאית מים הותקפה בפיצוץ "ממוקד".</t>
  </si>
  <si>
    <t>קנדה פנתה לישראל בנוגע להפצצה של משאית מים שהופעלה על ידי ארגון סיוע קנדי בעזה (קרן הפיתוח והסיוע הבינלאומית), התקפה שהם מאמינים שהייתה ממוקדת. האירוע התרחש שבועיים לאחר שישראל תקפה שיירה של המטבח המרכזי העולמי, והביאה למותם של שבעה עובדי סיוע.</t>
  </si>
  <si>
    <t>שניפה נאסר</t>
  </si>
  <si>
    <t>קנדה</t>
  </si>
  <si>
    <t>הפצצות, סיוע הומניטרי, מים</t>
  </si>
  <si>
    <t>CARE מזהירה: 84% מהאורות בעזה כבו, אנשים נשארו חולים ורעבים</t>
  </si>
  <si>
    <t>על פי ניתוח של תמונות לוויין, 84% מהאורות בעזה כבו בעקבות העימות המתמשך. כ-70% מבתי החולים פועלים עם מעט או ללא אור בלילה, מה שמשפיע על אינקובטורים ומכשירים מצילי חיים.</t>
  </si>
  <si>
    <t>Care.org</t>
  </si>
  <si>
    <t>טיפול</t>
  </si>
  <si>
    <t>משבר הומניטרי, בריאות הציבור, רעב כבד, חשמל, אזרחים, נשים, ילדים, תשתיות, תינוקות, ניתוח</t>
  </si>
  <si>
    <t>רצועת עזה, עיר עזה, צפון רצועת עזה</t>
  </si>
  <si>
    <t>עובדי CNN, כולל כריסטיאן אמנפור, התעמתו עם מנהלי CNN בנושא "סטנדרטים כפולים" בסיקור מלחמת עזה</t>
  </si>
  <si>
    <t>כריסטיאן אמנפור ועובדי CNN מתעמתים עם מנהלי הרשת לגבי סטנדרטים כפולים לכאורה בכיסוי הסכסוך בין ישראל לעזה במהלך פגישה כללית שנערכה לאחרונה. אחת הבעיות שעלו שוב ושוב היא התהליך הממושך של CNN לנתב כמעט את כל הסיקור הקשור לישראל ולפלסטין דרך המשרד של הרשת בירושלים. המאמר מציין את התהליך שבו CNN מנתבת כמעט את כל הסיקור הקשור לישראל דרך משרדה בירושלים.</t>
  </si>
  <si>
    <t>דניאל בוגוסלאב, פרם תקר</t>
  </si>
  <si>
    <t>לונדון</t>
  </si>
  <si>
    <t>מדיה, עיתונאים, אלימות, צנזורה, הטיה תקשורתית</t>
  </si>
  <si>
    <t>CNN מודה שהיא מעבירה את כל הסיקור על עזה דרך המשרד שלה בירושלים, אשר נמצא תחת פיקוח של הצנזורה הצבאית הישראלית.</t>
  </si>
  <si>
    <t>CNN מודה שהיא מעבירה את כל הסיקור על עזה דרך המשרד שלה בירושלים, אשר מפוקח על ידי הצנזורה הצבאית הישראלית. הסקירה של המשרד מביאה להימנעות ממילים כמו "רצח עם" או "פשעי מלחמה". לפי חבר צוות, "הפצצות הישראליות בעזה ידווחו כ'פיצוצים' שלא ייוחסו לאף אחד, עד שהצבא הישראלי יתערב כדי לקבל או להכחיש אחריות; ציטוטים ומידע שסופקו על ידי אנשי צבא וממשלת ישראל נוטים לקבל אישור במהירות, בעוד שאלה שמגיעות מהפלסטינים נבדקות בקפידה ומעובדות לאט."</t>
  </si>
  <si>
    <t>ג'וליה קונלי</t>
  </si>
  <si>
    <t>צנזורה, מדיה, עיתונאים, הטיה תקשורתית, תעמולה</t>
  </si>
  <si>
    <t>ירושלים, ישראל</t>
  </si>
  <si>
    <t>עובדי CNN אומרים שהנטייה הפרו-ישראלית של הרשת מהווה 'רשלנות עיתונאית'</t>
  </si>
  <si>
    <t>CNN מתמודדת עם תגובות נזעמות מצד הצוות שלה לגבי מדיניות המערכת, שלדבריהם הובילה לחזרה על תעמולה ישראלית ולצנזור של נקודות מבט פלסטיניות בסיקור שלה את המלחמה בעזה. מאמר זה מבוסס על עדויות של שישה עובדים ב-CNN ועל יותר מעשרה מכתבים ומיילים פנימיים.</t>
  </si>
  <si>
    <t>כריס מקגראל</t>
  </si>
  <si>
    <t>מדיה, צנזורה, עיתונאים, הטיה תקשורתית, תעמולה</t>
  </si>
  <si>
    <t>קורסים בקמפוס הראשי של אוניברסיטת קולומביה יהיו היברידיים עד לסיום הסמסטר; סטודנטים וסגל של NYU נעצרו במהלך הפגנות</t>
  </si>
  <si>
    <t>אוניברסיטת קולומביה הודיעה שכל השיעורים בקמפוס הראשי שלה יהיו היברידיים עד סוף סמסטר האביב (בעוד שבוע) על רקע הפגנות פרו-פלסטיניות וחששות ביטחוניים, בעוד אוניברסיטת NYU התמודדה עם הפגנות שהובילו למעצרים.</t>
  </si>
  <si>
    <t>מאט איגן, כריס בויאט, שמעון פרוקופץ וניק פ. אנדרסון</t>
  </si>
  <si>
    <t>ניו יורק</t>
  </si>
  <si>
    <t>אקדמיה, אנטישמיות, חינוך, מחאה (בינלאומית)</t>
  </si>
  <si>
    <t>התורמים המיליארדים של אוניברסיטת קולומביה שוקלים אם להמשיך להזרים כסף לאוניברסיטה של ליגת הקיסוס.</t>
  </si>
  <si>
    <t>תורמים עשירים ביותר כמו רוברט קראפט, לן בלבאטניק וליאון קופרמן מושכים או שוקלים למשוך את התמיכה הפיננסית שלהם מאוניברסיטת קולומביה בעקבות ההפגנות נגד ישראל המתרחשות בקמפוס.</t>
  </si>
  <si>
    <t>דניאלה ג'נובזה</t>
  </si>
  <si>
    <t>אנטישמיות, אקדמיה, מחאה (בינלאומית), חינוך</t>
  </si>
  <si>
    <t>נשיאת אוניברסיטת קולומביה מעידה בחקירה בנושא אנטישמיות בבית הנבחרים</t>
  </si>
  <si>
    <t>נשיאת קולומביה, נמת "מינוש" שאפיק, העידה בפני ועדת בית הנבחרים בנוגע לתגובת האוניברסיטה לאנטישמיות. נשיאת קולומביה נתונה לביקורת בקמפוס על כך שאינה מגינה על הסטודנטים מפני אנטישמיות, איסלאמופוביה והטרדה אנטי-ערבית.</t>
  </si>
  <si>
    <t>מאט איגן, רמישה מרוף</t>
  </si>
  <si>
    <t>אנטישמיות, אקדמיה, חינוך, מחאה (בינלאומית)</t>
  </si>
  <si>
    <t>רופאים בעזה מדווחים כי ילדים הותקפו במכוון על ידי צלפים ישראלים</t>
  </si>
  <si>
    <t>רופאים מתנדבים זרים מדווחים על טיפול בזרם קבוע של ילדים, קשישים ואחרים שבבירור לא היו לוחמים, עם פגיעות ירי בודדות בראש או בחזה. ניתנו דוגמות רבות ומספר רופאים רואיינו.</t>
  </si>
  <si>
    <t>ילדים, אזרחים, פשעי מלחמה, פציעה, ירי חסר הבחנה, עובדי בריאות, בית חולים</t>
  </si>
  <si>
    <t>טבח: עשרות נהרגו מירי ישראלי בעזה בזמן שאספו סיוע מזון</t>
  </si>
  <si>
    <t>יותר מ-100 נהרגו וכ-750 נפצעו לאחר שכוחות ישראליים פתחו באש על פלסטינים שבאו לאסוף מזון ממשאיות סיוע בעיר עזה. אירוע זה תואר מאוחר יותר כ"טבח הקמח".</t>
  </si>
  <si>
    <t>צוות אל ג'זירה</t>
  </si>
  <si>
    <t>כיכר נבלוסי ברצועת עזה</t>
  </si>
  <si>
    <t>משבר הומניטרי, מזון, אלימות, פשעי מלחמה, אזרחים, ירי חסר הבחנה, סיוע הומניטרי, טבח הקמח</t>
  </si>
  <si>
    <t>בית החולים כמאל עדואן ומנהלו הפכו לסמל לסבל ולעמידה של הפלסטינים ברצועת עזה</t>
  </si>
  <si>
    <t>ד"ר חוסאם אבו סופיה, מנהל בית החולים כמאל אדואן, הפך לסמל לסבל ולחוסן הפלסטיני תוך התקפות צבאיות מתמשכות בעזה. ההתקפות הרגו ופצעו עובדים בבית החולים, הרסו מתקנים ואמבולנסים והובילו למעצרים של צוות בית החולים. ד"ר חוסאם אבו סופיה עצמו נעצר ונפצע. בנו בן ה-15 נהרג באחת מההתקפות.</t>
  </si>
  <si>
    <t>ניר חסון, ג'קי הורי</t>
  </si>
  <si>
    <t>בריאות הציבור, בית חולים, משבר הומניטרי, אזרחים, עובדי בריאות, ילדים, מצור, סיוע הומניטרי, ציוד רפואי מתכלה</t>
  </si>
  <si>
    <t>בית החולים כמאל עדואן, בית לאהיא</t>
  </si>
  <si>
    <t>לעיתים ניתחתי ללא חומרי הרדמה': עדות מצמררת של מנתח בריטי מעזה</t>
  </si>
  <si>
    <t>ד"ר ג'ונייד סולטן, מנתח בריטי שחזר זה עתה מעזה, משתף את חוויותיו הקשות כמנתח בריטי שטיפל בקורבנות בעזה במהלך העימות המתמשך. הוא ראה ילדים עם פציעות ירי וניתח חולים ללא הרדמה.</t>
  </si>
  <si>
    <t>מרתה פיירלי</t>
  </si>
  <si>
    <t>בית החולים האירופי, בריטניה</t>
  </si>
  <si>
    <t>בריאות הציבור, ילדים, אזרחים, משבר הומניטרי, עובדי בריאות, בית חולים, הרס, הפצצות, ציוד רפואי מתכלה, תרופות</t>
  </si>
  <si>
    <t>חאן יונס, דרום רצועת עזה</t>
  </si>
  <si>
    <t>אוניברסיטת דרקסל מאיימת לפנות את המאהל לאחר שמספר המעצרים הקשורים להפגנות נגד מלחמת ישראל-חמאס חצה את ה-3000.</t>
  </si>
  <si>
    <t>סטודנטים ואחרים הקימו מאהלים בקמפוסים ברחבי המדינה כדי ללחוץ על המכללות לנתק את הקשרים הפיננסיים עם ישראל. יותר מ-3,000 מפגינים נעצרו בקמפוסים בארה"ב במהלך החודש האחרון. המאמר כולל מפה המראה את הקמפוסים שבהם התרחשו מעצרים ברחבי ארה"ב.</t>
  </si>
  <si>
    <t>מייקל רובינקאם</t>
  </si>
  <si>
    <t>המלחמה בעזה: מצרים בונה אזור חיץ כדי לקלוט פליטים פלסטינים, אומרת קבוצת זכויות אדם.</t>
  </si>
  <si>
    <t>מצרים בונה אזור חיץ מבוצר לאורך הגבול שלה עם עזה כדי לקלוט פליטים פלסטינים על רקע הסלמת הסכסוך. החשש היה שההתקפה המתקרבת על רפיח עשויה לדחוף את תושבי עזה למצרים (חשש זה לא התממש באביב 2024).</t>
  </si>
  <si>
    <t>נדא עוסמן</t>
  </si>
  <si>
    <t>מצרים</t>
  </si>
  <si>
    <t>עקירה בכפייה, טיהור אתני</t>
  </si>
  <si>
    <t>רפיח, דרום רצועת עזה</t>
  </si>
  <si>
    <t>המנכ"ל החדש של ערוץ 13: נתחבר דרך בידור והסברה</t>
  </si>
  <si>
    <t>אמיליאנו קלמזוק, המנכ"ל החדש של ערוץ 13, מדגיש את הצורך באחדות באמצעות בידור והסברה. נראה שהוא מעדיף להימנע מסוגיות פוליטיות וחילוקי דעות.</t>
  </si>
  <si>
    <t>אידו דוד כהן</t>
  </si>
  <si>
    <t>מדיה, עיתונאים, צנזורה, תעמולה</t>
  </si>
  <si>
    <t>במסיבת עיתונאים, Eur-Med מאשר את מעורבותה המלאה של ישראל בטבח הקמח בעזה</t>
  </si>
  <si>
    <t>מכון המעקב אירו-מד לזכויות האדם מאשר את מעורבות ישראל בטבח באזרחים פלסטינים בכיכר נבלוסי בעזה ("טבח הקמח" מסוף פברואר 2024) בזמן שניסו לקבל סיוע הומניטרי. ממצאי Euro-Med מראים שעשרות מהקורבנות סבלו מפציעות מירי, ולא נדרסו או נמחצו, בניגוד לטענות דובר צה"ל.</t>
  </si>
  <si>
    <t>אזרחים, סיוע הומניטרי, פשעי מלחמה, מזון, עובדי בריאות, ירי חסר הבחנה, טבח הקמח</t>
  </si>
  <si>
    <t>היום ה-100 לרצח העם בעזה: 100,000 פלסטינים הרוגים, נעדרים או פצועים</t>
  </si>
  <si>
    <t>מכון המעקב אירו-מד לזכויות האדם של אירו-מד מדווח כי כ-100,000 פלסטינים נהרגו, דווחו כנעדרים או נפצעו מאז 7 באוקטובר 2023, בעקבות פעולות צבאיות ישראליות מתמשכות ברצועת עזה.</t>
  </si>
  <si>
    <t>רצח עם, אזרחים, פשעי מלחמה, ענישה קולקטיבית, בריאות הציבור, בתי ספר, תשתיות, הרס, ילדים, נשים, עובדי בריאות</t>
  </si>
  <si>
    <t>מכון המעקב Euro-Med שולח לדווחים מטעם האומות המאוחדות ולתובע של בית הדין הפלילי הבינלאומי דוח המתעד עשרות מקרים של הוצאות להורג בשטח בעזה.</t>
  </si>
  <si>
    <t>מכון המעקב אירו-מד לזכויות האדם הגיש דו"ח לנציגי האומות המאוחדות המתעד הוצאות להורג בשטח על ידי צה"ל בעזה. הארגון הלא ממשלתי קורא לדין וחשבון וצדק עבור הקורבנות. ההודעה כוללת גם מקרים של התקפות על ידי פגזי ארטילריה והתקפות אוויריות.</t>
  </si>
  <si>
    <t>אזרחים, רצח עם, פשעי מלחמה, הוצאה להורג</t>
  </si>
  <si>
    <t>האם מה שקורה בעזה הוא רצח עם? מומחים מתייחסים לכך</t>
  </si>
  <si>
    <t>מומחים דנים האם העימות המתמשך בעזה יכול להיות מסווג כרצח עם, כאשר יש קולות התומכים בכל צד. חלק מהדיון מתייחס להגדרת רצח עם, עם הבחנה מסוימת בין השימושים המשפטיים והיומיומיים של המונח.</t>
  </si>
  <si>
    <t>סולצירה בורגה</t>
  </si>
  <si>
    <t>רצח עם, אזרחים, פשעי מלחמה</t>
  </si>
  <si>
    <t>צה״ל, בית הדין הפלילי הבינלאומי, האומות המאוחדות</t>
  </si>
  <si>
    <t>משפחות החטופים: נתניהו הוא המכשול למשא ומתן, נפעל להחליפו</t>
  </si>
  <si>
    <t>כ-20 משפחות של חטופים מאשימות את ראש הממשלה נתניהו שהוא מכשול למשא ומתן ומודיעות על כוונתן לדחוף להחלפתו המיידית במהלך הפגנה בתל אביב.</t>
  </si>
  <si>
    <t>רואי רובנשטין, יעל צ'קנובר</t>
  </si>
  <si>
    <t>עסקת בני ערובה, מחאה (בישראל), בני ערובה</t>
  </si>
  <si>
    <t>סמוטריץ': "אין חצי עבודה... רפיח, דיר אל-בלאח, נוסייראת - השמדה מוחלטת"</t>
  </si>
  <si>
    <t>שר האוצר בצלאל סמוטריץ' קרא להשמדתן המוחלטת של ערים ועיירות ברצועת עזה במהלך חגיגה בביתו של מנהיג דתי.</t>
  </si>
  <si>
    <t>הסתה לרצח עם, הרס, הסתה לאלימות, הימין הדתי, טיהור אתני</t>
  </si>
  <si>
    <t>ישראל, דיר אל-בלח, מחנה הפליטים נוסייראת, רפיח</t>
  </si>
  <si>
    <t>סמוטריץ': אנחנו כבר שנה כובשים את עזה, ניקח להם קרקע שנוכל לסחור בה</t>
  </si>
  <si>
    <t>שר האוצר בצלאל סמוטריץ' אמר בריאיון כי אומנם החזרת החטופים היא חשובה, אך אין לעשות זאת בעסקת כניעה, והדגיש את החשיבות של תפיסת שטחים מחמאס למטרות מו"מ.</t>
  </si>
  <si>
    <t>שרון קידון</t>
  </si>
  <si>
    <t>בני ערובה, הסתה לאלימות, טיהור אתני, הימין הדתי, תקשורת ישראלית</t>
  </si>
  <si>
    <t>אם זה לא רצח עם, מה זה?</t>
  </si>
  <si>
    <t>הדווחית המיוחדת של האומות המאוחדות לעניין השטחים הפלסטיניים הכבושים, פרנצ'סקה אלבנזה, דנה בפעולות ישראל בעזה, מתארת אותן כרצח עם ומדגישה את הסוגיה הפלסטינית כסמל להתנגדות לניצול.</t>
  </si>
  <si>
    <t>אוון דאולינג</t>
  </si>
  <si>
    <t>לונדון, בריטניה</t>
  </si>
  <si>
    <t>רצח עם, אזרחים, משבר הומניטרי, אלימות, אקדמיה, עקירה בכפייה, ראיון, תוכנית האלופים, מזון, מים, טיהור אתני, אפרטהייד, מחאות בקמפוסים</t>
  </si>
  <si>
    <t>פרנצ'סקה אלבנזה</t>
  </si>
  <si>
    <t>הדווחית המיוחדת של האומות המאוחדות: האומות המאוחדות צריכות לשקול להשעות את ישראל בשל 'רצח העם' בפלסטינים.</t>
  </si>
  <si>
    <t>הדווחית המיוחדת של האומות המאוחדות, פרנצ'סקה אלבנזה, קוראת להשעות את ישראל מהאומות המאוחדות בעקבות האשמות ברצח עם בפלסטינים, וטוענת כי ישראל הפרה את החלטות האומות המאוחדות.</t>
  </si>
  <si>
    <t>פטריק וינטור</t>
  </si>
  <si>
    <t>רצח עם, פשעים נגד האנושות, עקירה בכפייה, רעב כבד, עינויים, דיווח עיתונאי, הסתה לרצח עם, סיוע הומניטרי, פשעי מלחמה, סנקציות בינלאומיות</t>
  </si>
  <si>
    <t>ארצות הברית, האומות המאוחדות, בית הדין הבינלאומי לצדק</t>
  </si>
  <si>
    <t>גלית דיסטל-אטבריאן בפוסט מזעזע: "ברחתי בצעקות ובגוף רועד"</t>
  </si>
  <si>
    <t>תוכן הציוץ של חברת הכנסת גלית דיסטל-אטבריאן שבו היא מתארת את תגובתה להקרנת הסרט המציג את טבח ה-7 באוקטובר בדרום ישראל. דיסטל-אטבריאן קוראת לאחדות אל מול האויב, וקוראת לנקמה, לרבות "מחיקת כל עזה מעל פני האדמה", לעקירת "המפלצות העזתיות" למצרים או למוות, וכן ל"אש ותמרות עשן" על ראשיהם של "הנאצים ביהודה ושומרון".</t>
  </si>
  <si>
    <t>הידברות</t>
  </si>
  <si>
    <t>אלימות, טרור, ענישה קולקטיבית, הימין הפוליטי בישראל, הסתה לרצח עם, הסתה לאלימות, דה־הומניזציה (שלילת אנושיות)</t>
  </si>
  <si>
    <t>רופאים בעזה אומרים ל-BBC שחיילי צה"ל הכו והשפילו אותם לאחר פשיטה על בית חולים.</t>
  </si>
  <si>
    <t>אנשי צוות רפואי פלסטינים דיווחו שחיילי צה"ל הכו, השפילו ועינו אותם לאחר פשיטה על בית החולים שלהם, מה שמעורר חששות חמורים לגבי הטיפול בצוות הרפואי במהלך סכסוך מזוין.</t>
  </si>
  <si>
    <t>אליס קדי</t>
  </si>
  <si>
    <t>בריאות הציבור, השפלה, בית חולים, עינויים, התעללות, עובדי בריאות, ראיון, עצורים, מתקן כליאה, חשמל, מים, בני ערובה</t>
  </si>
  <si>
    <t>צה״ל, משרד הבריאות בעזה</t>
  </si>
  <si>
    <t>חאן יונס, בית החולים נאסר, בית החולים א-שיפא, דרום רצועת עזה, רצועת עזה</t>
  </si>
  <si>
    <t>מספר ההרוגים בעזה חצה כעת את 30,000. הנה הסיבה שזהו מספר חלקי.</t>
  </si>
  <si>
    <t>מספר ההרוגים בעזה, כפי שנמדד על ידי משרד הבריאות בעזה, עבר את ה-30,000, אך הספירה נחשבת לא מלאה בשל הסכסוך המתמשך, המערכת הרפואית העמוסה והפרעות בתקשורת.</t>
  </si>
  <si>
    <t>איה בטראוי</t>
  </si>
  <si>
    <t>בריאות הציבור, משבר הומניטרי, אזרחים, הפצצות, בית חולים, מניין ההרוגים בעזה, ערעור על מניין ההרוגים בעזה, ילדים, משפחה, תשתיות</t>
  </si>
  <si>
    <t>משרד הבריאות בעזה, חמאס</t>
  </si>
  <si>
    <t>בית החולים א-שיפא, בית החולים נאסר, חאן יונס, עיר עזה, דרום רצועת עזה, צפון רצועת עזה, רצועת עזה, אל-מוואסי</t>
  </si>
  <si>
    <t>הספרייה הציבורית המרכזית של עזה נהרסה בהפצצות ישראליות.</t>
  </si>
  <si>
    <t>הספרייה הציבורית המרכזית של עזה נהרסה בהפצצות ישראליות, מה שהוביל להאשמות בג'נוסייד תרבותי ולקריאות להתערבות בינלאומית.</t>
  </si>
  <si>
    <t>דן שיהאן</t>
  </si>
  <si>
    <t>הרס אתרים תרבותיים, ג'נוסייד תרבותי, הפצצות, משפט הומניטרי</t>
  </si>
  <si>
    <t>‘אני כל כך מפחדת, בואו בבקשה’: הינד רג'אב, בת חמש, נמצאה מתה בעזה 12 ימים לאחר הקריאה לעזרה</t>
  </si>
  <si>
    <t>הילדה הינד רג'אב בת החמש נמצאה מתה בעיר עזה יחד עם מספר בני משפחה לאחר שהתחננה לעזרה במהלך שיחת טלפון שנמשכה שלוש שעות עם אנשי הצלה, בזמן שהיא הייתה לכודה ברכב עם בני משפחתה ההרוגים.</t>
  </si>
  <si>
    <t>אמינה סינמז</t>
  </si>
  <si>
    <t>ילדים, אזרחים, משבר הומניטרי, גופות, מוות, עובדי בריאות, ירי, משפחה</t>
  </si>
  <si>
    <t>צה״ל, הסהר האדום הפלסטיני</t>
  </si>
  <si>
    <t>זוכת פרס ישראל בקטגוריית "תקומה וגבורה" מתגלה כאחייניתו של אחד התומכים המרכזיים של נתניהו</t>
  </si>
  <si>
    <t>ד"ר כוכב אלקיים לוי, זוכת פרס ישראל, מתגלה כאחייניתו של הדמות הפוליטית יעקב ברדוגו, מה שמדגיש את הקשרים המשפחתיים במינויים ממשלתיים. היא זכתה בפרס על היותה ראש "מכון דבורה" שאוסף ראיות על פשעי מלחמה ופשעי מין שביצע חמאס במתקפת 7 באוקטובר. הדו"ח שעליו זכתה בפרס לא פורסם (נכון למועד רישום זה ביוני 2025).</t>
  </si>
  <si>
    <t>נשים, שחיתות</t>
  </si>
  <si>
    <t>כוכב אלקיים-לוי, יעקב ברדוגו</t>
  </si>
  <si>
    <t>איך שיירת מזון בעזה הפכה למטרה ישראלית</t>
  </si>
  <si>
    <t>פרק זה של הפודקאסט "Tug of War" חוקר כיצד שיירת סיוע של האומות המאוחדות בעזה הותקפה על ידי ישראל בעת שניסתה להעביר אספקת מזון חיונית בעיצומו של משבר הומניטרי.</t>
  </si>
  <si>
    <t>קייטי פולגלייז, דיויד רינד</t>
  </si>
  <si>
    <t>סיוע הומניטרי, מזון, משבר הומניטרי, תת־תזונה, מים, תרופות, עובדי סיוע</t>
  </si>
  <si>
    <t>אונר״א, האומות המאוחדות, צה״ל</t>
  </si>
  <si>
    <t>צפון רצועת עזה, רצועת עזה, כביש החוף אל-רשיד</t>
  </si>
  <si>
    <t>סכנה חמורה לרעב בצפון עזה, דוח חדש מזהיר</t>
  </si>
  <si>
    <t>דוח חדש מזהיר מפני רעב מסתמן במזרח עזה, כאשר 1.1 מיליון אנשים מתמודדים עם רעב קטסטרופלי ונדרשת גישה הומניטרית דחופה כדי למנוע אובדן נוסף של חיי אדם.</t>
  </si>
  <si>
    <t>תוכנית המזון העולמית</t>
  </si>
  <si>
    <t>מזון, תת־תזונה, סיוע הומניטרי, רעב כבד, רעב</t>
  </si>
  <si>
    <t>תכנית המזון העולמית</t>
  </si>
  <si>
    <t>יהודים אמריקאים: מעל 51% תומכים בהחלטת ביידן לעצור את אספקת הנשק לישראל - סקר</t>
  </si>
  <si>
    <t>סקר מגלה שיותר מחצי מהיהודים האמריקאים תומכים בהחלטתו הפוטנציאלית של הנשיא ביידן להפסיק את משלוחי הנשק לישראל לאור החששות מהסכסוך המתמשך. כשליש מהנשאלים הסכימו עם ההאשמה שישראל מבצעת רצח עם בעזה, בעוד שכחצי לא הסכימו.</t>
  </si>
  <si>
    <t>Jerusalem Post</t>
  </si>
  <si>
    <t>צוות ירושלים פוסט</t>
  </si>
  <si>
    <t>דעת קהל, רצח עם, משלוחי נשק, מחאות בקמפוסים</t>
  </si>
  <si>
    <t>ישראל, רפיח</t>
  </si>
  <si>
    <t>ישראל בונה מגדלי שמירה ומוצבים בעזה כסימן לשאיפות לאחר המלחמה</t>
  </si>
  <si>
    <t>ישראל בונה תשתיות בתוך ומסביב למעבר נצרים, מה שמעיד על שאיפות פוטנציאליות ארוכות טווח בעקבות הסכסוך האחרון.</t>
  </si>
  <si>
    <t>קיירון מונקס</t>
  </si>
  <si>
    <t>תשתיות, פשעי מלחמה, ענישה קולקטיבית, הרס אתרים תרבותיים, משבר הומניטרי, אזרחים, הרס, טיהור אתני, בסיסים צבאיים</t>
  </si>
  <si>
    <t>לדעת מומחים צפוי רעב בצפון עזה.</t>
  </si>
  <si>
    <t>דו"ח של IPC מזהיר כי רעב צפוי בקרוב בצפון עזה, עם תחזיות המצביעות על כך ש-1.1 מיליון אנשים צפויים להתמודד עם תנאי רעב קשים בחודשים הקרובים.</t>
  </si>
  <si>
    <t>גאיה גופטה, שאשנק בנגלי</t>
  </si>
  <si>
    <t>מזון, תת־תזונה, משבר הומניטרי, רעב כבד, אזרחים, דו"ח רשמי, מוות, רעב</t>
  </si>
  <si>
    <t>בעקבות השתתפות מורה בגני תקווה במצעד הנכבה, ודרשו תלמידים את פיטוריה.</t>
  </si>
  <si>
    <t>תלמידים בבית הספר מצופים להדגים, ודורשים לפטר את המורה. משרד החינוך הודיע שהיא לא תחזור ללמד עד לסיום הליך החקירה.</t>
  </si>
  <si>
    <t>יעל אודם</t>
  </si>
  <si>
    <t>גני תקווה, ישראל</t>
  </si>
  <si>
    <t>חינוך, הנכבה, מחאה (בישראל), הגבלת חופש הביטוי</t>
  </si>
  <si>
    <t>משרד החינוך הישראלי</t>
  </si>
  <si>
    <t>גני תקווה: מורה לערבית צולמה בהפגנה עם דגלים פלסטיניים, הושעתה עד לסיום חקירה.</t>
  </si>
  <si>
    <t>מורה לערבית בגני תקווה הושעתה לאחר שצולמה בהפגנה פרו-פלסטינית, ובכך עוררה זעם בקרב הורים ותלמידים.</t>
  </si>
  <si>
    <t>אידו וינגרטן</t>
  </si>
  <si>
    <t>פרופסור ב-UCLA: למה ההנהלה לא עצרה את האלימות החמורה של הלילה שעבר?</t>
  </si>
  <si>
    <t>פרופסור מאוניברסיטת UCLA מבקר את הנהלת האוניברסיטה על כך שלא הצליחה למנוע אלימות במהלך הפגנות בקמפוס הקשורות לסכסוך בעזה - ומציין במיוחד התקפה שנמשכה שלוש שעות על המאהל של מתנגדי המלחמה מצד המפגינים נגד ההפגנה. הפרופסור משתמש במונחים חזקים ("כישלון מוחלט של המערכת מצד האוניברסיטה, העיר לוס אנג'לס ומדינת קליפורניה").</t>
  </si>
  <si>
    <t>דוד נ. מאיירס</t>
  </si>
  <si>
    <t>UCLA קליפורניה, ארה"ב</t>
  </si>
  <si>
    <t>אלימות, אקדמיה, מחאה (בינלאומית), מחאות בקמפוסים</t>
  </si>
  <si>
    <t>ישראל/השטחים הכבושים: עלייה במקרי עינויים והשפלות של עצורים פלסטינים על רקע עלייה במעצרים שרירותיים</t>
  </si>
  <si>
    <t>אמנסטי אינטרנשיונל מדווחת על עלייה מדאיגה בעינויים והשפלות של עצורים פלסטינים בשטחים הכבושים על ידי הרשויות הישראליות על רקע עלייה במעצרים שרירותיים.</t>
  </si>
  <si>
    <t>הבה מורייף</t>
  </si>
  <si>
    <t>ישראל, השטחים הכבושים</t>
  </si>
  <si>
    <t>עינויים, פשעי מלחמה, ענישה קולקטיבית, התעללות, השפלה, אלימות מינית, אלימות, אסירים, תנאי שבי, מעצר מנהלי</t>
  </si>
  <si>
    <t>מערכת הכליאה הישראלית, שירות בתי הסוהר, צה״ל, אמנסטי, המוקד להגנת הפרט</t>
  </si>
  <si>
    <t>ישראל, הגדה המערבית</t>
  </si>
  <si>
    <t>האפרטהייד של ישראל נגד הפלסטינים: מערכת אכזרית של שליטה ופשע נגד האנושות</t>
  </si>
  <si>
    <t>דו"ח אמנסטי אינטרנשיונל (280 עמודים) מנתח את מערכת הדיכוי של ישראל נגד הפלסטינים, ומסכם שהיא מהווה אפרטהייד ומבקש פעולה בינלאומית לפירוקה.</t>
  </si>
  <si>
    <t>פשעים נגד האנושות, טיהור אתני, ניתוח, סיפוח, אפרטהייד</t>
  </si>
  <si>
    <t>ישראל, הגדה המערבית, רצועת עזה</t>
  </si>
  <si>
    <t>לוחמת בלתי חוקית מעזה, אישה בת 82 חולת אלצהיימר, נכלאה בישראל במשך כחודשיים.</t>
  </si>
  <si>
    <t>אישה בת 82 מעזה חולת אלצהיימר נעצרה בישראל במשך כמעט חודשיים תחת החוק נגד לוחמים בלתי חוקיים. היא לא הורשתה לראות רופא מארגון רופאים לזכויות אדם ולא יכלה לשחזר רבים מהפרטים הרלוונטיים של חווייתה.</t>
  </si>
  <si>
    <t>אמירה הס</t>
  </si>
  <si>
    <t>כלא דמון</t>
  </si>
  <si>
    <t>התעללות, קשישים, מתקן כליאה, אזרחים, אסירים, עצורים</t>
  </si>
  <si>
    <t>מערכת הכליאה הישראלית, שירות בתי הסוהר, רופאים לזכויות אדם</t>
  </si>
  <si>
    <t>שכונת זיתון, כלא דמון</t>
  </si>
  <si>
    <t>מאז פרוץ המלחמה נעצרו כ-4000 תושבי עזה, מתוכם 1500 שוחררו מחוסר ראיות.</t>
  </si>
  <si>
    <t>כ-4,000 תושבי עזה נעצרו מאז פרוץ המלחמה, כאשר יותר מ-1,500 שוחררו מחוסר ראיות, כך לפי תגובת המדינה לבית המשפט העליון. תושבי עזה נעצרים בעקבות החוק לגבי לוחמים בלתי חוקיים, חוק שלא נעשה בו שימוש רב ב-15 השנים שקדמו למלחמה הנוכחית.</t>
  </si>
  <si>
    <t>הוועד הציבורי נגד עינויים בישראל (PCATI)</t>
  </si>
  <si>
    <t>אלימות, התעללות, עינויים, דה־הומניזציה (שלילת אנושיות), אסירים</t>
  </si>
  <si>
    <t>ממשלת ישראל, מערכת הכליאה הישראלית, בית המשפט העליון</t>
  </si>
  <si>
    <t>אוסטרליה משיבה את המימון ל-UNRWA ומתחייבת לסיוע נוסף לעזה</t>
  </si>
  <si>
    <t>שרת החוץ האוסטרלית הביעה זעזוע מהמצב ההומניטרי המידרדר בעזה והעריכה כי אונר"א אינה ארגון טרור. הצהרה זו התקבלה לאחר שאוסטרליה הקפיאה את המימון לאונר"א בינואר 2024.</t>
  </si>
  <si>
    <t>אוסטרליה</t>
  </si>
  <si>
    <t>סיוע הומניטרי, משבר הומניטרי, קמפיין נגד אונר״א</t>
  </si>
  <si>
    <t>אונר״א, אוסטרליה</t>
  </si>
  <si>
    <t>מיליארדרים דנים במבצע תקשורת נגד חמאס בשווי 50 מיליון דולר</t>
  </si>
  <si>
    <t>מיליארדרים מוול סטריט ומהוליווד מתכננים קמפיין מדיה בשווי 50 מיליון דולר כדי להגדיר את חמאס כארגון טרור בפני הציבור האמריקאי בעקבות התקפות 7 באוקטובר בישראל. כפי שכתב אחד המיליארדרים, "דעת הקהל בוודאי תשתנה כאשר סצנות, אמיתיות או מזויפות על ידי חמאס, על סבלם של אזרחים פלסטינים, יפגעו בוודאות באמפתיה הנוכחית [של ישראל] בקהילה העולמית... עלינו להקדים את הנרטיב."</t>
  </si>
  <si>
    <t>ליז הופמן, בן סמית</t>
  </si>
  <si>
    <t>מדיה, טרור, דעת קהל, תעמולה, יחסי ארה״ב–ישראל</t>
  </si>
  <si>
    <t>ארצות הברית, חמאס</t>
  </si>
  <si>
    <t>טייקוני עסקים לחצו באופן פרטי על ראש עיריית ניו יורק להשתמש במשטרה נגד המפגינים בקולומביה</t>
  </si>
  <si>
    <t>קבוצה של מיליארדרים וטייקוני עסקים שעובדים לעצב את דעת הקהל האמריקאית לגבי המלחמה בעזה, לחצה בחשאי על ראש עיריית ניו יורק בחודש שעבר לשלוח משטרה לפזר הפגנות פרו-פלסטיניות באוניברסיטת קולומביה, לפי שיחת וואטסאפ שהושגה על ידי הוושינגטון פוסט ואנשים המוכרים את הקבוצה.</t>
  </si>
  <si>
    <t>חנה נתנזון, עמנואל פלטון</t>
  </si>
  <si>
    <t>דעת קהל, אלימות, מחאה (בינלאומית), תעמולה, יחסי ארה״ב–ישראל</t>
  </si>
  <si>
    <t>שרת החוץ של קנדה: נפסיק לספק נשק לישראל</t>
  </si>
  <si>
    <t>שרת החוץ של קנדה, מלני ג'ולי, הודיעה על הפסקת משלוחי הנשק לישראל בעקבות אישור חוק לאחרונה על ידי בית הנבחרים הקנדי. קנדה אינה ספקית גדולה של נשק לישראל (רק 22 מיליון דולר בשנת 2022).</t>
  </si>
  <si>
    <t>משבר הומניטרי, דעת קהל, משלוחי נשק</t>
  </si>
  <si>
    <t>CNN מדווחת על המהלך הישראלי ליישב מחדש את רצועת עזה</t>
  </si>
  <si>
    <t>קלריסה וורד מ-CNN מדווחת על תנועת ההתיישבות הישראלית בעזה. הדיווח כולל ריאיון עם דניאלה וייס, דמות מובילה בתנועת המתיישבים בישראל, שבו היא נשאלת על האשמות של טיהור אתני.</t>
  </si>
  <si>
    <t>יוטיוב</t>
  </si>
  <si>
    <t>קלריסה וורד</t>
  </si>
  <si>
    <t>טיהור אתני, התנחלויות יהודיות בעזה, התנחלויות, הימין הקיצוני בישראל, הימין הדתי</t>
  </si>
  <si>
    <t>נחלה</t>
  </si>
  <si>
    <t>דניאלה וייס</t>
  </si>
  <si>
    <t>שר החוץ הבריטי אומר כי הדו"ח של ה-BBC על הפשיטה על בית החולים אל-נאסר 'מאוד מטריד'</t>
  </si>
  <si>
    <t>דיוויד קמרון מביע דאגה לגבי דיווח של ה-BBC המתאר התעללות לכאורה בצוותי רפואה פלסטיניים על ידי חיילים ישראלים במהלך פשיטה על בית החולים אל-נאסר בעזה. שלושה אנשי צוות רפואי סיפרו ל-BBC שהם הושפלו והוכו, שהותזו עליהם מים קרים והם נאלצו לכרוע ברך במשך שעות. הם הוחזקו במעצר במשך ימים.</t>
  </si>
  <si>
    <t>אלכס בינלי</t>
  </si>
  <si>
    <t>בריאות הציבור, בית חולים, עינויים, משפט הומניטרי, עצורים, תנאי שבי, אסירים, עובדי בריאות, התעללות</t>
  </si>
  <si>
    <t>בריטניה</t>
  </si>
  <si>
    <t>בית החולים נאסר, רצועת עזה</t>
  </si>
  <si>
    <t>שר החוץ הבריטי מאשים את ישראל בחסימת מעבר מרכזי לסיוע בעזה</t>
  </si>
  <si>
    <t>דיוויד קמרון האשים את ישראל בחסימת מעבר כרם שלום לעזה, מה שמייחס את הבעיות בהפצת הסיוע למדיניות הישראלית. לדוגמה, הוא מציין שחלק מהסיוע הממומן על ידי בריטניה נתקע בגבול במשך שלושה שבועות בהמתנה לאישור. פקיד ישראלי שהכחיש את הטענה הושעה.</t>
  </si>
  <si>
    <t>סיוע הומניטרי, מזון, מים, מצור, חסימת סיוע</t>
  </si>
  <si>
    <t>גדי קדם, ששישה מבני משפחתו נרצחו ב-7 באוקטובר, הותקף במהלך הפגנה באיילון.</t>
  </si>
  <si>
    <t>גדי קדם, ששישה מבני משפחתו נרצחו ב-7 באוקטובר, הפגין באיילון לשחרור החטופים, כאשר הותקף על ידי פעיל ימין שהחזיק בשלט שעליו כתוב "שמאלנים בוגדים."</t>
  </si>
  <si>
    <t>אבי כהן</t>
  </si>
  <si>
    <t>אלימות, מחאה (בישראל), בני ערובה, החברה הישראלית, הימין הפוליטי בישראל</t>
  </si>
  <si>
    <t>לא מראים את עזה: גדעון לוי על כך שהעיתונות הישראלית אינה מסקרת את המחיר האמיתי של המלחמה</t>
  </si>
  <si>
    <t>גדעון לוי דן בכשלים של התקשורת הישראלית בסיקור המלחמה בעזה, מדגיש את הזנחת הנפגעים הפלסטינים ואת המיקוד בנרטיבים ישראליים.</t>
  </si>
  <si>
    <t>איימי גודמן, חואן גונזלס</t>
  </si>
  <si>
    <t>מדיה, אזרחים, רצח עם, משבר הומניטרי, עיתונאים, תקשורת ישראלית, ראיון</t>
  </si>
  <si>
    <t>חברי ממשלת ישראל והקואליציה השלטת קוראים להעברת אוכלוסייה במהלך כנס ליישוב מחדש של עזה</t>
  </si>
  <si>
    <t>יותר מ-25 פקידי ממשלה וחברי קואליציה השתתפו בכנס הקורא להתיישבות יהודית ברצועת עזה, דנו בתוכניות ליוזמות התיישבות חדשות והביעו דעות שנויות במחלוקת על העברת אוכלוסייה.</t>
  </si>
  <si>
    <t>אינבר טויזר</t>
  </si>
  <si>
    <t>הסתה לאלימות, טיהור אתני, הימין הדתי, החברה הישראלית, הימין הפוליטי בישראל, התנחלויות יהודיות בעזה</t>
  </si>
  <si>
    <t>איתמר בן גביר, בצלאל סמוטריץ', אלמוג כהן, עמיחי אליהו, מאי גולן, צבי סוכות, טלי גוטליב</t>
  </si>
  <si>
    <t>גרטה טונברג נתקלת בתגובה נגדית על פוסט פרו-פלסטיני</t>
  </si>
  <si>
    <t>גרטה תונברג מתמודדת עם תגובות נזעמות על פוסטים שפרסמה כסולידריות עם אנשים בעזה. הפוסטים כללו דימויים שנויים במחלוקת והובילו לביקורת משמעותית.</t>
  </si>
  <si>
    <t>קלייר רות</t>
  </si>
  <si>
    <t>אנטישמיות, הגבלת חופש הביטוי, מחאה (בינלאומית), רשתות חברתיות</t>
  </si>
  <si>
    <t>חמאס מציע עסקה: החטופים ישוחררו לאחר הפסקת אש של שישה שבועות</t>
  </si>
  <si>
    <t>חמאס הציע עסקה שכוללת את שחרור החטופים לאחר הפסקת אש של 42 יום, לפי מקורות פלסטיניים וערביים המצויים בפרטי המו"מ. העסקה תכלול את הסרת המצור מעזה.</t>
  </si>
  <si>
    <t>ג'קי חורי, יונתן ליס, בן סמואלס</t>
  </si>
  <si>
    <t>עסקת בני ערובה, הפסקת אש, בני ערובה</t>
  </si>
  <si>
    <t>חמאס, ממשלת ישראל, ארצות הברית</t>
  </si>
  <si>
    <t>הרווארד לא תנקוט יותר בעמדות בנושאים שאינם משפיעים על 'פונקציות הליבה' שלה.</t>
  </si>
  <si>
    <t>אוניברסיטת הרווארד הודיעה שהיא לא תנקוט יותר עמדות רשמיות בנושאי מדיניות שאינם משפיעים ישירות על הפונקציות המרכזיות שלה, ותדבר רק על ענייני האוניברסיטה. ההודעה הגיעה לאחר מחאות של סטודנטים על המלחמה בעזה.</t>
  </si>
  <si>
    <t>גלוריה אולאדיפו</t>
  </si>
  <si>
    <t>אוניברסיטת הרווארד</t>
  </si>
  <si>
    <t>אקדמיה, מחאה (בינלאומית), חינוך</t>
  </si>
  <si>
    <t>ישראל, ארה"ב</t>
  </si>
  <si>
    <t>עזה: תקיפה ישראלית שהביאה למותם של 106 אזרחים - פשע מלחמה לכאורה</t>
  </si>
  <si>
    <t>ארגון Human Rights Watch מדווח על תקיפה אווירית ישראלית בעזה שהביאה למותם של לפחות 106 אזרחים, כולל 54 ילדים, ב-31 באוקטובר 2023, ומאפיין זאת כפשע מלחמה לכאורה. הארגון ממליץ לממשלות להפסיק את מכירת הנשק לישראל ולתמוך בחקירה של בית הדין הפלילי הבינלאומי.</t>
  </si>
  <si>
    <t>בניין המהנדסים, מדרום למחנה הפליטים נוסייראת</t>
  </si>
  <si>
    <t>תקיפה אווירית, אזרחים, פשעי מלחמה, ילדים, הפצצות, מבצע קרקעי, משפחה</t>
  </si>
  <si>
    <t>חמאס, צה״ל, בית הדין הפלילי הבינלאומי</t>
  </si>
  <si>
    <t>מחנה הפליטים נוסייראת, בית החולים אל-אקצא</t>
  </si>
  <si>
    <t>עזה: "הכלא הפתוח" של ישראל לאחר 15 שנים</t>
  </si>
  <si>
    <t>ארגון Human Rights Watch מדווח על השפעת מדיניות הסגר של ישראל על תושבי עזה, מציין את יום השנה החמישה עשר לסגר ומדגיש את השפעותיו על זכויות האדם ועל ההזדמנויות הנקרות בפניהם.</t>
  </si>
  <si>
    <t>מצור, פשעים נגד האנושות, משבר הומניטרי, כלכלה, חינוך, שטחים כבושים, משפט הומניטרי, נשים, אזרחים, אפרטהייד</t>
  </si>
  <si>
    <t>ממשלת ישראל, הרשות הפלסטינית, מצרים, חמאס</t>
  </si>
  <si>
    <t>ישראל הואשמה בפשעי מלחמה נגד האנושות בעקבות גירוש כפוי בעזה</t>
  </si>
  <si>
    <t>ארגון Human Rights Watch מדווח כי צווי הפינוי של ישראל מהווים גירוש כפוי מכוון של אזרחים פלסטינים בעזה, המהווה פשעי נגד האנושות.</t>
  </si>
  <si>
    <t>פשעים נגד האנושות, עקירה בכפייה, אזרחים, משבר הומניטרי, התנחלויות יהודיות בעזה, משפט הומניטרי</t>
  </si>
  <si>
    <t>ממשלת ישראל, חמאס, בית הדין הפלילי הבינלאומי</t>
  </si>
  <si>
    <t>כ-4,000 פלסטינים הועברו ממקום מגוריהם בגדה המערבית בשנת 2023</t>
  </si>
  <si>
    <t>בשנת 2023, כ-4,000 פלסטינים נעקרו מבתיהם בגדה המערבית בשל מדיניות ופרקטיקות ישראליות, מספר העקירוץ הגבוה ביותר שנרשם על ידי OCHA בשנה אחת (OCHA החלה לאסוף נתונים בשנת 2009).</t>
  </si>
  <si>
    <t>OCHA (המשרד של האומות המאוחדות לתיאום עניינים הומניטריים)</t>
  </si>
  <si>
    <t>הריסה, עקירה בכפייה, ענישה קולקטיבית, ילדים, הימין הדתי, אלימות מתנחלים</t>
  </si>
  <si>
    <t>צה״ל, OCHA, ממשלת ישראל</t>
  </si>
  <si>
    <t>אין ספק שנתניהו מונע עסקת חטופים</t>
  </si>
  <si>
    <t>בראיון בלעדי, דובר לשעבר של משפחות החטופים, חיים רובינשטיין, חושף כי נתניהו מונע עסקה לשחרור החטופים ודן בלחצים ממשרד ראש הממשלה.</t>
  </si>
  <si>
    <t>זמן ישראל</t>
  </si>
  <si>
    <t>גידיון אלון</t>
  </si>
  <si>
    <t>ישראל, קטר, רצועת עזה</t>
  </si>
  <si>
    <t>עסקת בני ערובה, בני ערובה, ראיון, צוות המו״מ הישראלי</t>
  </si>
  <si>
    <t>ממשלת ישראל, חמאס, פורום החטופים והנעדרים</t>
  </si>
  <si>
    <t>עזה: ישראל הפילה מאות פצצות במשקל טון, מראה ניתוח</t>
  </si>
  <si>
    <t>ישראל הפילה מאות פצצות במשקל טון, שככל הנראה יוצרו בארצות הברית, באזורים צפופים מאוד בעזה במהלך החודש הראשון של הסכסוך, שגרמו למספר גדול של הרוגים ולהרס רב.</t>
  </si>
  <si>
    <t>תמרה קיבלאווי, אלגרה גודווין, ג'יאנלוקה מצופiore, נימה אלבגיר</t>
  </si>
  <si>
    <t>הפצצות, אזרחים, פשעי מלחמה, תקיפה אווירית, פצצה במשקל טון</t>
  </si>
  <si>
    <t>מחנה הפליטים א-שאטי, ג'באליה, רצועת עזה</t>
  </si>
  <si>
    <t>ישראל מנסה להוציא את אונר"א מרצועת עזה מבלי למצוא תחליף.</t>
  </si>
  <si>
    <t>ישראל מגבירה את המאמצים להחליש את נוכחות אונר"א ברצועת עזה, בגדה המערבית ובמזרח ירושלים, במטרה לערער את השלטון האזרחי של חמאס בעזה. בינתיים, מספר מדינות שהפסיקו לממן את אונר"א חידשו את המימון שלהן.</t>
  </si>
  <si>
    <t>יניב קובוביץ', ג'קי חורי</t>
  </si>
  <si>
    <t>הגדה המערבית, רצטעת עזה, מזרח ירושלים</t>
  </si>
  <si>
    <t>סיוע הומניטרי, משבר הומניטרי, חינוך, בית חולים, ילדים, חסימת סיוע, קמפיין נגד אונר״א, ביזה, עקירה בכפייה</t>
  </si>
  <si>
    <t>חמאס, ממשלת ישראל, אונר״א, צה״ל</t>
  </si>
  <si>
    <t>ישראל, רצועת עזה, ירושלים, הגדה המערבית</t>
  </si>
  <si>
    <t>דרמה בתל השומר: ישראל מורה להחזיר ילדים פלסטינים הסובלים מסרטן לעזה</t>
  </si>
  <si>
    <t>ישראל הורתה על הוצאת כ-20 ילדים ומבוגרים מעזה, שהם חולי סרטן העוברים טיפולים או בשיקום במוסדות רפואיים בישראל ובירושלים המזרחית, חזרה לעזה. ארגוני זכויות האדם מתנגדים למהלך, ומביעים דאגות חמורות לגבי חוסר היכולת של המטופלים לקבל טיפול רפואי הולם במערכת הבריאות ההרוסה של עזה, כמו גם לגבי בטיחותם של המטופלים ושל המלוים אותם לנוכח העימות הצבאי המתמשך.</t>
  </si>
  <si>
    <t>אדיר ינקו</t>
  </si>
  <si>
    <t>בית החולים תל השומר, בית החולים אוגוסטה ויקטוריה, בית החולים סנט ג'ון</t>
  </si>
  <si>
    <t>בריאות הציבור, ילדים, משבר הומניטרי, אזרחים, משפט הומניטרי, בית חולים, מחלות</t>
  </si>
  <si>
    <t>ממשלת ישראל, רופאים לזכויות אדם, COGAT</t>
  </si>
  <si>
    <t>ישראל, רצועת עזה, ירושלים</t>
  </si>
  <si>
    <t>חמאס אינם לוחמי חירות | מו"ל "הארץ" מבהיר את דבריו, ממשלת נתניהו מאיימת להטיל סנקציות על העיתון</t>
  </si>
  <si>
    <t>מו"ל "הארץ", עמוס שוקן, מבהיר את דבריו הקודמים על חמאס ועל פעולות ישראל, בעוד שהממשלה של נתניהו מאיימת בסנקציות נגד העיתון. מספר שרים ומשרדי ממשלה מודיעים על צעדים נגד "הארץ".</t>
  </si>
  <si>
    <t>צנזורה, מדיה, הגבלת חופש הביטוי, תקשורת ישראלית</t>
  </si>
  <si>
    <t>ישראל תוקפת את אמנסטי על הממצאים שלה לגבי 'פשעי מלחמה, מכל הצדדים' ומכנה זאת 'אנטישמיות'</t>
  </si>
  <si>
    <t>ישראל מתחה ביקורת על אמנסטי אינטרנשיונל בטענה שהוא מוטה, לאחר שהארגון הצהיר כי כל הצדדים בסכסוך ביצעו הפרות חמורות של החוק ההומניטרי הבינלאומי וקרא להפסקת אש מיידית מכל הצדדים.</t>
  </si>
  <si>
    <t>פול דליסון, פיטר וילקה</t>
  </si>
  <si>
    <t>אנטישמיות, פשעי מלחמה, משפט הומניטרי, הפסקת אש, אזרחים</t>
  </si>
  <si>
    <t>משרד החוץ הישראלי, אמנסטי</t>
  </si>
  <si>
    <t>חצי מהתושבים בעזה בסיכון לרעב, מזהיר האו"ם</t>
  </si>
  <si>
    <t>האו"ם מזהיר כי חצי מהאוכלוסייה בעזה בסיכון לרעב בשל המשבר ההומניטרי המתמשך שהוחמר על ידי המלחמה. יותר מ-90 אחוז מהפלסטינים ברצועת עזה אומרים שהם רגילים לעבור יום שלם ללא אוכל.</t>
  </si>
  <si>
    <t>ליאם סטאק, גאיה גופטה, אבו בכר בשיר</t>
  </si>
  <si>
    <t>מזון, משבר הומניטרי, רעב כבד, ילדים, אזרחים, סיוע הומניטרי</t>
  </si>
  <si>
    <t>ממשלת ישראל, האומות המאוחדות, חמאס</t>
  </si>
  <si>
    <t>פיליפ לזאריני</t>
  </si>
  <si>
    <t>בית החולים אל-נאסר הנתון במצור 'אינו מתפקד', אומר מנהל ארגון הבריאות העולמי.</t>
  </si>
  <si>
    <t>ארגון הבריאות העולמי דיווח כי בית החולים אל-נאסר בחאן יונס - בית החולים הגדול ביותר שנותר פועל ברצועה - אינו מתפקד יותר בעקבות הפעולות הצבאיות של צה"ל. כ-20 מתוך 200 המטופלים שעדיין שוהים שם נאלצו לעבור לבתי חולים אחרים.</t>
  </si>
  <si>
    <t>וויווק שנקאר, אפרת ליבני</t>
  </si>
  <si>
    <t>בריאות הציבור, בית חולים, משבר הומניטרי, אזרחים, מבצע קרקעי, עובדי בריאות</t>
  </si>
  <si>
    <t>ארגון הבריאות העולמי, האומות המאוחדות, צה״ל</t>
  </si>
  <si>
    <t>דיווח על ההשלכות מעימותים ברצועת עזה ובישראל</t>
  </si>
  <si>
    <t>דיווח על ההשלכות מעימותים ברצועת עזה - יום 160</t>
  </si>
  <si>
    <t>מים, בריאות הציבור, עובדי בריאות, מזון, סיוע הומניטרי, נשים, ילדים, מוות, פציעה, עקירה בכפייה, חשמל, מסגדים, חינוך, הרס</t>
  </si>
  <si>
    <t>OCHA, משרד הבריאות בעזה</t>
  </si>
  <si>
    <t>דיווח על ההשלכות מעימותים ברצועת עזה - יום 125</t>
  </si>
  <si>
    <t>OCHA (משרד האו"ם לתיאום עניינים הומניטריים)</t>
  </si>
  <si>
    <t>דיווח על ההשלכות מעימותים ברצועת עזה ובישראל - יום 175</t>
  </si>
  <si>
    <t>דיווח על ההשלכות מעימותים ברצועת עזה - יום 175</t>
  </si>
  <si>
    <t>מתנחלים ישראלים עזבו את עזה ב-2005. עכשיו הם רואים הזדמנות לחזור.</t>
  </si>
  <si>
    <t>מתנחלים ישראלים משתוקקים לשוב ולהתיישב בעזה ומנסים לגייס תמיכה להתיישבות יהודית שם. הנושא מדגיש את העובדה שישראל לא החליטה כיצד לנהל את עזה לאחר המלחמה.</t>
  </si>
  <si>
    <t>נתן אודנהיימר</t>
  </si>
  <si>
    <t>התנחלויות יהודיות בעזה, הימין הקיצוני בישראל, התנחלויות, הימין הדתי, טיהור אתני</t>
  </si>
  <si>
    <t>מה אפשר לדעת על שני החטופים שישראל חילצה מרפיח</t>
  </si>
  <si>
    <t>דו"ח על חילוץ שני החטופים, פרננדו סימון מרמן ולואיס הר, על ידי כוחות הביטחון הישראלים ברפיח. הדו"ח מדגיש את מצבם ואת ההקשר של החילוץ, ומציין בקצרה כי "עשרות פלסטינים" נהרגו.</t>
  </si>
  <si>
    <t>מייק אייבס, מתיו אמפוקי ביג</t>
  </si>
  <si>
    <t>מבצע חילוץ בני ערובה, בני ערובה</t>
  </si>
  <si>
    <t>פקיד אמריקאי האשים את ישראל בהטרדה מינית של נשים פלסטיניות.</t>
  </si>
  <si>
    <t>לדברי גנרל ישראלי לשעבר פקיד במשרד החוץ האמריקאי האשים את ישראל בהטרדה מינית של נשים פלסטיניות "באופן שיטתי".</t>
  </si>
  <si>
    <t>אמיר אביבי, רדיו 103 FM</t>
  </si>
  <si>
    <t>רצועת עזה, וושינגטון</t>
  </si>
  <si>
    <t>התעללות, אלימות מינית, נשים</t>
  </si>
  <si>
    <t>בתוך הבסיס שבו ישראל כלאו אלפי תושבי עזה</t>
  </si>
  <si>
    <t>דו"ח המבוסס על שיחות עם מפקדי צה"ל, חיילים ועצירים פלסטינים ששוחררו, על התנאים והטיפול בעצירים במחנה המעצר הזמני בבסיס צה"ל שדה תימן בישראל מאז התקפות 7 באוקטובר.</t>
  </si>
  <si>
    <t>פטריק קינגסלי, בילאל שבייר</t>
  </si>
  <si>
    <t>עצורים, מתקן כליאה, התעללות, משבר הומניטרי, השפלה, אלימות, אלימות מינית, אסירים, עינויים, בית חולים, פציעה, תנאי חורף, עדות פלסטינית, תנאי שבי</t>
  </si>
  <si>
    <t>צה״ל, מערכת הכליאה הישראלית, הוועד הבינלאומי של הצלב האדום, אונר״א, רופאים לזכויות אדם</t>
  </si>
  <si>
    <t>מרכז הכליאה שדה תימן, ישראל, כלא ישראלי</t>
  </si>
  <si>
    <t>סגן מנהל רשות העתיקות בישראל בודק עתיקות בעזה</t>
  </si>
  <si>
    <t>סגן מנהל רשות העתיקות בישראל נשלח לבדוק ממצאים ארכיאולוגיים שנמצאו במחסן בעזה. הסרטון שהוא העלה כולל מדבקת "וואו!" על רקע אמפורות עתיקות וממצאים נוספים.</t>
  </si>
  <si>
    <t>עמק שווה (@EmekShavehHeb)</t>
  </si>
  <si>
    <t>רכוש מוחרם, ממצאים ארכיאולוגיים</t>
  </si>
  <si>
    <t>רשות העתיקות</t>
  </si>
  <si>
    <t>חיילים ישראלים קוראים את מגילת אסתר בבית החולים שיפא בעזה</t>
  </si>
  <si>
    <t>קבוצת חיילים ישראלים מתפללים וקוראים בספר אסתר בתוך בית החולים שיפא במהלך הפשיטה השנייה על בית החולים.</t>
  </si>
  <si>
    <t>בית חולים, רכוש מוחרם, בריאות הציבור</t>
  </si>
  <si>
    <t>עיר עזה, בית החולים א-שיפא</t>
  </si>
  <si>
    <t>תחקיר NBC: תקיפות אוויריות קטלניות ב'אזורי ביטחון' בעזה.</t>
  </si>
  <si>
    <t>תחקיר חדשות NBC גילה כי לפחות שבע תקיפות קטלניות של ישראל כווונו לאזורים בדרום עזה אשר צה"ל הישראלי קבע כאזורי פינוי בטוחים. התקיפות כווונו לאזורים במוואסי, במחנה הפליטים תל אל-סולטאן, בשכונת אל-זוהור ובמחנה אל-שבורה.</t>
  </si>
  <si>
    <t>תקיפה אווירית, אזרחים, מדיה, גופות, הרס, הפצצות, הריון, ילדים, אזורים בטוחים</t>
  </si>
  <si>
    <t>חמאס, Human Rights Watch, צה״ל</t>
  </si>
  <si>
    <t>רצועת עזה, רפיח, אל-מוואסי</t>
  </si>
  <si>
    <t>https://x.com/muhammadshehad2/status/1798345071722684760</t>
  </si>
  <si>
    <t>שלד ללא ראש נמצא בג'בליה</t>
  </si>
  <si>
    <t>השלד נמצא בג'בליה לאחר נסיגת צה"ל אחרי 19 יום של החזקת המקום והחרבתו</t>
  </si>
  <si>
    <t>תוכן מטריד, קבורה, גופות, מוות</t>
  </si>
  <si>
    <t>https://twitter.com/idfonline/status/1770422130712146254</t>
  </si>
  <si>
    <t>מטוסי קרב של חיל האוויר תקפו בכירים בוועדות החירום של חמאס במרחב רפיח</t>
  </si>
  <si>
    <t>צה״ל מפרסם תמונות של בכירים בוועדות החירום של חמאס במרחב רפיח שחוסלו על ידי חיל האוויר</t>
  </si>
  <si>
    <t>צה״ל (צבא הגנה לישראל)(@idfonline)</t>
  </si>
  <si>
    <t>תקיפה אווירית, התנקשות</t>
  </si>
  <si>
    <t>צה״ל, חמאס, משטרת עזה</t>
  </si>
  <si>
    <t>https://x.com/NourNaim88/status/1796267564953149612</t>
  </si>
  <si>
    <t>פייז אבו עטיה בת 7 חודשים מתה מרעב</t>
  </si>
  <si>
    <t>הפוסט מראה אדם המחזיק גופה של תינוקת שכולה עור ועצמות, עור מקומט ומדולדל ועיניים פעורות. שמה פייז אבו עטייה, בת 7 חודשים. היא מתה מרעב עקב הסגירה של מעבר רפיח.</t>
  </si>
  <si>
    <t xml:space="preserve">Nour Naim (@NourNaim8)
</t>
  </si>
  <si>
    <t>רעב כבד, תינוקות, ילדים, מוות, אזרחים, חסימת סיוע, תוכן מטריד</t>
  </si>
  <si>
    <t>מעבר רפיח, רצועת עזה</t>
  </si>
  <si>
    <t>https://x.com/RamAbdu/status/1800824868453089426</t>
  </si>
  <si>
    <t>חנאן אל-זאנין בת השבע נפטרה בשל מדיניות ההרעבה של ישראל</t>
  </si>
  <si>
    <t>הפוסט מראה ילדה בת שבע זמן קצר לפני שנפטרה מרעב. אמה עומדת לצד מיטתה ומספרת בערבית על נסיבות מותה. שם הילדה חנאן אל-זאנין.</t>
  </si>
  <si>
    <t>רעב כבד, ילדים, אזרחים, חסימת סיוע</t>
  </si>
  <si>
    <t>https://x.com/SkyNews/status/1797909777286090998</t>
  </si>
  <si>
    <t>הוא קטע את הרגל שלי עם סכין מטבח</t>
  </si>
  <si>
    <t>הפוסט עוסק באהד בסייסו מעזה. סרטון המראה איך הדוד שלה קוטע את רגלה על שולחן האוכל ללא חומרי הרדמה על מנת להציל את חייה, הפך ויראלי. הכתבה מספרת על הבאתה לטיפול בארצות הברית בעזרת מתנדבים,</t>
  </si>
  <si>
    <t>Sky News (@SkyNews)</t>
  </si>
  <si>
    <t>פציעה, טנקים, ירי, בריאות הציבור, ציוד רפואי מתכלה</t>
  </si>
  <si>
    <t>https://x.com/UNGeneva/status/1796579174204813488</t>
  </si>
  <si>
    <t>85% מהילדים לא אכלו במשך יום שלם לפחות פעם אחת בשלושת הימים שלפני הסקר</t>
  </si>
  <si>
    <t>ד״ר מרגרט האריס מציגה בוידאו סקר שנערך לגבי תזונת ילדים מתחת לגיל חמש בעזה. 85% מהילדים לא אכלו במשך יום שלם במהלך שלושת הימים לפני הסקר, דבר המראה שמצרכי מזון לא מגיעים לתושבי עזה.</t>
  </si>
  <si>
    <t> May 31, 2024</t>
  </si>
  <si>
    <t>United Nations Geneve (@UNGeneva)</t>
  </si>
  <si>
    <t>רעב כבד, ילדים, חסימת סיוע, תת־תזונה</t>
  </si>
  <si>
    <t>ארגון הבריאות העולמי, האומות המאוחדות</t>
  </si>
  <si>
    <t>https://x.com/UNReliefChief/status/1798118788576989489</t>
  </si>
  <si>
    <t>אספקת סיוע בעזה הפכה כמעט בלתי אפשרית. אנחנו רחוקים מהיעד שלנו</t>
  </si>
  <si>
    <t>מזכיר האו״ם לעניינים הומניטריים טוען שאספקת הסיוע לעזה הפכה כמעט בלתי אפשרית וקורא לפתיחת כל המעברים ואבטחת הגישה.</t>
  </si>
  <si>
    <t>Tom Fletcher (@UNReliefChief)</t>
  </si>
  <si>
    <t>סיוע הומניטרי, חסימת סיוע, רעב כבד</t>
  </si>
  <si>
    <t>OCHA, האומות המאוחדות</t>
  </si>
  <si>
    <t>https://twitter.com/BChutzpah19416/status/1750186862579269867</t>
  </si>
  <si>
    <t>חיילים לוקחים חפצים אישי מבתים</t>
  </si>
  <si>
    <t>בוידאו רואים חייל במדי קרב יושב ברכב צבאי ומחזיק קנקן קפה מנחושת. הוא משפשף אותו ומבקש משאלות, כולל משאלה לשלום עולמי תוך כדי צחוק</t>
  </si>
  <si>
    <t>Ben Chutzpah (@BChutzpah19416)</t>
  </si>
  <si>
    <t>ביזה, סרטי חיילים ישראלים, לעג</t>
  </si>
  <si>
    <t>https://twitter.com/AmirHetsroni/status/1743063371551822292</t>
  </si>
  <si>
    <t>פוליטיקאי ישראלי מפורסם מפציר בחיילי צה"ל לבצע פשעי מלחמה</t>
  </si>
  <si>
    <t>הפוליטיקאי הישראלי, משה פייגלין, דוחק בחיילים להרוג בעזה ללא אבחנה על מנת למנוע 7 באוקטובר נוסף</t>
  </si>
  <si>
    <t>אמיר חצרוני (@AmirHetsroni)</t>
  </si>
  <si>
    <t>החברה הישראלית, הסתה לרצח עם, הסתה לאלימות</t>
  </si>
  <si>
    <t>https://twitter.com/NaksBilal/status/1761825956950421858</t>
  </si>
  <si>
    <t>סרטון של הריסות עזה שהועלה ע״י חיילים לטלגרם</t>
  </si>
  <si>
    <t>הוידאו מראה שלושה חיילים עומדים על גג ומחזיקים דגל שכתובים עליו שמות. מצלמת הכטב״ם מתרחקת ומראה הריסות ועשן עולה במרחק.</t>
  </si>
  <si>
    <t>Naks Bilal (@NaksBilal)</t>
  </si>
  <si>
    <t>סרטי חיילים ישראלים, הרס, דומיסייד (השמדת מרחבי מחיה), הצתה</t>
  </si>
  <si>
    <t>https://twitter.com/RamAbdu/status/1789930610783408368</t>
  </si>
  <si>
    <t>הצבא הישראלי שחרר 76 אסירים מעזה, אחד מהם מת כתוצאה מעינויים</t>
  </si>
  <si>
    <t>הוידאו מראה אסירים מעזה שהוחזרו לרצועה. אחד מהם בוכה תוך כדי שיחת טלפון ומתפלל, האחרים אוכלים. לפי הפוסט אחד מהם מת כתוצאה מעינויים.</t>
  </si>
  <si>
    <t>אסירים, עצורים, תנאי שבי, מוות, עינויים</t>
  </si>
  <si>
    <t>https://twitter.com/ReneeLevant/status/1754269959927079245</t>
  </si>
  <si>
    <t>רופא ילדים פלסטיני חוזר לעבוד בבית חולים בעזה מייד לאחר שחרורו ממעצר בישראל</t>
  </si>
  <si>
    <t>רופא הילדים הפלסטיני, דר׳ סייד עבדולרחמן מערוף, נעצר בבית החולים אל אהלי והוחזק בישראל במשך 45 ימים בתנאים של רעב ועינויים. מייד עם שחרורו חזר לעבוד בבית החולים אל נג׳אר. הוא מספר שהוא לא יודע מה קרה לאישתו וילדיו כשהבית שלהם הופצץ.</t>
  </si>
  <si>
    <t>Dr. Renee Levant (@ReneeLevant)</t>
  </si>
  <si>
    <t>TRT Global</t>
  </si>
  <si>
    <t>בית החולים א-נאג'ר, רפיח</t>
  </si>
  <si>
    <t>עובדי בריאות, עצורים, תנאי שבי, אסירים, רעב כבד, עינויים, משפחה</t>
  </si>
  <si>
    <t>בית החולים מוחמד יוסף א-נג'אר</t>
  </si>
  <si>
    <t>https://twitter.com/Sarah_Hassan94/status/1754620276271149451</t>
  </si>
  <si>
    <t>את זה ישראל עשתה בעזה</t>
  </si>
  <si>
    <t>שתי כבשים ברחוב מצולמות מחלון קומה גבוהה. הן נורות ונופלות לארץ. היריות ממשיכות אך לא ניתן לראות פגיעות</t>
  </si>
  <si>
    <t>Bahaa Shamalah (@bahaashmalah)</t>
  </si>
  <si>
    <t>בעלי חיים, ירי, צלפים</t>
  </si>
  <si>
    <t>https://twitter.com/UNLazzarini/status/1788643951945150790</t>
  </si>
  <si>
    <t>ישראלים הבעירו הערב פעמיים אש בסביבת המטה של אונרא במזרח ירושלים הכבושה</t>
  </si>
  <si>
    <t>קיצוניים ישראלים תקפו מתחם של אונרא במזרח ירושלים, והבעירו אותו תוך כדי שירת ״שישרף לכם האו״ם״.</t>
  </si>
  <si>
    <t>הצתה, הימין הקיצוני בישראל, החברה הישראלית, ונדליזם, מחאה (בישראל)</t>
  </si>
  <si>
    <t>אונר״א, האומות המאוחדות</t>
  </si>
  <si>
    <t>https://twitter.com/YinonMagal/status/1754505872753979498</t>
  </si>
  <si>
    <t>הנצחון שלנו בחאן יונס</t>
  </si>
  <si>
    <t>התמונה מראה טור של עצירים פלסטיניים בתחתונים, עיניהם מכוסות וידיהם קשורות לחבל אחד, כאשר חייל מצלם אותם.</t>
  </si>
  <si>
    <t>ינון מגל (@YinonMagal)</t>
  </si>
  <si>
    <t>עצורים, השפלה, תמונות חיילים ישראלים</t>
  </si>
  <si>
    <t>ינון מגל</t>
  </si>
  <si>
    <t>https://twitter.com/abierkhatib/status/1776475339595628838</t>
  </si>
  <si>
    <t>״עובדים הומניטריים במטבח המרכזי העולמי נהרגו בטעות״. האם ההתנהגות הזו נראית לכם טעות?</t>
  </si>
  <si>
    <t>הסרטון מראה חייל צה״ל יורה ללא הבחנה מנשק אוטומטי, כשהוא אפילו לא מסתכל על המטרה תוך כדי עישון סיגריה.</t>
  </si>
  <si>
    <t>ירי חסר הבחנה, סרטי חיילים ישראלים</t>
  </si>
  <si>
    <t>https://twitter.com/adinitay/status/1756791144111816917</t>
  </si>
  <si>
    <t>זה עלינו . ביזה. והתגאות בה</t>
  </si>
  <si>
    <t>בתוך בית בעזה: חפצים אישיים מפוזרים, גרפיטי על הקיר ויד של חייל מראה שלושה שעונים למצלמה.</t>
  </si>
  <si>
    <t>עדי ארגוב (@adinitay)</t>
  </si>
  <si>
    <t>רימאל, העיר עזה</t>
  </si>
  <si>
    <t>ביזה, סרטי חיילים ישראלים, רכוש מוחרם, ונדליזם</t>
  </si>
  <si>
    <t>https://twitter.com/adinitay/status/1772903912867016869</t>
  </si>
  <si>
    <t>אין רעב בעזה יאמרו ליברלים מטעם עצמם</t>
  </si>
  <si>
    <t>הוידאו מראה מספר חיילים בתוך חנות נטושה, ככל הנראה, מנפצים זכוכיות בתנועות קראטה כביכול.</t>
  </si>
  <si>
    <t>ונדליזם, לעג, רעב כבד</t>
  </si>
  <si>
    <t>https://twitter.com/amanpour/status/1758204651927744784</t>
  </si>
  <si>
    <t>במדיה החברתית בישראל, המלחמה בעזה נראית אחרת, כאשר חיילים ישראלים מתעדים את המתקפה בזמן אמיתי</t>
  </si>
  <si>
    <t>כתבת חדשות העוסקת בסרטונים שחיילים מעלים למדיה החברתית שמעידים התנהגות בלתי הולמת של הצבא בעזה: למשל חיילים מדגימים איך לפוצץ מסגד, או מחריבים חנויות בעזה.</t>
  </si>
  <si>
    <t>Christiane Amanpour (@amanpour)</t>
  </si>
  <si>
    <t>סרטי חיילים ישראלים, רשתות חברתיות, הימין הקיצוני בישראל, החברה הישראלית, הרס, הפצצות, ונדליזם</t>
  </si>
  <si>
    <t>https://twitter.com/angeloinchina/status/1759769783409738006</t>
  </si>
  <si>
    <t>בני ערובה פלסטיניים עוברים השפלה</t>
  </si>
  <si>
    <t>הסרטון מראה מאות עצירים פלסטיניים בתחתונים, יושבים בחצר בית ספר כשידיהם מורמות, כאשר קול ברקע אומר: ״אונרא״.</t>
  </si>
  <si>
    <t>Angelo Guiliano (@angeloinchina)</t>
  </si>
  <si>
    <t>עצורים, השפלה, תנאי שבי</t>
  </si>
  <si>
    <t>צה״ל, אונר״א</t>
  </si>
  <si>
    <t>https://twitter.com/arixegal/status/1759978751524212926</t>
  </si>
  <si>
    <t>רשת ״קודס ניוז״ מביאה ראיון עם צעיר בשם רמדאן שהותקף ע״י חיילים</t>
  </si>
  <si>
    <t>ראיון עם צעיר פלסטיני בעזה שהוכה ועונה על ידי חיילים ישראלים.</t>
  </si>
  <si>
    <t>תיעודי אלימות ופשעי מלחמה (@arixegal)</t>
  </si>
  <si>
    <t>עצורים, עינויים, פציעה, אזרחים</t>
  </si>
  <si>
    <t>https://twitter.com/bernstein_ariel/status/1761809205147717664</t>
  </si>
  <si>
    <t>איך עושים הסברה לזה?</t>
  </si>
  <si>
    <t>בתמונה מופיע רכב צבאי ובתוכו חייל, מעליו נשק ועל מכסה המנוע קשורה תחתונית אדומה.</t>
  </si>
  <si>
    <t>אריאל ברנשטיין (@bernstein_ariel)</t>
  </si>
  <si>
    <t>בגדי נשים (כולל הלבשה תחתונה), תמונות חיילים ישראלים, לעג</t>
  </si>
  <si>
    <t>https://twitter.com/bokeralmog/status/1782777513678196933</t>
  </si>
  <si>
    <t>לא למדנו כלום! עזתים שמאפשרים ירי רקטות מהבתים שלהם, הם לא בלתי מעורבים!</t>
  </si>
  <si>
    <t>הטקסט טוען שכל העזתים מעורבים בטרור כי הם מאפשרים ירי רקטות מהבתים שלהם. התמונה מראה אזהרה בערבית של צה״ל לתושבי בית לאהיא לעזוב את האיזור מיידית.</t>
  </si>
  <si>
    <t>אלמוג בוקר (@bokeralmog)</t>
  </si>
  <si>
    <t>אזהרה, אזרחים, הסתה לרצח עם</t>
  </si>
  <si>
    <t>אלמוג בוקר</t>
  </si>
  <si>
    <t>https://twitter.com/brown_johnbrown/status/1743021596682371453</t>
  </si>
  <si>
    <t>הבעת שמחה למראה עצירים מעזה עוברים השפלה</t>
  </si>
  <si>
    <t>הסרטון מראה עצורים המתוארים כלוחמי נוח׳בה, קשורים ומכוסי עיניים במבנה עם גדר תיל. המצלמה מתקרבת להראות שאחד מהם עשה פיפי. הכיתוב מביע שמחה על כך שהם מושפלים על ילי חיילות.</t>
  </si>
  <si>
    <t>John Brown (@brown_johnbrown)</t>
  </si>
  <si>
    <t>מתקן כליאה, עצורים, השפלה, לעג, תנאי שבי, החברה הישראלית</t>
  </si>
  <si>
    <t>https://twitter.com/freyisrael1/status/1769996721591877793</t>
  </si>
  <si>
    <t>על מנת להשמיד את חמאס, צריך להביא את עזה לאסון הומניטרי</t>
  </si>
  <si>
    <t>קטע אודיו של צבי יחזקאלי כתב בכיר לענייני ערבים במדיה הישראלית: על מנת להשמיד את חמאס, צריך להביא את עזה לאסון הומניטרי.</t>
  </si>
  <si>
    <t>ישראל פריי (@freyisrael1)</t>
  </si>
  <si>
    <t>משבר הומניטרי, רעב כבד, הסתה לרצח עם, הימין הקיצוני בישראל, החברה הישראלית</t>
  </si>
  <si>
    <t>ישראל, צפון רצועת עזה, רצועת עזה</t>
  </si>
  <si>
    <t>צבי יחזקאלי</t>
  </si>
  <si>
    <t>https://twitter.com/grapesofwhat/status/1761332020402118799</t>
  </si>
  <si>
    <t>דמיינו את מחבלי חמאס מעלים תמונות שלהם בבתים בניר עוז משחקים בבובות של ילדים שהם רצחו</t>
  </si>
  <si>
    <t> התמונות מראות חיילים העושים צחוק מחיי היומיום בבתים פלסטיניים - משחקים בבובת ברבי, מציגים הצעת נישואין בתוך בית הרוס או גוררים מזוודות לתוך ההריסות.</t>
  </si>
  <si>
    <t>Yaniv Junam (@grapesofwhat)</t>
  </si>
  <si>
    <t>תמונות חיילים ישראלים, צעצועים, הרס, לעג</t>
  </si>
  <si>
    <t>https://twitter.com/ireallyhateyou/status/1713533460290076817</t>
  </si>
  <si>
    <t>חיילי צה״ל מתעללים בגופות</t>
  </si>
  <si>
    <t>הסרטון מראה מכונית דורסת גופה של פלסטיני בעזה, כשברקע קול צועק ״דרוס אותו״ ומקלל. לפי הטקסט הנלווה זה לקוח מערוץ האינסטגרם ״מחבלים מזווית אחרת״ המוקדש לחייליים המתעללים בגופות ומכים עצורים.</t>
  </si>
  <si>
    <t>סרטי חיילים ישראלים, תוכן מטריד, חילול גופות</t>
  </si>
  <si>
    <t>https://twitter.com/ireallyhateyou/status/1739728935779234254</t>
  </si>
  <si>
    <t>הקומיקאי הישראלי גיא הוכמן בסרטון חדש, שנעשה בשיתוף פעולה עם דובר צה"ל</t>
  </si>
  <si>
    <t>בוידאו רואים את הקומיקאי גאי הוכמן פושט את מדי הצבא וקופץ למים באקסטזה כשהוא קורא: "בעל בית צריך להרגיש כמו בעל בית, אז אנחנו עושים את זה נכון. זה הכל שלנו! זה הכל שלנו! תראו את הטיילת. ועכשיו תגידו שלום לחוף נובה! בחוף עזה!״</t>
  </si>
  <si>
    <t>Decmber 26, 2023</t>
  </si>
  <si>
    <t>סרטי חיילים ישראלים, טיהור אתני, התנחלויות יהודיות בעזה, לעג</t>
  </si>
  <si>
    <t>https://twitter.com/ireallyhateyou/status/1743296706576269446</t>
  </si>
  <si>
    <t>הקומיקאי/סטנדאפיסט גיא הוכמן לבוש במדי צה"ל מציג בוידאו לעגני בית פלסטיני הרוס בעזה</t>
  </si>
  <si>
    <t>סרטון בו נראה הקומיקאי והסטנדאפיסט גיא הוכמן כשהוא לבוש במדי צה״ל, מציג סיור לעגני בבית פלסטיני הרוס בעזה, הסרטון כולל התבטאויות בעלות אופי גזעני ומסית, ובהן השוואת ערבים לנאצים. הוכמן עצמו אינו חייל, אך נכנס לעזה בשיתוף פעולה עם צה״ל.</t>
  </si>
  <si>
    <t>רשת חברתית</t>
  </si>
  <si>
    <t>גזענות, דה־הומניזציה (שלילת אנושיות), הרס, עקירה בכפייה, החברה הישראלית, לעג, סרטי חיילים ישראלים, טיהור אתני, התנחלויות יהודיות בעזה</t>
  </si>
  <si>
    <t>https://twitter.com/ireallyhateyou/status/1745063720080793681</t>
  </si>
  <si>
    <t>הרלי, מגויס צה״ל צה"ל בן 24 מלונדון, מעלה זיכרונות משירותו בעזה באפליקצית הכרויות, כולל כיתוב "זיכרון אהוב" לתמונת ג'בליה הבוערת</t>
  </si>
  <si>
    <t>הרלי בן ה־24 מלונדון, ששירת בצה״ל, מתרברב בפרופיל ה־Hinge שלו על שריפת ג'באליה וממליץ על עזה כיעד נופש מהנה, כולל תמונה של השריפות בג'באליה עם הכיתוב: ‘זיכרון אהוב שלי’.</t>
  </si>
  <si>
    <t>תמונות חיילים ישראלים, הצתה, מבצע קרקעי, לעג, דה־הומניזציה (שלילת אנושיות), הרס</t>
  </si>
  <si>
    <t>https://twitter.com/ireallyhateyou/status/1748075046294163757</t>
  </si>
  <si>
    <t>בסרטון וידאו שפורסם בטלגרם נראה חייל צה"ל מפציץ בעזה כשהוא מחופש לדינוזאור</t>
  </si>
  <si>
    <t>בסרטון שפורסם בטלגרם נראה חייל צה״ל בתחפושת דינוזאור יורה פגזים לעבר מטרות בעזה וחוגג בריקוד.</t>
  </si>
  <si>
    <t>סרטי חיילים ישראלים, הפצצות, לעג, מבצע קרקעי, דה־הומניזציה (שלילת אנושיות)</t>
  </si>
  <si>
    <t>https://twitter.com/ireallyhateyou/status/1749956154975744455</t>
  </si>
  <si>
    <t>חיילי צה"ל בשיעור יוגה בבית של עקורים פלסטינים בעזה</t>
  </si>
  <si>
    <t>קבוצת חיילי צה"ל מתאמנת ביוגה בבית מנושל של משפחה פלסטינית בעזה.</t>
  </si>
  <si>
    <t>January 24, 2025</t>
  </si>
  <si>
    <t>החברה הישראלית, עקירה בכפייה, מבצע קרקעי, תמונות חיילים ישראלים, דה־הומניזציה (שלילת אנושיות)</t>
  </si>
  <si>
    <t>https://twitter.com/ireallyhateyou/status/1750219568428036237</t>
  </si>
  <si>
    <t>חיילי צה"ל מפוצצים 21 בתים בעזה כנקמה על מות 21 חיילים שנהרגו במקום אחר</t>
  </si>
  <si>
    <t>סרטון שמראה הריסה של 21 בתים על ידי חיילי חיל ההנדסה של צה״ל בעיר בני סוחיילה במחוז חאן יונס, כנקמה על 21 הרוגי צה״ל במקום אחר.</t>
  </si>
  <si>
    <t>בני סוהילה</t>
  </si>
  <si>
    <t>סרטי חיילים ישראלים, חומרי נפץ, הריסה, מבצע קרקעי, הרס, הפצצות, דה־הומניזציה (שלילת אנושיות)</t>
  </si>
  <si>
    <t>https://twitter.com/ireallyhateyou/status/1752433175320478060</t>
  </si>
  <si>
    <t>עצורים פלסטינים מעזה - מכוסי עיניים ואזוקים - מושפלים על ידי חייל צה"ל במהלך העברתם באוטובוס</t>
  </si>
  <si>
    <t>עצורים פלסטינים מעזה, מכוסי עיניים ואזוקים, מושפלים על ידי חייל צה"ל במהלך העברתם באוטובוס. העצורים נאלצים להלל במקהלה את משפחת אזולאי שנציגה אחד מהשומרים שלהם. הם נאלצים לברך את משפחת אזולאי, לקרוא לעצמם טרוריסטים ולהצהיר שיהיו עבדים של משפחת אזולאי לנצח.</t>
  </si>
  <si>
    <t>החברה הישראלית, סרטי חיילים ישראלים, עצורים, השפלה, לעג, דה־הומניזציה (שלילת אנושיות), התעללות, חטיפה, עינויים</t>
  </si>
  <si>
    <t>https://twitter.com/ireallyhateyou/status/1754091912040968444</t>
  </si>
  <si>
    <t>חגיגות השנה החדשה 2024 עבור חייל גולני הינן לראות עוד בית בשטח עזה עולה באש</t>
  </si>
  <si>
    <t>חייל מחטיבת גולני, מצולם על רקע הפצצות צה"ל, מצהיר בפוסט שעבורו חגיגות השנה החדשה 2024 הינן לראות עוד בית בשטח עזה שעולה באש.</t>
  </si>
  <si>
    <t>סרטי חיילים ישראלים, הריסה, הרס, חומרי נפץ, מבצע קרקעי, הפצצות, דה־הומניזציה (שלילת אנושיות)</t>
  </si>
  <si>
    <t>https://twitter.com/ireallyhateyou/status/1754458148276990180</t>
  </si>
  <si>
    <t>חיילי צה"ל מפוצצים מסגד בחאן יונס בקריאת "שמע ישראל"</t>
  </si>
  <si>
    <t>פוסט שמציג וידאו, שלטענת מחברו פורסם במקור על ידי העיתונאי עמית סגל בטלגרם, מראה חיילי צה"ל מפוצצים מסגד בחאן יונס בקריאת "שמע ישראל".</t>
  </si>
  <si>
    <t>סרטי חיילים ישראלים, דיווח עיתונאי, הימין הדתי, הרס אתרים תרבותיים, הפצצות, מסגדים, דה־הומניזציה (שלילת אנושיות), הריסה</t>
  </si>
  <si>
    <t>https://twitter.com/ireallyhateyou/status/1755973157515669708</t>
  </si>
  <si>
    <t>בוידאו: חייל צה"ל שר כשברקע בית עזתי עולה באש</t>
  </si>
  <si>
    <t>בסרטון - בית בוער בעזה כשברקע חייל צה"ל שר "ביתך בוער" למנגינת השיר של אלישה קיז: בחורה בוערת (Girl on Fire). בכתובית "צה"ל כמו צה"ל".</t>
  </si>
  <si>
    <t>סרטי חיילים ישראלים, הצתה, הרס, הצתת בתים, דה־הומניזציה (שלילת אנושיות), לעג</t>
  </si>
  <si>
    <t>https://twitter.com/ireallyhateyou/status/1756438313899024862</t>
  </si>
  <si>
    <t>הכתב אורי לוי מכאן 11 (תאגיד השידור הציבורי) מתפעל ממראה שנבזזה על ידי חיילי חטיבת גבעתי</t>
  </si>
  <si>
    <t>אורי לוי, כתב כאן 11 (תאגיד השידור הציבורי), משדר כתבה במהדורת החדשות של יום שישי בערב, בה הוא מביע התפעלות ממראה עם מסגרת מוזהבת שנבזזה מחאן יונס על ידי חיילים והובאה לחמ"ל של חטיבת גבעתי.</t>
  </si>
  <si>
    <t>דיווח עיתונאי, החברה הישראלית, חדשות, ביזה, דה־הומניזציה (שלילת אנושיות), תקשורת ישראלית</t>
  </si>
  <si>
    <t>https://twitter.com/ireallyhateyou/status/1756652152607457781</t>
  </si>
  <si>
    <t>לירות לכל מקום כל הזמן בשביל הכיף</t>
  </si>
  <si>
    <t>הסרטון מראה חייל יורה טיל לתוך עיר, כשהוא מקדיש אותו לשני אנשים שנהרגו. לאחר מכן הוא לוקח רובה אוטומטי ויורה הרבה כדורים ללא הבחנה.</t>
  </si>
  <si>
    <t>https://twitter.com/ireallyhateyou/status/1757054593656103198</t>
  </si>
  <si>
    <t>צה״ל מפוצץ מסגד ברצועת עזה</t>
  </si>
  <si>
    <t>הסרטון מראה מסגד מתפוצץ. לפי הטקסט זה נעשה בשגרה ומסגדים רבים נהרסו בעזה.</t>
  </si>
  <si>
    <t>הפצצות, הרס אתרים תרבותיים, הרס, מסגדים</t>
  </si>
  <si>
    <t>https://twitter.com/ireallyhateyou/status/1757157210356936804</t>
  </si>
  <si>
    <t>חייל ישראלי מראה בגאווה חולצות כדורגל שהוא בזז</t>
  </si>
  <si>
    <t>בסרטון רואים חייל ישראלי בבית בעזה מראה למצלמה חולצות כדורגל שהוא לוקח הביתה לילדים.</t>
  </si>
  <si>
    <t>סרטי חיילים ישראלים, ביזה, רכוש מוחרם</t>
  </si>
  <si>
    <t>https://twitter.com/ireallyhateyou/status/1757837275830907052</t>
  </si>
  <si>
    <t>רמי איגרא, לשעבר ראש חטיבת השבויים והנעדרים במוסד, אומר שאין בלתי מעורבים מעל גיל ארבע בעזה</t>
  </si>
  <si>
    <t>בראיון על איילה חסון, רמי איגרא, לשעבר ראש חטיבת השבויים והנעדרים במוסד, אומר שאין בלתי מעורבים מעל גיל ארבע בעזה.</t>
  </si>
  <si>
    <t>הטיה תקשורתית, תקשורת ישראלית, ילדים, אזרחים, סיוע הומניטרי, הסתה לאלימות, החברה הישראלית</t>
  </si>
  <si>
    <t>https://twitter.com/ireallyhateyou/status/1757920440155242710</t>
  </si>
  <si>
    <t>כשאתה פותח את הסטודיו הראשון שלך בעזה</t>
  </si>
  <si>
    <t>סרטון בו רואים חיילים מתאמנים בחדר כושר מאולתר בעזה, הועלה על ידי מדריך כושר עם הכיתוב: ״כשאתה פותח את הסטודיו הראשון שלך בעזה״. ברקע מתנגן השיר ״חרבו דרבו״.</t>
  </si>
  <si>
    <t>רכוש מוחרם, סרטי חיילים ישראלים</t>
  </si>
  <si>
    <t>https://twitter.com/ireallyhateyou/status/1758914324150538698</t>
  </si>
  <si>
    <t>אוסף של סרטונים מזעזעים מהשבוע הראשון למלחמה</t>
  </si>
  <si>
    <t>אוסף של סרטונים מהשבוע הראשון למלחמה מערוץ הטלגרם ״טרוריסטים מזוית אחרת״ של חיילים ואזרחים ישראלים מענים עצורים ומתעללים בגופות, תוך כדי קללות.</t>
  </si>
  <si>
    <t>סרטי חיילים ישראלים, עינויים, התעללות, עצורים, גופות, חילול גופות, תוכן מטריד</t>
  </si>
  <si>
    <t>https://twitter.com/ireallyhateyou/status/1759571535637954816</t>
  </si>
  <si>
    <t>התעללות בעצירים בערוץ 13</t>
  </si>
  <si>
    <t>הוידאו מראה אסירים פלסטיניים, שנאמר שהם לוחמי נוח׳בה, בכלא ישראלי. הגוף שלהם מקופל והם קשורים אחד לשני בתא קטן וצפוף בחושך. הכתב מתאר את תנאי הכליאה ונשמע שהם מניחים את דעתו.</t>
  </si>
  <si>
    <t>אסירים, תנאי שבי, עינויים, תקשורת ישראלית, החברה הישראלית</t>
  </si>
  <si>
    <t>https://twitter.com/ireallyhateyou/status/1760354792663142557</t>
  </si>
  <si>
    <t>אני גאה באופן אישי בהריסות עזה</t>
  </si>
  <si>
    <t>שרת השוויון החברתי וקידום נשים, מאי גולן מהליכוד, במהלך דיון בכנסת בנוגע להצעה להרחיק את ח"כ עופר כסיף: "אני גאה באופן אישי בהריסות עזה, ובכך שכל תינוק, אפילו בעוד 80 שנה, יספר לנכדיו מה היהודים עשו".</t>
  </si>
  <si>
    <t>ערוץ הכנסת 99</t>
  </si>
  <si>
    <t>הסתה לאלימות, החברה הישראלית, הימין הקיצוני בישראל, הרס, 7 באוקטובר 2023</t>
  </si>
  <si>
    <t>מאי גולן</t>
  </si>
  <si>
    <t>https://twitter.com/ireallyhateyou/status/1760599708857237838</t>
  </si>
  <si>
    <t>הצנחנים עשו קופה בחאן יונס</t>
  </si>
  <si>
    <t>תמונה של ערמות של שטרות של 20 שקל על שולחן אוכל הועלתה בערוץ הטלגרם של ינון מגל עם הכיתוב :״הצנחנים עשו קופה בחאן יונס״.</t>
  </si>
  <si>
    <t>ביזה, תמונות חיילים ישראלים, רכוש מוחרם</t>
  </si>
  <si>
    <t>https://twitter.com/ireallyhateyou/status/1761849659671085212</t>
  </si>
  <si>
    <t>תמונה קבוצתית עם בתים בוערים ברקע</t>
  </si>
  <si>
    <t>התמונה מראה קבוצה של כעשרה חיילי צה״ל במדי קרב מרימים את הרובים ומחזיקים דגל ישראל. ברקע, במרחק קצר מהם, בתים בוערים. הכיתוב הוא: ״זר לא יבין זאת״.</t>
  </si>
  <si>
    <t>הצתה, תמונות חיילים ישראלים, הרס</t>
  </si>
  <si>
    <t>https://twitter.com/ireallyhateyou/status/1761868392326148474</t>
  </si>
  <si>
    <t>איך הכנו חומוס בעזה?</t>
  </si>
  <si>
    <t>הסרטון מראה חייל צה״ל בלי חולצה, בתוך בית בעזה, מכין חומוס כאילו הוא בתכנית בישול. לאחר מכן נראה בגלבייה מגיש את האוכל לחיילים האחרים.</t>
  </si>
  <si>
    <t>מזון, סרטי חיילים ישראלים, ביזה, רכוש מוחרם, לעג</t>
  </si>
  <si>
    <t>https://twitter.com/ireallyhateyou/status/1762543392997703956</t>
  </si>
  <si>
    <t>שאני אקח את החטיף נאצ׳וס?</t>
  </si>
  <si>
    <t>הסרטון מראה חייל משחק כאילו הוא קונה חטיף בחנות, ואז המצלמה זזה ורואים שהחנות הרוסה לגמרי.</t>
  </si>
  <si>
    <t>מזון, סרטי חיילים ישראלים, לעג, הרס, ביזה</t>
  </si>
  <si>
    <t>https://twitter.com/ireallyhateyou/status/1762556002711289987</t>
  </si>
  <si>
    <t>חיי בתוך לול תינוקות עם בובת טוויטי</t>
  </si>
  <si>
    <t>בתמונה רואים חייל ישן בתוך לול תינוקות בתוך בית בעזה כשהוא מחבק את הרובה שלו ובובת טוויטי גדולה. הכיתוב אומר: ״מי אמר שאי אשפר לנסוע לחו״ל בלי דרכון״? תמונה נוספת מראה קבוצה של חיילים בבית בעזה מציתים את דגל פלסטין.</t>
  </si>
  <si>
    <t>תמונות חיילים ישראלים, לעג, ילדים, צעצועים, הצתה</t>
  </si>
  <si>
    <t>https://twitter.com/ireallyhateyou/status/1763682787054211217</t>
  </si>
  <si>
    <t>תמונות עם בגדים של נשים פלסטיניות</t>
  </si>
  <si>
    <t>שתי תמונות, באחת רואים שלושה חיילים לבושים בבגדי נשים פלסטיניות מעל המדים. בשנייה רואים חייל יושב על נדנדה ומחזיק דובי גדול, כשחייל אחר דוחף אותו.</t>
  </si>
  <si>
    <t>תמונות חיילים ישראלים, צעצועים, בגדי נשים (כולל הלבשה תחתונה), לעג, ביזה, רכוש מוחרם</t>
  </si>
  <si>
    <t>https://twitter.com/ireallyhateyou/status/1766193632661447085</t>
  </si>
  <si>
    <t>חיילים מבצעים פשעי מלחמה ומעלים למדיה חברתית</t>
  </si>
  <si>
    <t>שמונה תמונות שחיילים העלו לרשתות חברתיות: חיילים מתלהבים מטבעת שבזזו, חייל עם דובי לבוש בציוד קרבי ורובה, חייל מנגן על עוד שנבזז, חייל מצטלם כשבית בוער מאחוריו.</t>
  </si>
  <si>
    <t>תמונות חיילים ישראלים, ביזה, צעצועים, הצתה, רכוש מוחרם, לעג</t>
  </si>
  <si>
    <t>https://twitter.com/ireallyhateyou/status/1768045698350465445</t>
  </si>
  <si>
    <t>אנחנו שורפים להם את הכפר. זה טוב שאנחנו שורפים להם את הכפר</t>
  </si>
  <si>
    <t>הזמר הישראלי הפופולרי קובי פרץ: ״עזה חייבת להימחק עם או בלי אטום. להכחיד את כל מי שנמצא שם כי כולם שם מחבלים אפסים חלאות. תוציאו את החטופים שלנו ותמחקו את כל המקום הזה״.</t>
  </si>
  <si>
    <t>ערוץ 14</t>
  </si>
  <si>
    <t>הסתה לאלימות, החברה הישראלית, הסתה לרצח עם, דה־הומניזציה (שלילת אנושיות)</t>
  </si>
  <si>
    <t>בית הדין הבינלאומי לצדק, צה״ל</t>
  </si>
  <si>
    <t>https://twitter.com/ireallyhateyou/status/1768989430084227090</t>
  </si>
  <si>
    <t>השיר ״מי משוגע״ של דודא גאנג</t>
  </si>
  <si>
    <t>שיר ההיפ הופ הישראלי הפופולרי ״מי משוגע?״ של דודא גאנג כולל את השורות הבאות: ״נכנסנו לעזה נצא רק כשלא ישאר״ ״כל הפטמות שכם נראות כמו פוטות״ ״אין לכם לחם או מים אה וגם אין לכם בית (ש-גר)״.</t>
  </si>
  <si>
    <t>March 16, 2024</t>
  </si>
  <si>
    <t>הסתה לאלימות, הסתה לרצח עם, החברה הישראלית, רשתות חברתיות</t>
  </si>
  <si>
    <t>https://twitter.com/ireallyhateyou/status/1769159335299485732</t>
  </si>
  <si>
    <t>סטנדאפיסט ישראלh לועג לעזתים שאיבדו את חייהם בהצנחת מצנח כושלת</t>
  </si>
  <si>
    <t>סטנדאפיסט ישראלי פופולרי (502 אלף עוקבים באינסטגרם) לועג לעזתים שאיבדו את חייהם בהצנחת מצנח כושלת. הקהל משתגע.</t>
  </si>
  <si>
    <t>לעג, דה־הומניזציה (שלילת אנושיות), הצנחת סיוע, סיוע הומניטרי, רעב כבד, החברה הישראלית</t>
  </si>
  <si>
    <t>https://twitter.com/ireallyhateyou/status/1773452109532323868</t>
  </si>
  <si>
    <t>שירן אני אוהב אותך</t>
  </si>
  <si>
    <t>חייל צה״ל במדים קרביים ורובה מרסס גרפיטי על קיר בית הרוס בעזה: ״שירן אני אוהב אותך. אך לביאה״. ברקע נשמע שיר רומנטי.</t>
  </si>
  <si>
    <t>סרטי חיילים ישראלים, ונדליזם, הרס</t>
  </si>
  <si>
    <t>https://twitter.com/ireallyhateyou/status/1775162156792631334</t>
  </si>
  <si>
    <t>הודעות בערוץ הטלגרם ״טרוריסטים מזווית אחרת״ בעקבות הרג עובדי הסיוע הבינלאומיים</t>
  </si>
  <si>
    <t>הודעות שהועלו בערוץ הטלגרם ״מחבלים מזווית אחרת״ (125,000 עוקבים) בעקבות הרג עובדי הסיוע, כולל תמונה של אחד ההרוגים והדרכונים של שניים אחרים בליווי כיתוב לעגני.</t>
  </si>
  <si>
    <t>עובדי סיוע, לעג, סיוע הומניטרי, החברה הישראלית</t>
  </si>
  <si>
    <t>המטבח המרכזי העולמי</t>
  </si>
  <si>
    <t>https://twitter.com/ireallyhateyou/status/1775564585329729787</t>
  </si>
  <si>
    <t>חיילים ישראלים בעזה מצלמים אביזרי מין</t>
  </si>
  <si>
    <t>תמונה שצולמה על ידי חיילי צה״ל של מבחר אביזרי מין שנמצאו ככל הנראה בבית בעזה.</t>
  </si>
  <si>
    <t>תמונות חיילים ישראלים</t>
  </si>
  <si>
    <t>https://twitter.com/ytirawi/status/1760038133872095300</t>
  </si>
  <si>
    <t>חיילים מפוצצים בתים בחאן יונס</t>
  </si>
  <si>
    <t>בסרטון שומעים חיילים סופרים לאחור עד לפיצוץ בנייני מגורים ואז רואים את הפיצוץ כשהחיילים מריעים ברקע.</t>
  </si>
  <si>
    <t>סרטי חיילים ישראלים, הפצצות</t>
  </si>
  <si>
    <t>https://x.com/ytirawi/status/1801700803251695684</t>
  </si>
  <si>
    <t>חייל העלה תמונות של אשה פלסטינית מבוגרת</t>
  </si>
  <si>
    <t>חייל העלה תמונות של אשה פלסטינית מבוגרת שככל הנראה נמצאו בעזה. הוא הוסיף את הכיתוב OCT 7 לתמונה שבה האשה צוחקת, ואת הכיתוב OCT 8 לזו שבה היא נראית פחות שמחה.</t>
  </si>
  <si>
    <t>תמונות חיילים ישראלים, נשים, קשישים</t>
  </si>
  <si>
    <t>https://twitter.com/RamAbdu/status/1775555921151693151</t>
  </si>
  <si>
    <t>למרות הבכי של המשפחה, חיילים עצרו ילד בן תשע בבית לחם</t>
  </si>
  <si>
    <t>ילד בן תשע מבית לחם נקרע מידי אימו ונעצר ע״י חייל צה״ל לקול בכי נשות המשפחה.</t>
  </si>
  <si>
    <t>בית לחם</t>
  </si>
  <si>
    <t>ילדים, עצורים, התעללות, מעצר</t>
  </si>
  <si>
    <t>https://twitter.com/YehudaShaul/status/1758122975386014057</t>
  </si>
  <si>
    <t>מתנחלים מגדרים את ח׳ירבת זנוטה לאחר שגרשו את התושבים</t>
  </si>
  <si>
    <t>לאחר שגרשו את התושבים הפלסטינים, מתנחלים באו וגידרו את שטח הכפר על מנת לתפוס את השטח ולמנוע את חזרת התושבים.</t>
  </si>
  <si>
    <t>חרבת זנוטה</t>
  </si>
  <si>
    <t>התנחלויות, סנקציות בינלאומיות, אלימות מתנחלים</t>
  </si>
  <si>
    <t>https://twitter.com/Yesh_Din/status/1779501559379849229</t>
  </si>
  <si>
    <t>מתנחלים מבעירים מכונית בדיר דיבוואן</t>
  </si>
  <si>
    <t>וידאו ממצלמת אבטחה מראה שני מתנחלים רעולי פנים נכנסים לגראז׳, מבעירים מכונית, ומצטרפים לאחרים ששומרים בחוץ</t>
  </si>
  <si>
    <t>יש דין אנגלית (@Yesh_Din)</t>
  </si>
  <si>
    <t>דיר דיבוואן</t>
  </si>
  <si>
    <t>התנחלויות, אלימות מתנחלים, הצתה, ונדליזם</t>
  </si>
  <si>
    <t>https://twitter.com/adinitay/status/1771990979333026009</t>
  </si>
  <si>
    <t>חיילי צה״ל מכריחים פלסטיני ילד להוריד את החולצה</t>
  </si>
  <si>
    <t>וידאו ממצלמת אבטחה בתוך חנות מראה ילד פלסטיני, הלובש חולצה עם הדפס של רובה, עושה קניות עם אמו. חיילים נכנסים עם רובים אמיתיים, מכריחים את הילד להוריד את החולצה וסוטרים לו. נראה שהם גם מאיימים על האם.</t>
  </si>
  <si>
    <t>ילדים, התעללות</t>
  </si>
  <si>
    <t>https://twitter.com/adinitay/status/1781214747104252184</t>
  </si>
  <si>
    <t>כחלק ממעצר, כלב תוקף אדם השוכב על רצפת חדר השינה</t>
  </si>
  <si>
    <t>הוידאו מראה מבצע מעצר בטולכרם שבו כלב מתנפל על אדם השוכב על רצפת חדר שינה בין המיטות ולאחריו נכנסים שני חיילים ומכוונים את הרובה לכיוונו</t>
  </si>
  <si>
    <t>April 19, 2024</t>
  </si>
  <si>
    <t>טול כרם</t>
  </si>
  <si>
    <t>עצורים, התעללות, מעצר</t>
  </si>
  <si>
    <t>https://twitter.com/ireallyhateyou/status/1754079208643420204</t>
  </si>
  <si>
    <t>המשטרה הרגה מתקוממים במזרח ירושלים</t>
  </si>
  <si>
    <t>סגן ראש עריית ירושלים, אריה קינג, מגלה לערוץ 14 שבימים לאחר ה7 לאוקטובר המשטרה ירתה על מנת להרוג מתקוממים במזרח ירושלים שזרקו אבנים, זיקוקים או בקבוקי תבערה.</t>
  </si>
  <si>
    <t>February , 24, 2024</t>
  </si>
  <si>
    <t>ירי</t>
  </si>
  <si>
    <t>https://twitter.com/ireallyhateyou/status/1765200009580925182</t>
  </si>
  <si>
    <t>סרטון שהעלה חייל בטיקטוק עם הכותרת "עושים כיף גם באיו"ש" (איזור יהודה ושומרון - הגדה המערבית)</t>
  </si>
  <si>
    <t>סרטון שהעלה חייל בטיקטוק תחת הכותרת "עושים כיף גם באיו"ש" (אזור יהודה ושומרון - הגדה המערבית). הסרטון כולל תיעוד של פלסטינים חטופים, כשעיניהם מכוסות ככל הנראה בשקית פלסטיק, וחיילים יורים וזורקים רימוני הלם בעיירה פלסטינית בשעות הלילה.</t>
  </si>
  <si>
    <t>מעצר, סרטי חיילים ישראלים, החברה הישראלית, שטחים כבושים, השפלה, דה־הומניזציה (שלילת אנושיות), חטיפה, התעללות, עצורים</t>
  </si>
  <si>
    <t>https://twitter.com/itamarbengvir/status/1767860298432528673</t>
  </si>
  <si>
    <t>השר לבטחון לאומי איתמר בן גביר מגיע למשרדי מח"ש (המחלקה לחקירת שוטרים) לתת גיבוי מלא ללוחם מג"ב (משמר הגבול) שירה למוות בנער בן 12 שירה זיקוק על לוחמים</t>
  </si>
  <si>
    <t>השר לבטחון לאומי, בן גביר, מגיע למשרדי מח"ש (המחלקה לחקירת שוטרים) לתת גיבוי מלא ללוחמי משמר הגבול אחרי שלוחם ירה למוות בנער רמי חמדאן אל-חלחולי בן 12 במחנה הפליטים שועפאט שבירושלים. הנער ירה זיקוק לעבר כוחות הביטחון ונורה למוות. לדברי השר: "לוחם שעושה בדיוק את מה שמצופה ממנו - צריך לקבל צל"ש, לא חקירה במח"ש!"</t>
  </si>
  <si>
    <t>איתמר בן גביר (@itamarbengvir)</t>
  </si>
  <si>
    <t>אלימות, הימין הקיצוני בישראל, החברה הישראלית, ירי, ילדים, התעללות, מוות</t>
  </si>
  <si>
    <t>ממשלת ישראל, משטרת ישראל, משמר הגבול</t>
  </si>
  <si>
    <t>https://twitter.com/ofercass/status/1785416217152344434</t>
  </si>
  <si>
    <t>חיילי משמר הגבול מכים (ללא סיבה) עוברי אורח פלסטינים במזרח ירושלים</t>
  </si>
  <si>
    <t>בסרטון - חיילי משמר הגבול מכים (ללא סיבה) עוברי אורח פלסטינים באלות במזרח ירושלים.</t>
  </si>
  <si>
    <t>https://www.silwanic.net/</t>
  </si>
  <si>
    <t>אלימות, התעללות, שטחים כבושים, השפלה, עדות פלסטינית, אזרחים</t>
  </si>
  <si>
    <t>משמר הגבול</t>
  </si>
  <si>
    <t>עופר כסיף</t>
  </si>
  <si>
    <t>https://twitter.com/origivati/status/1767806214254002619</t>
  </si>
  <si>
    <t>עיתונאים מנפחים את האירוע שבו שוטר מג"ב ירה למוות בילד בן 12, ומוסיפים פרטים שלא קרו כדי להצדיק את הירי</t>
  </si>
  <si>
    <t>עיתונאים מנפחים את האירוע שבו שוטר מג"ב ירה למוות בילד בן 12 במחנה הפליטים שועפאט בירושלים , ומוסיפים פרטים שלא קרו כדי להצדיק את הירי. בארוע הילד ירה זיקוק בודד, בסיקור העיתונאי: זיקוקים/בקבוקי תבערה/הפרות סדר אלימות מאוד וסיכון חיים.</t>
  </si>
  <si>
    <t>אורי גבעתי (@origivati)</t>
  </si>
  <si>
    <t>קשת 12, רשת 13, ערוץ 14, כאן 11</t>
  </si>
  <si>
    <t>ילדים, שטחים כבושים, דיווח עיתונאי, ירי, מוות, התנקשות, דה־הומניזציה (שלילת אנושיות), חדשות, תקשורת ישראלית, החברה הישראלית</t>
  </si>
  <si>
    <t>https://twitter.com/ytirawi/status/1758619734809928130</t>
  </si>
  <si>
    <t>חייל ישראלי חוגג את יום הולדתו ליד עציר פלסטיני כבול</t>
  </si>
  <si>
    <t>התמונה מראה חייל ישראלי מחזיק בלונים ומחייך כאשר לידו על האדמה שוכב צעיר פלסטיני כפות עם עיניים מכוסות.</t>
  </si>
  <si>
    <t>ג'נין</t>
  </si>
  <si>
    <t>השפלה, עצורים, סרטי חיילים ישראלים</t>
  </si>
  <si>
    <t>https://twitter.com/ytirawi/status/1768010284860416327</t>
  </si>
  <si>
    <t>חיילים ישראלים מציתים דגל פלסטיני, יורקים עליו ומנגבים עליו את הנעלים</t>
  </si>
  <si>
    <t>הסרטון מראה חיילים ישראלים מבזים את דגל פלסטין, משחקים איתו, מבעירים אותו ומנגבים עליו את הנעליים.</t>
  </si>
  <si>
    <t>קלקיליה</t>
  </si>
  <si>
    <t>השפלה, סרטי חיילים ישראלים, דגל פלסטין</t>
  </si>
  <si>
    <t>https://twitter.com/ytirawi/status/1770743445969064360</t>
  </si>
  <si>
    <t>גרוש קהילה פלסטינית</t>
  </si>
  <si>
    <t>שלוש תמונות המראות ערימת מיטות ומזרונים על דרך עפר וגברים מעמיסים משאית ישנה. מדובר בתיעוד של גרוש הקהילה הפלסטינית סוח׳ן משכם, המונה עשר משפחות, בעקבות התקפות מתנחלים.</t>
  </si>
  <si>
    <t>שכם</t>
  </si>
  <si>
    <t>עקירה בכפייה, אלימות מתנחלים, התנחלויות</t>
  </si>
  <si>
    <t>https://twitter.com/ytirawi/status/1780354741882474980</t>
  </si>
  <si>
    <t>חיילים ישראלים מציתים דגל פלסטיני ומשפילים עצור פלסטיני</t>
  </si>
  <si>
    <t>שני סרטונים: מצד שמאל חיילים ישראלים מציתים ודורכים על דגל פלסטין; מצד ימין חייל ישראלי מכריח עציר פלסטיני עם עינים מכוסות לומר שהוא אוהב את ישראל ושאין פלסטין.</t>
  </si>
  <si>
    <t>השפלה, עצורים, סרטי חיילים ישראלים, דגל פלסטין</t>
  </si>
  <si>
    <t>בית חאנון, הגדה המערבית</t>
  </si>
  <si>
    <t>https://twitter.com/ytirawi/status/1781397024417448055</t>
  </si>
  <si>
    <t>חייל ישראלי מכריח עצור פלסטיני להגיד: ״אני אוהב את ישראל!״</t>
  </si>
  <si>
    <t>מצד שמאל תמונה שני חיילים רעולי פנים מחזיקים דגל ישראל מעל לעצור פלסטיני כפוף עם הראש באדמה וידים קשורות מאחורי הגב. בצד ימין סרטון ובו חייל ישראלי מכריח עצור פלסטיני להגיד: ״אני אוהב את ישראל!״</t>
  </si>
  <si>
    <t>https://twitter.com/ytirawi/status/1781677858953285846</t>
  </si>
  <si>
    <t>מתנחלים תוקפים מכוניות פלסטיניות</t>
  </si>
  <si>
    <t>שני סרטונים: מצד שמאל ניתן לראות, ככל הנראה, מתנחלים בורחים לאחר שתקפו מכוניות בכביש מוערג׳את בדרך ליריחו. מצד ימין נראית מכונית עם שמשמות מנופצות לאחר התקפת מתנחלים ברמאללה.</t>
  </si>
  <si>
    <t>רמאללה</t>
  </si>
  <si>
    <t>ונדליזם, אלימות מתנחלים</t>
  </si>
  <si>
    <t>הגדה המערבית, רמאללה</t>
  </si>
  <si>
    <t>https://twitter.com/ytirawi/status/1782135295204262065</t>
  </si>
  <si>
    <t>מתנחלים חוסמים את הדרך לקהילת חירבת עין אל-חילווה בצפון בקעת הירדן</t>
  </si>
  <si>
    <t>סרטון וידאו המראה מתנחלים החוסמים את הדרך לקהילת חירבת עין אל-חילווה בצפון בקעת הירדן, קהילה שהותקפה ונבזזה על ידי 20 מתנחלים בשבוע הקודם בידיעת הצבא הישראלי.</t>
  </si>
  <si>
    <t>חירבת עין אל חילווה</t>
  </si>
  <si>
    <t>אלימות מתנחלים, התעללות, השפלה, ביזה, ונדליזם, מצור, שטחים כבושים</t>
  </si>
  <si>
    <t>צה״ל, משטרת ישראל</t>
  </si>
  <si>
    <t>בקעת הירדן, הגדה המערבית</t>
  </si>
  <si>
    <t>https://twitter.com/ytirawi/status/1782837821432082700</t>
  </si>
  <si>
    <t>חיילים ישראלים מציגים תחתוני נשים שבזזו מבית שפשטו עליו בעיר שכם</t>
  </si>
  <si>
    <t>בתצלום שפורסם בחשבונות האינסטגרם שלהם נראים חיילים ישראלים מציגים תחתוני נשים שנבזזו מבית שעליו פשטו בשכם.</t>
  </si>
  <si>
    <t>תמונות חיילים ישראלים, ביזה, התעללות, השפלה, רשתות חברתיות, שטחים כבושים</t>
  </si>
  <si>
    <t>שכם, הגדה המערבית</t>
  </si>
  <si>
    <t>https://twitter.com/ytirawi/status/1787112612880105776</t>
  </si>
  <si>
    <t>פלסטינים מובלים ע" חיילים ברחוב עירוני בחברון, כשהם מופשטים עד לתחתוניהם, לפני חטיפתם</t>
  </si>
  <si>
    <t>פלסטינים מובלים ע" חיילי צה"ל מגדוד נצח יהודה, ברחוב בעיר חברון, כשהם מופשטים עד לתחתוניהם, לפני חטיפתם.</t>
  </si>
  <si>
    <t>May 5, 2024</t>
  </si>
  <si>
    <t>חברון</t>
  </si>
  <si>
    <t>תמונות חיילים ישראלים, התעללות, חטיפה, השפלה, עצורים, מעצר, רשתות חברתיות, שטחים כבושים</t>
  </si>
  <si>
    <t>חברון, הגדה המערבית</t>
  </si>
  <si>
    <t>https://twitter.com/ytirawi/status/1790921496421937522</t>
  </si>
  <si>
    <t>סגן ראש עיריית באר שבע, שמעון טובול מפרסם: "הבוקר, יש לי הזכות ללבוש את המדים הירוקים-זית ולקיים את מצוות מחיית עמלק"</t>
  </si>
  <si>
    <t>סגן ראש עיריית באר שבע, שמעון טובול שהוא גם סמל ב-8239 בגבעתי, מפרסם: "הבוקר, יש לי הזכות ללבוש את המדים הירוקים-זית ולקיים את מצוות מחיית עמלק".</t>
  </si>
  <si>
    <t>May 15, 2024</t>
  </si>
  <si>
    <t>עמלק, תמונות חיילים ישראלים, הסתה לרצח עם, רשתות חברתיות, פשעי מלחמה, שטחים כבושים</t>
  </si>
  <si>
    <t>צה״ל, בית הדין הבינלאומי לצדק</t>
  </si>
  <si>
    <t>https://x.com/Issaamro/status/1796595059259044284</t>
  </si>
  <si>
    <t>סרטון המראה מתנחל ישראלי הורס קיר של בית וחייל שנמצא ליידו אינו עושה דבר כדי לעצור אותו</t>
  </si>
  <si>
    <t>סרטון המראה מתנחל ישראלי הורס קיר של בית בחברון, חייל סמוך אליו אינו עושה דבר כדי לעצור אותו.</t>
  </si>
  <si>
    <t>Issa Amro (@Issaamro)</t>
  </si>
  <si>
    <t>אלימות מתנחלים, הריסה, הרס, עדות פלסטינית, התעללות, השפלה, ונדליזם, שטחים כבושים</t>
  </si>
  <si>
    <t>https://x.com/LensVeritatis/status/1793454169741033661</t>
  </si>
  <si>
    <t>סרטון המראה גברים פלסטינים, כמעט עירומים, נאלצים להשתחוות ומוכים בבעיטות על ידי חיילים בג'נין, שבגדה המערבית.</t>
  </si>
  <si>
    <t>סרטון המראה ארבעה צעירים פלסטינים יושבים על הברכיים בחוץ בלילה, כמעט ערומים, נאלצים להשתחוות ומוכים בבעיטות על ידי חיילים בג'נין, הגדה המערבית.</t>
  </si>
  <si>
    <t>התעללות, השפלה, סרטי חיילים ישראלים, אלימות, עצורים, עינויים, שטחים כבושים</t>
  </si>
  <si>
    <t>https://x.com/Mistaclim/status/1794071598372172056</t>
  </si>
  <si>
    <t>בסרטון - שלושה מתנחלים רעולי פנים שהגיעו בלילה וגנבו 20 עיזים מקהילת הרועים מערג׳את שבדרום בקעת הירדן</t>
  </si>
  <si>
    <t>סרטון המתעד שלושה מתנחלים רעולי פנים שהגיעו בלילה ברכב עם צ׳קלקה וגנבו 20 עיזים מקהילת רועים – מערג׳את שבדרום בקעת הירדן.</t>
  </si>
  <si>
    <t>מוערג'את</t>
  </si>
  <si>
    <t>אלימות מתנחלים, שטחים כבושים, ביזה, אזרחים, עדות פלסטינית, התעללות, השפלה</t>
  </si>
  <si>
    <t>בקעת הירדן</t>
  </si>
  <si>
    <t>https://x.com/QudsNen/status/1801295354840629385</t>
  </si>
  <si>
    <t>סרטון המתעד מתנחל חמוש הפולש לבית פלסטיני מדרום לעיר חברון, כשהוא יושב בנחת על המזרנים של בעלי הבית ורובהו מונח לצידו</t>
  </si>
  <si>
    <t>וידאו המתעד מתנחל חמוש פולש לבית פלסטיני מדרום לעיר חברון, יושב בנחת על המזרנים של דיירי הבית כשרובהו מונח לצידו. הוא מתגרה בפלסטינים כדי לעורר את תגובתם, ביודעו שדווח בעבר על מקרים שבהם פלסטינים נעצרו בסיטואציות כאלה, שכן כוחות צה"ל נוטים לעמוד לצד המתנחלים.</t>
  </si>
  <si>
    <t>אלימות מתנחלים, התעללות, השפלה, עדות פלסטינית, אזרחים, שטחים כבושים</t>
  </si>
  <si>
    <t>https://x.com/QudsNen/status/1801743540436771252</t>
  </si>
  <si>
    <t>עם שחרורו מכלא עופר, יו"ר המועצה המחוקקת הפלסטינית, עזיז דוויק, מספר על הזוועות שעוברים האסירים הפלסטינים בכלא הישראלי</t>
  </si>
  <si>
    <t>עם שחרורו מכלא עופר, יו"ר המועצה המחוקקת הפלסטינית, עזיז דוויק, מספר על הזוועות שעוברים האסירים הפלסטינים בכלא הישראלי. אסיר אחד נרצח משום שסירב לקלל את הוריו, ואחר משום ששאל אם יש הפסקת אש בעזה. הסוהרים בועטים באסירים, מכים אותם במקלות, שוברים להם עצמות ומשלחים בהם כלבים.</t>
  </si>
  <si>
    <t>כלא עופר</t>
  </si>
  <si>
    <t>אסירים, השפלה, התעללות, עינויים, מוות, עדות פלסטינית, גופות, עצורים</t>
  </si>
  <si>
    <t>https://twitter.com/muhammadshehad2/status/1763651267237216587</t>
  </si>
  <si>
    <t>חיילי צה"ל יורים יורים בעזתים נואשים ורעבים</t>
  </si>
  <si>
    <t>בסרטון נראית קבוצת פלסטינים לא חמושים נורים.לאחר מכן נראים מתים או פצועים, כולל ילד, נישאים על שמיכות לאחר שנורו. כמו כן נראה צעיר פלסטיני נושא שקית קמח, ואומר שעליו למות למענו.</t>
  </si>
  <si>
    <t>רעב כבד, מזון, טבח הקמח, ירי, אזרחים, ילדים</t>
  </si>
  <si>
    <t>https://twitter.com/muhammadshehad2/status/1771841529868358142</t>
  </si>
  <si>
    <t>״האם טנק ישראלי ידרוס אותו?״</t>
  </si>
  <si>
    <t>שתי תמונות, באחת אדם עומד לפני שלושה טקנים (זו למעשה תמונה מסין). בשנייה גוף מעוך שנותרו ממנו שתי רגליים, אחת מהן בגבס. לפי הטקסט מדובר בגופה של פצוע שניסה לזחול לבית החולים שיפא ונדרס על ידי טנק.</t>
  </si>
  <si>
    <t>טנקים, גופות, פציעה</t>
  </si>
  <si>
    <t>https://twitter.com/ytirawi/status/1770919159800402148</t>
  </si>
  <si>
    <t>סרטון המראה הרג של 5 פלסטינים בצפון עזה</t>
  </si>
  <si>
    <t>חייל ישראלי פרסם ברשת סרטון ובו נראית הריגתם של חמישה פלסטינים בצפון עזה. הקורבנות נראים במרחק הולכים מאחורי עגלה רתומה לסוס ומתרחקים, כשלפתע רואים פיצוץ. ברקע נשמע קול בעברית אומר: "חבל על הסוס".</t>
  </si>
  <si>
    <t>הפצצות, סרטי חיילים ישראלים, אזרחים</t>
  </si>
  <si>
    <t>https://twitter.com/AssalRad/status/1772315270880866802</t>
  </si>
  <si>
    <t>מאט לי שאל את דובר משרד החוץ האמריקאי לגבי החלטת הפסקת האש של האו"ם</t>
  </si>
  <si>
    <t>דובר מחלקת המדינה האמריקאית, מתיו מילר, הגיב לשאלותיו של העיתונאי מתיו "מאט" לי בנוגע להחלטת הפסקת האש של האו"ם, בה ארצות הברית נמנעה אך לא הטילה וטו. מילר הסביר כי וושינגטון מאמינה כי הפסקת אש ושחרור בני ערובה יושגו באמצעות משא ומתן מתמשך בדוחא, ולא באמצעות אישור החלטת או"ם.</t>
  </si>
  <si>
    <t>הפסקת אש, עסקת בני ערובה, יחסי ארה״ב–ישראל</t>
  </si>
  <si>
    <t>ארצות הברית, חמאס, האומות המאוחדות, מועצת הביטחון של האו״ם</t>
  </si>
  <si>
    <t>https://twitter.com/RobbieGramer/status/1711366571665342603</t>
  </si>
  <si>
    <t>נראה ששר החוץ האמריקאי מחק את הציוץ והחליף אותו בזה שלמטה על מנת להסיר את האיזכור של חתירה להפסקת אש</t>
  </si>
  <si>
    <t>הפוסט כולל צילום מסך של ציוץ של בלינקן מ-8 באוקטובר 2023, שנמחק מאוחר יותר משום שצוין בו כי בלינקן עודד את טורקיה לפעול להפסקת אש. הוא הוחלף בציוץ שהשמיט אזכור זה.</t>
  </si>
  <si>
    <t>Robbie Gramer (@RobbieGramer)</t>
  </si>
  <si>
    <t>הפסקת אש, יחסי ארה״ב–ישראל</t>
  </si>
  <si>
    <t>משרד החוץ האמריקאי, ארצות הברית</t>
  </si>
  <si>
    <t>https://twitter.com/amanpour/status/1773415507732947348</t>
  </si>
  <si>
    <t>״אנשים מזועזעים ממה שממשלת ארצות הברית עושה״</t>
  </si>
  <si>
    <t>הפקידת לשעבר במחלקת המדינה של ארה״ב, אנל שליין, אמרה ל־CNN כי התפטרה במחאה על התמיכה האמריקאית בישראל למרות ההפצצות והרעב בעזה.</t>
  </si>
  <si>
    <t>מחאה (בינלאומית), חוק ליהי (Leahy Law), יחסי ארה״ב–ישראל, משפט הומניטרי, רצח עם, הפצצות, רעב כבד</t>
  </si>
  <si>
    <t>ארצות הברית, משרד החוץ האמריקאי</t>
  </si>
  <si>
    <t>ארה"ב, רצועת עזה</t>
  </si>
  <si>
    <t>https://twitter.com/mehdirhasan/status/1787503022299332951</t>
  </si>
  <si>
    <t>קראו מכתב של 12 סנטורים רפובליקאים, המאיים על התובע הכללי של בית המשפט הבינלאומי</t>
  </si>
  <si>
    <t>שנים-עשר סנאטורים רפובליקנים מארה״ב חתמו על מכתב לתובע הראשי של בית הדין הפלילי הבינלאומי, קארים חאן, בו איימו בתוצאות חמורות אם ימשיך בהוצאת צווי מעצר נגד בנימין נתניהו או בכירים ישראלים נוספים.</t>
  </si>
  <si>
    <t>Mehdi Hasan (@mehdirhasan)</t>
  </si>
  <si>
    <t>יחסי ארה״ב–ישראל, חטיפה, סנקציות בינלאומיות</t>
  </si>
  <si>
    <t>ארצות הברית, בית הדין הפלילי הבינלאומי</t>
  </si>
  <si>
    <t>בנימין נתניהו, קארים חאן</t>
  </si>
  <si>
    <t>https://twitter.com/tparsi/status/1772281999358648553</t>
  </si>
  <si>
    <t>שימו לב למחיאות הכפיים במועצת הביטחון של האו״ם לאחר אישור החלטת הפסקת אש בעזה</t>
  </si>
  <si>
    <t>סרטון של הצבעת מועצת הביטחון של האו״ם לאישור החלטת הפסקת האש בעזה S/2728 (2024), שלוותה במחיאות כפיים.</t>
  </si>
  <si>
    <t>הפסקת אש</t>
  </si>
  <si>
    <t>האומות המאוחדות, מועצת הביטחון של האו״ם</t>
  </si>
  <si>
    <t>https://x.com/Channel4News/status/1720452839435038986</t>
  </si>
  <si>
    <t>מזכיר המדינה האמריקאי אנתוני בלינקן אומר: "עלינו לעשות יותר כדי להגן על אזרחים פלסטינים"</t>
  </si>
  <si>
    <t>סרטון של מזכיר המדינה האמריקאי אנתוני בלינקן נואם במסיבת עיתונאים על הפגיעה באזרחים בעזה.</t>
  </si>
  <si>
    <t>November 3, 2023</t>
  </si>
  <si>
    <t>Channel 4 New (@Channel4News)</t>
  </si>
  <si>
    <t>ילדים, ענישה קולקטיבית, אזרחים</t>
  </si>
  <si>
    <t>https://x.com/KamalaHarris/status/1764409522553082344</t>
  </si>
  <si>
    <t>מה שאנחנו רואים כל יום בעזה הוא הרסני, והאנושיות המשותפת שלנו מחייבת אותנו לפעול.</t>
  </si>
  <si>
    <t>קמלה הריס קוראת להפסקת אש</t>
  </si>
  <si>
    <t>Kamala Harris (@KamalaHarris)</t>
  </si>
  <si>
    <t>הפסקת אש, בני ערובה, סיוע הומניטרי, משבר הומניטרי, יחסי ארה״ב–ישראל</t>
  </si>
  <si>
    <t>ארה"ב, רצועת עזה, ישראל</t>
  </si>
  <si>
    <t>קמלה האריס</t>
  </si>
  <si>
    <t>https://twitter.com/DrTedros/status/1771276290315653372</t>
  </si>
  <si>
    <t>דיווח מרופא בבית החולים אל-שיפא בצפון עזה על המצב בבית החולים באמצעות עמית מהאו"ם</t>
  </si>
  <si>
    <t>רופא בבית החולים א־שיפא מתאר את התנאים הקשים ואת המחסור בציוד בבית החולים במהלך פשיטה ישראלית עליו.</t>
  </si>
  <si>
    <t>Tedros Adhanom Ghebreyesus (@DrTedros)</t>
  </si>
  <si>
    <t>בית חולים, הרס, בריאות הציבור, עובדי בריאות, גופות, אזרחים, תשתיות, מזון, ציוד רפואי מתכלה, תרופות, עדות פלסטינית, מים, בעיות היגיינה</t>
  </si>
  <si>
    <t>צה״ל, ארגון הבריאות העולמי, האומות המאוחדות</t>
  </si>
  <si>
    <t>https://twitter.com/EuroMedHR/status/1777652447474749720</t>
  </si>
  <si>
    <t>חלקי גופות על הקרקע, וגופות הקורבנות שנשלפו מתוך בור גדול שלפי דיווחים נחפר בידי הכוחות הישראלים בחצר בית החולים שיפא בעיר עזה</t>
  </si>
  <si>
    <t>צוות מוניטור אירו־מד עוקב אחר שליפת עשרות גופות וחלקי גופות שנמצאו בבור גדול בחצר בית החולים א־שיפא, שבוע לאחר נסיגת צה״ל. 1,500 בני אדם נהרגו, נפצעו או הוגדרו כנעדרים, מחציתם נשים וילדים (הנתונים נמסרו על פי חקירה ראשונית של מוניטור אירו־מד).</t>
  </si>
  <si>
    <t>בית חולים, גופות, אזרחים, נשים, ילדים, תוכן מטריד, קבורה, הוצאה להורג, עובדי בריאות, עצורים, עקירה בכפייה, קברי אחים, הרג המוני, טבח</t>
  </si>
  <si>
    <t>https://twitter.com/NourNaim88/status/1772757426887926144</t>
  </si>
  <si>
    <t>״צילומים חדשים מתוך בית החולים שיפא מראים שכוחות הכיבוש הישראלים הפכו את בית החולים לבסיס צבאי״</t>
  </si>
  <si>
    <t>קטעי וידאו מראים את צה"ל משתמש בבית החולים אל-שיפא כבסיס; המתקן נמצא באי-סדר מוחלט, כאשר עצורים פלסטינים כבולים נמצאים במסדרונות.</t>
  </si>
  <si>
    <t>בית חולים, אזרחים, עצורים</t>
  </si>
  <si>
    <t>https://twitter.com/PHRIsrael/status/1771499307478229244</t>
  </si>
  <si>
    <t>אמש שלחנו מכתב דחוף לפרקליט הצבאי הראשי וליועץ המשפטי לממשלה של מדינת ישראל</t>
  </si>
  <si>
    <t>ארגון רופאים לזכויות אדם ישראל שלח מכתבים לפרקליט הצבאי הראשי וליועץ המשפטי לממשלה של ישראל בנוגע ל-240 חולים ופצועים פלסטינים הלכודים בבית החולים אל-שיפא ללא גישה למזון, תרופות או טיפול רפואי.</t>
  </si>
  <si>
    <t>רופאים למען זכויות אדם (@PHRIsrae)</t>
  </si>
  <si>
    <t>תרופות, מזון, אזרחים, בריאות הציבור, פציעה, בית חולים, מצב בתי החולים</t>
  </si>
  <si>
    <t>https://twitter.com/RamAbdu/status/1771495855587000429</t>
  </si>
  <si>
    <t>צילומים מזעזעים לוכדים את הפצצת בית החולים אל-חלו על ידי צבא הכיבוש הישראלי</t>
  </si>
  <si>
    <t>סרטון מבית החולים אל-חלו, הסמוך למתחם הרפואי אל-שיפא, מראים את המתקן בהריסות בעקבות תקיפת צה"ל. מטופל פצוע חבוש מגיח מבין ההריסות כשברקע נשמעים קולות החיפוש אחר מטופלים נוספים.</t>
  </si>
  <si>
    <t>בית חולים, הפצצות, אזרחים, מצב בתי החולים, בריאות הציבור, פציעה</t>
  </si>
  <si>
    <t>https://twitter.com/RamAbdu/status/1771565663535960309</t>
  </si>
  <si>
    <t>צילומים נדירים מראים מספר חולים שהצבא פינה מבית החולים אל-שיפא</t>
  </si>
  <si>
    <t>קטעי וידאו נראים מטופלים פלסטינים מפונים מבית החולים אל-שיפא על ידי צה"ל, רובם בתחתונים, כולל אחד בכיסא גלגלים.</t>
  </si>
  <si>
    <t>בית חולים, אזרחים, פציעה, עצורים</t>
  </si>
  <si>
    <t>https://twitter.com/RamAbdu/status/1772039795662889006</t>
  </si>
  <si>
    <t> הפרכת דבריו של דובר צה״ל</t>
  </si>
  <si>
    <t>פעיל זכויות אדם רמי עבדו מגיב לדבריו של דובר צה"ל דניאל הגרי בנוגע לתקיפה בבית החולים אל-שיפא.</t>
  </si>
  <si>
    <t>בית חולים, עובדי בריאות, אזרחים, עינויים, תעמולה, מזון, תרופות, עקירה בכפייה</t>
  </si>
  <si>
    <t>דניאל הגרי</t>
  </si>
  <si>
    <t>https://twitter.com/RamAbdu/status/1777299876885241930</t>
  </si>
  <si>
    <t>מספר גופות בבית החולים שיפא בעזה</t>
  </si>
  <si>
    <t>בסרטון נראים צוותי חילוץ מגלים גופות וחלקי גופות מחוץ לבית החולים אל-שיפא. על פי הטקסט הנלווה, אלו שרידי אנשים שנהרגו בהוצאות להורג שביצע הצבא הישראלי במהלך התקיפה האחרונה על בית החולים.</t>
  </si>
  <si>
    <t>בית חולים, קבורה, גופות, הוצאה להורג</t>
  </si>
  <si>
    <t>צה״ל, הגנה אזרחית פלסטינית</t>
  </si>
  <si>
    <t>https://twitter.com/RamAbdu/status/1777306768802038012</t>
  </si>
  <si>
    <t>צוותי הצלה חופרים ומגלים גופות מחוץ לבית החולים שיפא</t>
  </si>
  <si>
    <t>בסרטון רואים צוותי חילוץ מגלים גופות וחלקי גופות מחוץ לבית החולים שיפא, שנהרגו בהתקפת צה״ל.</t>
  </si>
  <si>
    <t>https://twitter.com/RamAbdu/status/1777321386991612112</t>
  </si>
  <si>
    <t>גופות של רופאים, אחיות, מפונים, אדמיניסטרטורים בבית החולים, ילדים, נשים</t>
  </si>
  <si>
    <t>הוידאו מראה גופות וחלקי גופות שנמצאו בין ההריסות של בית החולים אל שיפא. נראים בברור שתי גופות של גברים בוגרים וחלקי גופות.</t>
  </si>
  <si>
    <t>בית חולים, גופות, קבורה, הוצאה להורג</t>
  </si>
  <si>
    <t>https://twitter.com/RamAbdu/status/1777339018453058024</t>
  </si>
  <si>
    <t>אחות בבית החולים מעידה על הרג של ארבעה חברי צוות רפואי מול עיניה</t>
  </si>
  <si>
    <t>סרטון של אחות המתארת את הוצאתם להורג של אנשי צוות רפואי בידי צה״ל ואת מעצר בעלה החובש במהלך הפשיטה על בית החולים שיפא.</t>
  </si>
  <si>
    <t>בית חולים, הוצאה להורג, עובדי בריאות, נשים, עדות פלסטינית</t>
  </si>
  <si>
    <t>https://twitter.com/RamAbdu/status/1779859676827431399</t>
  </si>
  <si>
    <t>גופות של חולים ואזרחים נמצאו קבורות מסביב לבית החולים אל שיפא</t>
  </si>
  <si>
    <t>סרטון שבו נראות צוותי חילוץ מגלים גופות שנקברו תחת סוללות עפר סביב בית החולים אל-שיפא. על פי הכתוב הנלווה, מדובר בגופות של מטופלים ואזרחים שנהרגו על ידי צה״ל במהלך הפשיטה על מתחם בית החולים אל-שיפא בעזה.</t>
  </si>
  <si>
    <t>גופות, קבורה, הוצאה להורג, אזרחים</t>
  </si>
  <si>
    <t>https://twitter.com/Reuters/status/1774936027360297304</t>
  </si>
  <si>
    <t>צה״ל נסוג מאל-שיפא לאחר מתקפה שארכה שבועיים</t>
  </si>
  <si>
    <t>הסרטון מראה את ההרס ואת גופות המתים לאחר המתקפה של צה״ל בבית החולים אל-שיפא.</t>
  </si>
  <si>
    <t>רויטרס (@Reuters)</t>
  </si>
  <si>
    <t>בית חולים, הרס, גופות, אזרחים, קבורה, עקירה בכפייה, עובדי בריאות</t>
  </si>
  <si>
    <t>https://twitter.com/SaulStaniforth/status/1774816428916412574</t>
  </si>
  <si>
    <t>רופא מדווח על ההרס בבית החולים אל-שיפא</t>
  </si>
  <si>
    <t>ד"ר מוחמד אבו עפאש, מנהל ארגון הסיוע הרפואי בעזה, מתאר את ההרס שראה בבית החולים אל-שיפא לאחר מבצע צה"ל, כולל עשרות גופות בחדר המיון ואחרות שנקברו בחצר, כולן כפותות ועיניים מכוסות.</t>
  </si>
  <si>
    <t>בית חולים, הרס, עובדי בריאות, גופות, קבורה, הוצאה להורג, עדות</t>
  </si>
  <si>
    <t>https://twitter.com/SkyNews/status/1776958103109664881</t>
  </si>
  <si>
    <t>ארגון הבריאות העולמי מדווח על ההרס בבית החולים אל-שיפא</t>
  </si>
  <si>
    <t>סרטון של ד"ר איידיל ספארבקוב מארגון הבריאות העולמי, המדווח על ההרס בבית החולים אל-שיפא, כולל קברים וגופות שלא נקברו בחצר בית החולים, בעקבות מבצע צה״ל.</t>
  </si>
  <si>
    <t>April 7, 2024</t>
  </si>
  <si>
    <t>בית חולים, הרס, גופות, אזרחים, דו"ח רשמי, עדות</t>
  </si>
  <si>
    <t>ארגון הבריאות העולמי, צה״ל</t>
  </si>
  <si>
    <t>https://twitter.com/naftalibennett/status/1774663364314091870</t>
  </si>
  <si>
    <t>נפתלי בנט משבח את מבצע צה״ל בבית החולים שיפא</t>
  </si>
  <si>
    <t>ראש הממשלה לשעבר, נפתלי בנט, משבח את ההישגים של צה״ל במבצע בבית החולים שיפא. הוא מאשים את חמס בשימוש במתחם כמטה פיקוד ובניצול הצוות רפואי והאזרחים כמגן אנושי. הוא טוען שאף אזרח לא נפגע בפעולת צה״ל.</t>
  </si>
  <si>
    <t>נפתלי בנט (@naftalibennett)</t>
  </si>
  <si>
    <t>בית חולים, מגנים אנושיים, אזרחים, עצורים, הוצאה להורג, עקירה בכפייה, תעמולה</t>
  </si>
  <si>
    <t>https://twitter.com/trhxianl/status/1771648909753864280</t>
  </si>
  <si>
    <t>כוחות צה״ל הרגו אזרחים בבית החולים שיפא</t>
  </si>
  <si>
    <t>סרטון של צעיר פלסטיני המתאר כיצד חיילי צה״ל הרגו אזרחים במהלך מבצע בבית החולים אל-שיפא. הוא היה עד לירי של חיילים באביו ואחיו ובאזרחים נוספים.</t>
  </si>
  <si>
    <t>د (@trhxianl)</t>
  </si>
  <si>
    <t>בית חולים, הוצאה להורג, אזרחים, עדות פלסטינית</t>
  </si>
  <si>
    <t>https://twitter.com/JoshuaPHilll/status/1785443970237317351</t>
  </si>
  <si>
    <t>משטרת פלורידה משתמשת בגז דמעות כדי לפזר מחאה של סטודנטים</t>
  </si>
  <si>
    <t>סרטון המראה שוטרים מפזרים גז מדמיע על אוהל מחאה של סטודנטים במחאה נגד המלחמת עזה באוניברסיטת דרום פלורידה.</t>
  </si>
  <si>
    <t>פלורידה</t>
  </si>
  <si>
    <t>אקדמיה, מחאה (בינלאומית)</t>
  </si>
  <si>
    <t>https://x.com/BenzionSanders/status/1785681768349118750</t>
  </si>
  <si>
    <t>כוחות ישראלים ירו והרגו נער בן 13 שירה זיקוק</t>
  </si>
  <si>
    <t>הצפייה במפגינים "פרו ישראלים" יורים זיקוקים על מפגינים "פרו פלסיטיניים״ ב UCLA מזכירה כמה רחוקה ארצות הברית מהמציאות שלנו שבה כוחות ישראלים ירו והרגו לאחרונה ילד פלסטיני שירה זיקוק.</t>
  </si>
  <si>
    <t>Benzi Sanders (@BenzionSanders)</t>
  </si>
  <si>
    <t>אקדמיה, מחאה (בינלאומית), ילדים, ירי</t>
  </si>
  <si>
    <t>מזרח ירושלים, ארה"ב</t>
  </si>
  <si>
    <t>https://x.com/DD_Geopolitics/status/1783565419305136271</t>
  </si>
  <si>
    <t>אלימות משטרתית מול סטודנטים במחאה באוניברסיטת אמורי</t>
  </si>
  <si>
    <t>מעצרים אלימים של סטודנטים בלתי־חמושים באוניברסיטת אמורי שבג'ורג'יה, ארצות הברית. השוטרים נושאים נשק אוטומטי, מפילים את הסטודנטים, חונקים וקושרים אותם.</t>
  </si>
  <si>
    <t>DD Geopolitics (@DD_Geopolitics)</t>
  </si>
  <si>
    <t>אוניברסיטת אמורי</t>
  </si>
  <si>
    <t>https://x.com/Facts_For_Peace/status/1794093433818096072</t>
  </si>
  <si>
    <t>קומיקאי שואל אמריקאים אם הם מכבדים את חמאס</t>
  </si>
  <si>
    <t>הקומיקאי, זאק סייג׳ פוקס, שואל אנשים בניו יורק אם הם חושבים שצריך להעניק כבוד לחמאס ביום הזיכרון האמריקאי.</t>
  </si>
  <si>
    <t>FactsForPeace (@Facts_For_Peace)</t>
  </si>
  <si>
    <t>דעת קהל</t>
  </si>
  <si>
    <t>https://x.com/Facts_For_Peace/status/1801653974648410448</t>
  </si>
  <si>
    <t>קומיקאי שואל אמריקאים צעירים שאלות על הפוליטיקה של המזרח התיכון</t>
  </si>
  <si>
    <t>קומיקאי מנסה לחשוף את הבורות של אמריקאים צעירים בניו יורק לגבי המזרח התיכון</t>
  </si>
  <si>
    <t>ארצות הברית, איראן, הח׳ותים</t>
  </si>
  <si>
    <t>https://x.com/FilmThePoliceLA/status/1785654963915588036</t>
  </si>
  <si>
    <t>התנגשויות בין מפגינים פרו-פלסטינים למפגינים פרו-ישראלים באוניברסיטת קליפורניה</t>
  </si>
  <si>
    <t>סדרת סרטונים מתעדת קהל של מפגינים פרו־ישראלים על הדשא מול מאהל פרו־פלסטיני באוניברסיטת קליפורניה. הסרטונים מראים מפגינים פרו־ישראלים זורקים חפצים וזיקוק לעבר המאהל לצלילי שיר ילדים ישראלי, וכן מתרחשות תקריות אלימות בין שני הצדדים על הדשא. המשטרה אינה מתערבת במשך ארבע השעות הראשונות.</t>
  </si>
  <si>
    <t>Film The Police LA (@FilmThePoliceLA)</t>
  </si>
  <si>
    <t>לוס אנג'לס</t>
  </si>
  <si>
    <t>מחאה (בינלאומית), אקדמיה</t>
  </si>
  <si>
    <t>https://x.com/AbujomaaGaza/status/1862005651968254040</t>
  </si>
  <si>
    <t>שמונה בני אדם, בהם ילדים, נהרגו בהפצצה ישראלית של בתים בבית לאהיא</t>
  </si>
  <si>
    <t>שמונה בני אדם, בהם ילדים, נהרגו בהפצצה ישראלית של בתים בפרויקט דיור בבית לאהיא שבצפון עזה.</t>
  </si>
  <si>
    <t>הפצצות, גופות, ילדים, אזרחים, תוכן מטריד, תקיפה אווירית</t>
  </si>
  <si>
    <t>https://x.com/eranetzion/status/1830514863132586170</t>
  </si>
  <si>
    <t>ישראל חיבלה בעסקת החטופים שהיא עצמה הציעה בתחילה לאחר שחמאס הסכים לרוב תנאיה</t>
  </si>
  <si>
    <t>בריו של סגן ראש המל״ל לשעבר, ערן עציון, במאמר בידיעות אחרונות מאת העיתונאי רונן ברגמן, על נסיגת ישראל מעסקת חטופים שהיא עצמה הציעה במאי, לאחר שהתברר שחמאס צפוי להסכים לרוב תנאיה. עציון טוען כי פעולותיו של נתניהו בחבלה בעסקה היו בלתי חוקיות וללא סמכות.</t>
  </si>
  <si>
    <t>September 2, 2024</t>
  </si>
  <si>
    <t>July 27, 2024</t>
  </si>
  <si>
    <t>ערן עציון (@eranetzion)</t>
  </si>
  <si>
    <t>ידיעות אחרונות</t>
  </si>
  <si>
    <t>הפסקת אש, עסקת בני ערובה, צוות המו״מ הישראלי, ניתוח, תקשורת ישראלית, דיפלומטיה, בני ערובה</t>
  </si>
  <si>
    <t>ממשלת ישראל, חמאס, המוסד, קטאר, מצרים, ארצות הברית, צה״ל</t>
  </si>
  <si>
    <t>בנימין נתניהו, גלי בהרב-מיארה, בצלאל סמוטריץ', יחיא סינואר, ג'ו ביידן</t>
  </si>
  <si>
    <t>https://x.com/gershonbaskin/status/1879604797361246584</t>
  </si>
  <si>
    <t>גרשון בסקין מסביר מדוע עסקת החטופים שהושגה בינואר 2025 היא עסקה רעה, ומאשים בכך את נתניהו, חמאס וממשל ביידן</t>
  </si>
  <si>
    <t>לפי גרשון בסקין עיסקת הפסקת האש שסוכמה גרועה בעיקר בגלל שאינה מחזירה מייד את כל החטופים, אינה מתייחסת לעתיד השליטה בעזה ואינה קובעת שהמלחמה תסתיים. הוא טוען שהיתה עיסקה טובה יותר על הפרק ושזמן יקר בוזבז לשווא. הוא מאשים את נתניהו, צוות המשא ומתן הישראלי,חמאס וממשל ביידן כאחראים לכך.</t>
  </si>
  <si>
    <t>גרשון בסקין (@gershonbaskin)</t>
  </si>
  <si>
    <t>הפסקת אש, עסקת בני ערובה, דיפלומטיה, ניתוח, צוות המו״מ הישראלי, בני ערובה</t>
  </si>
  <si>
    <t>ממשלת ישראל, חמאס, מצרים, קטאר, ארצות הברית</t>
  </si>
  <si>
    <t>בנימין נתניהו, דונלד טראמפ, ג'ו ביידן</t>
  </si>
  <si>
    <t>https://x.com/DropSiteNews/status/1896218617408303170</t>
  </si>
  <si>
    <t>ראש הממשלה נתניהו מודיע שלאור סרובו של החמאס למתווה ויטקוף ישראל תמנע באופן מיידי כניסה של כל הסחורות והאספקה לעזה</t>
  </si>
  <si>
    <t>ראש הממשלה בנימין נתניהו הודיע בישיבת הממשלה כי בעקבות סירובו של חמאס למתווה ויטקוף, ישראל תמנע באופן מיידי את כניסת כלל הסחורות והאספקה לרצועת עזה. כמו כן נתניהו זקף לזכות ממשלתו את שחרורם של 166 חטופים, והטיל על חמאס אחריות להשתלטות על הסיוע ההומניטרי וכן על ירי לעבר תושבי עזה שביקשו את הסיוע.</t>
  </si>
  <si>
    <t>March 2, 2025</t>
  </si>
  <si>
    <t>DropSite (@DropSiteNews)</t>
  </si>
  <si>
    <t>לשכת העיתונות הממשלתית</t>
  </si>
  <si>
    <t>הפסקת אש, ענישה קולקטיבית, רעב כבד, בני ערובה, עסקת בני ערובה, צוות המו״מ הישראלי, סיוע הומניטרי, מתווה וויטקוף, מזון, ציוד רפואי מתכלה, מים</t>
  </si>
  <si>
    <t>ממשלת ישראל, חמאס, צה״ל, ארצות הברית</t>
  </si>
  <si>
    <t>בנימין נתניהו, דונלד טראמפ, סטיב וויטקוף</t>
  </si>
  <si>
    <t>https://x.com/NTarnopolsky/status/1848035782449074389</t>
  </si>
  <si>
    <t>מנכ״ל סודה סטרים לשעבר, דניאל בירנבוים, מציע מעבר בטוח ופרס של 100,000 דולר לכל עזתי ש"יביא" "שבוי ישראלי חי"</t>
  </si>
  <si>
    <t>מנכ"ל סודה סטרים לשעבר, דניאל בירנבוים, התייחס להבטחתו של ראש הממשלה נתניהו למעבר בטוח וחסינות לכל עזתי שימסור לישראל שבוי ישראלי, והוסיף על כך הצעה משלו: פרס כספי בגובה 100 אלף דולר לכל עזתי שיביא שבוי ישראלי חי.</t>
  </si>
  <si>
    <t>נגה טרנופולסקי (@NTarnopolsky)</t>
  </si>
  <si>
    <t>החברה הישראלית, אזרחים, בני ערובה</t>
  </si>
  <si>
    <t>https://x.com/ireallyhateyou/status/1889703204868460726</t>
  </si>
  <si>
    <t>ח״כ ואטורי: להחזיר את החטופים ואז להמשיך במלחמה. אי אפשר לחיות עם היצורים האלה לידינו</t>
  </si>
  <si>
    <t>ח״כ ניסים ואטורי בראיון לערוץ הכנסת: החזירו את החטופים ואז המשיכו במלחמה. כל תינוק שנולד ברצועת עזה הוא טרוריסט. המלחמה צפויה להימשך 5–10 שנים. רצוי להגיע כעת להסכם עם חמאס, ולאחר שחרור החטופים להפר אותו ולהמשיך במלחמה.</t>
  </si>
  <si>
    <t>February 12, 2025</t>
  </si>
  <si>
    <t>January 30, 2025</t>
  </si>
  <si>
    <t>ילדים, דה־הומניזציה (שלילת אנושיות), הסתה לרצח עם, בני ערובה, תקשורת ישראלית, פשעי מלחמה, דיפלומטיה, עסקת בני ערובה, טבח, תינוקות</t>
  </si>
  <si>
    <t>הכנסת, חמאס, צה״ל</t>
  </si>
  <si>
    <t>ניסים ואטורי</t>
  </si>
  <si>
    <t>https://x.com/NimerSultany/status/1830157780499435693</t>
  </si>
  <si>
    <t>המקורות הבאים מראים : אין "מטרה צבאית" אמיתית של החזרת החטופים - זוהי הכרזה ריקה שמטרתה להסתיר כוונה ג'נוסיידית</t>
  </si>
  <si>
    <t>פוסט הכולל שרשור של שמונה מקורות המראים שאין "מטרה צבאית" אמיתית של החזרת החטופים - זוהי הכרזה ריקה שמטרתה להסתיר כוונה ג'נוסיידית.</t>
  </si>
  <si>
    <t>September 1, 2024</t>
  </si>
  <si>
    <t>November 22, 2023</t>
  </si>
  <si>
    <t>HuffPost, הארץ, זמן ישראל</t>
  </si>
  <si>
    <t>רצח עם, בני ערובה, עסקת בני ערובה, הפסקת אש, תקשורת ישראלית, צוות המו״מ הישראלי</t>
  </si>
  <si>
    <t>ממשלת ישראל, חמאס</t>
  </si>
  <si>
    <t>https://x.com/restart_israel/status/1893342160738533869</t>
  </si>
  <si>
    <t>הייתה הצעה מחמאס באמצעות קטאר להחזרת האזרחים החטופים יומיים אחרי השביעי באוקטובר - הממשלה הישראלית מעולם לא הגיבה</t>
  </si>
  <si>
    <t>ישראל לא הגיבה להצעת חמאס דרך הקטארים, יומיים אחרי השבעה באוקטובר, לחילוף הומניטרי בו יוחזרו כל האזרחים שנחטפו על ידי חמאס.</t>
  </si>
  <si>
    <t>February 22, 2025</t>
  </si>
  <si>
    <t>ריסטארט ישראל (@restart_israel)</t>
  </si>
  <si>
    <t>רשת 13, כאן 11</t>
  </si>
  <si>
    <t>עסקת בני ערובה, בני ערובה, דיפלומטיה, חדשות</t>
  </si>
  <si>
    <t>קטאר, ממשלת ישראל, חמאס</t>
  </si>
  <si>
    <t>https://x.com/N12News/status/1846944121740472419</t>
  </si>
  <si>
    <t>משפחות החטופים לא קיבלו פנייה או עדכון על אף שראש הממשלה הורה על כך</t>
  </si>
  <si>
    <t>משפחות חטופים מספרות שלמרות שרה"מ הורה לדבר עם המשפחות ולעדכן אותן, עד כה אף אחד לא שוחח איתן וכי על הוראה זו הן למדו מהתקשורת.</t>
  </si>
  <si>
    <t>October 17, 2024</t>
  </si>
  <si>
    <t>החדשות 12 (@N12News)</t>
  </si>
  <si>
    <t>בני ערובה, חדשות, עסקת בני ערובה</t>
  </si>
  <si>
    <t>https://x.com/RotemShtarkman/status/1884346229452157055</t>
  </si>
  <si>
    <t>אף חבר ממשלה לא יצר קשר עם החטופה המשוחררת עמית סוסנה</t>
  </si>
  <si>
    <t>אף חבר ממשלה לא יצר קשר עם החטופה עמית סוסנה אחרי שיחרורה, למרות ידיעתם על הגיהנום שעברה בשבי.</t>
  </si>
  <si>
    <t>January 28, 2025</t>
  </si>
  <si>
    <t>רותם שטרקמן (@RotemShtarkman)</t>
  </si>
  <si>
    <t>בני ערובה, עסקת בני ערובה</t>
  </si>
  <si>
    <t>https://x.com/talschneider/status/1825832401030807846</t>
  </si>
  <si>
    <t>יועץ אסטרטגי מעיד ששבועיים אחרי ה- 7.10 פנה אליו גורם ממשלתי כדי לשכור את שירותיו לפרק/לפצל את מטה החטופים</t>
  </si>
  <si>
    <t>היועץ האסטרטגי עופר רוזנבאום מקבוצת רוזנבאום תקשורת המתמחה בלוחמה פסיכולוגית, מעיד בועדת החקירה האזרחית לאסון השביעי באוקטובר, ומספר ששבועיים אחרי השביעי באוקטובר פנה אליו גורם ממשלתי כדי לשכור את שירותיו לפרק/לפצל את מטה החטופים.</t>
  </si>
  <si>
    <t>August 20, 2024</t>
  </si>
  <si>
    <t>טל שניידר (@talschneider)</t>
  </si>
  <si>
    <t>בני ערובה, 7 באוקטובר 2023, עסקת בני ערובה</t>
  </si>
  <si>
    <t>https://x.com/Abdullah_Om3r03/status/1902399315617648817</t>
  </si>
  <si>
    <t>אמא עזתית מתאבלת על בנה בן השנתיים שמת בתקיפת הצבא הישראלי</t>
  </si>
  <si>
    <t>אם עזתית מתאבלת על אובדן בנה היחיד, עומַר קאסם אבו שרקייה, בן השנתיים, שנהרג בתקיפה של צה"ל בצפון אסדא, חאן יונס.</t>
  </si>
  <si>
    <t>March 19, 2025</t>
  </si>
  <si>
    <t>Abdullah Omar (@Abdullah_Om3r03)</t>
  </si>
  <si>
    <t>תוכן מטריד, גופות, נשים, ילדים, תקיפה אווירית, רשתות חברתיות</t>
  </si>
  <si>
    <t>https://x.com/abierkhatib/status/1807631823331041619</t>
  </si>
  <si>
    <t>רופא בריטי שחזר מעזה מתעמת עם חבר הפרלמנט המחוזי שלו על שהתעלם ממכתבו בנוגע לפשעי המלחמה של ישראל</t>
  </si>
  <si>
    <t>רופא בריטי שחזר מעזה מתעמת עם חבר הפרלמנט המחוזי שלו שהתעלם ממכתבו בנוגע לפשעי המלחמה של ישראל, אותם חווה על בשרו. בעדותו מתאר הרופא שהצבא הטיל פצצה מונחת GPS על הבית בו שהה הצוות הרפואי הבריטי למרות שהצבא ידע במדויק את הקואורדינטות של הבית ומי נמצא בו, זאת לטענתו במטרה להניא צוותים רפואים זרים מלהגיע לעזה.</t>
  </si>
  <si>
    <t>July 1, 2024</t>
  </si>
  <si>
    <t>פשעי מלחמה, תקיפות על מרכזי סיוע, עובדי בריאות, הפצצות, תקיפה אווירית, סיוע הומניטרי</t>
  </si>
  <si>
    <t>צה״ל, בריטניה</t>
  </si>
  <si>
    <t>https://x.com/abierkhatib/status/1880699513675108848</t>
  </si>
  <si>
    <t>ד"ר ויקטוריה רוז משתפת את התרשמותה משהות של חודש בעזה</t>
  </si>
  <si>
    <t>בראיון עם פאטימה בוטו, ד"ר רוז מתארת את הפציעות שבהן נתקלה במהלך חודש ההתנדבות שלה בעזה — פציעות שמהן סבלו ילדים רבים בגילאי 5 עד 15 — ואת הטראומה שהפציעות הללו גרמו.</t>
  </si>
  <si>
    <t>August 1, 2024</t>
  </si>
  <si>
    <t>August 31, 2024</t>
  </si>
  <si>
    <t>אינסטגרם, Al Jazeera</t>
  </si>
  <si>
    <t>ילדים, כוויות, פגיעות נפץ, פציעה, ראיון, צלפים, רחפן / קוואדקופטר, אזרחים, ירי חסר הבחנה, טראומה נפשית, קטיעת גפיים, עדויות רופאים, תקיפה אווירית</t>
  </si>
  <si>
    <t>https://x.com/Abu_Salah9/status/1852315700729143802</t>
  </si>
  <si>
    <t>הצלם עמר אבו עודה הופצץ</t>
  </si>
  <si>
    <t>הסרטון מציג את הצלם עמר אבו עודה שוכב על הקרקע עם רגל מרוטשת. האנשים סביבו מעניקים לו טיפול חירום וקושרים את רגלו מעל הפצע. הוא כבר היה מת או מת זמן קצר לאחר מכן.</t>
  </si>
  <si>
    <t>November 1, 2024</t>
  </si>
  <si>
    <t>Mo (@Abu_Salah9)</t>
  </si>
  <si>
    <t>מחנה הפליטים א-שאטי</t>
  </si>
  <si>
    <t>גופות, תוכן מטריד, עיתונאים, הפצצות, רחפן / קוואדקופטר, אזרחים</t>
  </si>
  <si>
    <t>https://x.com/Abu_Salah9/status/1859689522071732563</t>
  </si>
  <si>
    <t>כלבים אוכלים גופות</t>
  </si>
  <si>
    <t>הסרטון מציג כלבים אוכלים גופות שנשארו ברחוב. הוא מתעד גם שלושה אנשים רצים בין ההריסות תחת ירי, כאשר אחד מהם נופל. בור גדול שנחפר באדמה נראה כמו קבר אחים. קול ברקע אומר שראה כלבים אוכלים שתי גופות ברחוב ולא יכול היה לעשות דבר</t>
  </si>
  <si>
    <t>גופות, קבורה, בעלי חיים, ירי, תוכן מטריד</t>
  </si>
  <si>
    <t>https://x.com/AbubakerAbedW/status/1929837290454409481</t>
  </si>
  <si>
    <t>כלל הפצועים שמגיעים לבתי חולים הם אזרחים חפים מפשע</t>
  </si>
  <si>
    <t>מנתח בריטי שמתנדב ברצועה מגיב לטענת ישראל כי פעילי חמאס מסתתרים בתוך ובאיזור בתי חולים ברצועה, כדרך להסביר את החלטת הצבא להפציץ בתי חולים ברצועה.</t>
  </si>
  <si>
    <t>June 3, 2025</t>
  </si>
  <si>
    <t>May 15, 2025</t>
  </si>
  <si>
    <t>Abubaker Abed (@AbubakerAbedW)</t>
  </si>
  <si>
    <t>תקיפה אווירית, אזרחים, עובדי בריאות, בית חולים, ראיון</t>
  </si>
  <si>
    <t>https://x.com/AbubakerAbedW/status/1934192637453512912</t>
  </si>
  <si>
    <t>שחקן כדורגל פלסטיני נהרג בזמן שהיה בדרכו למרכז סיוע.</t>
  </si>
  <si>
    <t>מוסטפא מאייט, כדורגלן מועדון אל-מוסדר העזתי, נהרג בדרכו לקחת אוכל ממרכז סיוע של הקרן ההומניטרית לעזה. מוסטפא הוא אחד מבין מעל ל-371 כדורגלנים עזתים שנהרגו במהלך המלחמה.</t>
  </si>
  <si>
    <t>June 15, 2025</t>
  </si>
  <si>
    <t>אזרחים, סיוע הומניטרי</t>
  </si>
  <si>
    <t>https://x.com/AbujomaaGaza/status/1837828451664847271</t>
  </si>
  <si>
    <t>רופאה אמריקאית מספרת על תקיפות אנשירפואה בידי צה"ל.</t>
  </si>
  <si>
    <t>September 22, 2024</t>
  </si>
  <si>
    <t>עובדי בריאות, התקפה מכוונת על עובדי בריאות, בית חולים, אזרחים</t>
  </si>
  <si>
    <t>https://x.com/AbujomaaGaza/status/1855311116567466156</t>
  </si>
  <si>
    <t>כל מה שצריך לדעת על 400 הימים האחרונים בעזה</t>
  </si>
  <si>
    <t>משרד המדיה הממשלתי בעזה פרסם עדכון של נתונים מרכזיים לגבי המלחמה בעזה ביום ה־400 שלה.</t>
  </si>
  <si>
    <t>מניין ההרוגים בעזה, פציעה, נשים, ילדים, בית חולים, עיתונאים, רצח עם, תינוקות, תת־תזונה, בריאות הציבור, עצורים, עקירה בכפייה, אוניברסיטאות, תשתיות, מים, קבורה, דומיסייד (השמדת מרחבי מחיה), בתי ספר, הרס אתרים תרבותיים</t>
  </si>
  <si>
    <t>https://x.com/AbujomaaGaza/status/1857717346263093555</t>
  </si>
  <si>
    <t>בני יחיא, שנהרג על ידי צלף ישראלי</t>
  </si>
  <si>
    <t>העיתונאי העזתי מותאסם א. דלול פרסם תמונה של בנו, שנהרג על ידי צלף צה״ל במאי ליד ביתם ההרוס וגופתו נדרסה על ידי טנקים ישראליים.</t>
  </si>
  <si>
    <t>אזרחים, ילדים, טנקים, חילול גופות, עיתונאים</t>
  </si>
  <si>
    <t>https://x.com/AbujomaaGaza/status/1891166694137122899</t>
  </si>
  <si>
    <t>שרידי גופות נמצאו בחצר בית ספר</t>
  </si>
  <si>
    <t>שרידי גופות של עזתים שנהרגו במלחמה נמצאו קבורים בחצר בית הספר סלאח א־דין בעיר עזה</t>
  </si>
  <si>
    <t>February 16, 2025</t>
  </si>
  <si>
    <t>גופות, קבורה, בתי ספר, תוכן מטריד</t>
  </si>
  <si>
    <t>https://x.com/AbujomaaGaza/status/1907766898311238064</t>
  </si>
  <si>
    <t>שכני, פאדי ג׳ראדה מחזיקת את גופת בנו</t>
  </si>
  <si>
    <t>שכני, פאדי ג׳ראדה, מחזיק את גופת בנו שנהרג יחד עם אחיו בהתקפת רחפן בדרכם הביתה לאחר שמילאו את מיכלי המים שלהם.</t>
  </si>
  <si>
    <t>April 3, 2025</t>
  </si>
  <si>
    <t>ילדים, מים, רחפן / קוואדקופטר, אזרחים</t>
  </si>
  <si>
    <t>https://x.com/AbujomaaGaza/status/1909309418270847264</t>
  </si>
  <si>
    <t>תפילה עבור עמיתנו העיתונאי חסן סלאיה</t>
  </si>
  <si>
    <t>בתמונה נראה העיתונאי חסן סלייה שוכב במיטה פצוע.</t>
  </si>
  <si>
    <t>April 7, 2025</t>
  </si>
  <si>
    <t>עיתונאים, פציעה</t>
  </si>
  <si>
    <t>חסן אסליח</t>
  </si>
  <si>
    <t>https://x.com/AbujomaaGaza/status/1912821506595250599</t>
  </si>
  <si>
    <t>צילום של עובר הרוג - העובר נהרג יחד עם אמו בהפצצה ישראלית על האוהל ששהו בו בעזה</t>
  </si>
  <si>
    <t>צילום של עובר הרוג. העובר נהרג יחד עם אמו בהפצצה ישראלית על האוהל ששהו בו בעזה. לפי המחבר "טרוריסט שעדיין לא נולד, לפי הקרטריון הישראלי".</t>
  </si>
  <si>
    <t>April 17, 2025</t>
  </si>
  <si>
    <t>תוכן מטריד, גופות, נשים, הפצצות, תינוקות</t>
  </si>
  <si>
    <t>https://x.com/Archivepaletc/status/1904562190008431090</t>
  </si>
  <si>
    <t>ום לאחר שהצבא הישראלי הרג את עיתונאי אל ג'זירה חוסאם שבת, הצבא פרסם תיעוד של דו"ח שפורסם במקור באוקטובר 2024, שלכאורה מראה כי שבת שימש צלף בחמאס</t>
  </si>
  <si>
    <t>יום לאחר שהצבא הישראלי הרג את העיתונאי חוסאם שבת בבית לאהיא, הצבא פרסם תיעוד של דו"ח שפורסם במקור באוקטובר 2024, שלכאורה מראה כי שבת שימש צלף בחמאס. על פי אתר החדשות דרופ סייט, בדיקה פנימית של חמאס העלתה כי שבת מעולם לא היה חבר בארגון.</t>
  </si>
  <si>
    <t>March 25, 2025</t>
  </si>
  <si>
    <t>March 24, 2025</t>
  </si>
  <si>
    <t>Archive Palestine (@Archivepaletc)</t>
  </si>
  <si>
    <t>https://x.com/IDF/status/1904457386590384418?lang=en, https://x.com/DropSiteNews/status/1919907726085226655</t>
  </si>
  <si>
    <t>תקיפה אווירית, התנקשות, הרג עיתונאים, עיתונאים</t>
  </si>
  <si>
    <t>צה״ל, אל ג'זירה, חמאס</t>
  </si>
  <si>
    <t>https://x.com/AssalRad/status/1844793940358361520</t>
  </si>
  <si>
    <t>ספרי היסטוריה ייכתבו על כך ומדינות יצטרכו לעשות חשבון נפש</t>
  </si>
  <si>
    <t xml:space="preserve">ד״ר ת׳אאר אחמד וד״ר טניה חאג׳-חסן, שני רופאים שהתנדבו בעזה, מתארים את ממדי הפגיעה באזרחים, כולל תינוקות וילדים, וכן את העקירה הכפויה החוזרת של אנשים, הרס בתי החולים והתקפות על סוכנויות סיוע, שלדבריהם מהווים רצח עם.
</t>
  </si>
  <si>
    <t>October 11, 2024</t>
  </si>
  <si>
    <t>רצח עם, ילדים, תינוקות, אזרחים, עובדי בריאות, בית חולים, עקירה בכפייה, תקיפות על מרכזי סיוע, עדויות רופאים</t>
  </si>
  <si>
    <t>https://x.com/BilalKareem/status/1909159594540122449</t>
  </si>
  <si>
    <t>זו התוצאה של ההתקפה הישראלית על אוהל העיתונאים בבית החולים נאסר בחאן יונס</t>
  </si>
  <si>
    <t>הסרטון מציג אדם שכל גופו נשרף בהתקפה של צה״ל על אוהל העיתונאים בבית החולים נאסר בחאן יונס, עזה.</t>
  </si>
  <si>
    <t>Bilal Abdul Kareem (@BilalKareem)</t>
  </si>
  <si>
    <t>תוכן מטריד, עיתונאים, הרג עיתונאים, בית חולים</t>
  </si>
  <si>
    <t>https://x.com/BittonRosen/status/1908029094173753650</t>
  </si>
  <si>
    <t>מפקד גולני מדבר אל חייליו דקות לפני הכניסה לרצועת עזה</t>
  </si>
  <si>
    <t>סרטון מציג את מפקד חטיבת גולני מדבר עם חייליו רגע לפני הכניסה לעזה, ואומר להם שמטרת שחרור החטופים מושגת כך: ״מייצרים לחץ צבאי גדול, הורגים הרבה אויב, לוקחים לו המון שטח״, וכן שכל מי שהם פוגשים הוא אויב.</t>
  </si>
  <si>
    <t>April 4, 2025</t>
  </si>
  <si>
    <t>הלל ביטון רוזן (@BittonRosen)</t>
  </si>
  <si>
    <t>אזרחים, בני ערובה, כללי מעורבות, טבח</t>
  </si>
  <si>
    <t>https://x.com/C14_news/status/1909995167303553391</t>
  </si>
  <si>
    <t>36 הרוגים ועשרות פצועים על מג"ד אחד</t>
  </si>
  <si>
    <t>נועם אמיר מציין תקיפה בשג'עיה כדוגמה להבדל בין הרמטכ״ל הקודם הרצי הלוי לרמטכ״ל החדש אייל זמיר. בתקיפה האחרונה תחת זמיר נהרגו 36 ועשרות נפצעו בניסיון לחסל מפקד חמאס שאפילו לא היה במקום.</t>
  </si>
  <si>
    <t>April 9, 2025</t>
  </si>
  <si>
    <t>ערוץ 14(@C14_news)</t>
  </si>
  <si>
    <t>אזרחים, כללי מעורבות, התנקשות, פציעה, הרג המוני, אירוע רב נפגעים, טבח</t>
  </si>
  <si>
    <t>הרצי הלוי, איל זמיר</t>
  </si>
  <si>
    <t>https://x.com/Charles_Lister/status/1856370874644893838</t>
  </si>
  <si>
    <t>מנתח בריטי מוערך מעיד לפני הפרלמנט הבריטי</t>
  </si>
  <si>
    <t>מנתח בריטי מוערך העיד בפני הפרלמנט הבריטי ותיאר כיצד רחפנים של צה״ל הגיעו לזירות התקיפות בעזה וירו בפצועים, כולל ילדים.</t>
  </si>
  <si>
    <t>April 12, 2025</t>
  </si>
  <si>
    <t>Charles Lister (@Charles_Lister)</t>
  </si>
  <si>
    <t>רחפן / קוואדקופטר, אזרחים, ילדים, פגיעות נפץ, פציעה, תקיפה אווירית, עובדי בריאות</t>
  </si>
  <si>
    <t>https://x.com/cusamak/status/1902468720611750251</t>
  </si>
  <si>
    <t>חבר מספר על טבח הקמח בצחוק מהצד שלו וכמה מחבלים הוא הרג</t>
  </si>
  <si>
    <t>הפוסט עוסק בחיילים, חברים של הכותב, שמספרים איך הרגו והתעללו בפלסטינים בעזה, כולל בטבח הקמח.</t>
  </si>
  <si>
    <t>איתמר שלמה (@cusamak)</t>
  </si>
  <si>
    <t>עובדי סיוע, טבח הקמח, עצורים, עדויות חיילים ישראלים</t>
  </si>
  <si>
    <t>https://x.com/dn_osama_rabee/status/1887065238991692129</t>
  </si>
  <si>
    <t>הודעה מהעיתונאי הפצוע פאדי אל- וואחידי</t>
  </si>
  <si>
    <t>הסרטון מציג את העיתונאי פדי אל-ואהידי במצב מסכן חיים, פניו מעוותות מכאב קשה והוא מפציר לקבל אישור לנסוע לקבלת טיפול רפואי.</t>
  </si>
  <si>
    <t>February 5, 2025</t>
  </si>
  <si>
    <t>Osama Abu Rabee (@dn_osama_rabee)</t>
  </si>
  <si>
    <t>תוכן מטריד, עיתונאים, פציעה, בית חולים</t>
  </si>
  <si>
    <t>https://x.com/dn_osama_rabee/status/1897140589185110370</t>
  </si>
  <si>
    <t>צעיר בוכה משמחה לאחר שמצא את גופת אחיו</t>
  </si>
  <si>
    <t>צעיר פלסטיני פתח שק מתוך מקבץ שקי גופות שנמצאו מתחת להריסות. הוא זיהה את אחיו וחיבק בהתרגשות את איש ההצלה לאחר 50 ימי חיפושים אחריו</t>
  </si>
  <si>
    <t>March 5, 2025</t>
  </si>
  <si>
    <t>גופות, משפחה, קבורה</t>
  </si>
  <si>
    <t>הגנה אזרחית פלסטינית</t>
  </si>
  <si>
    <t>https://x.com/dn_osama_rabee/status/1898094893399986638</t>
  </si>
  <si>
    <t>הגנה אזרחית: סרטונים של צוותנו מחלצים 76 גופות של חללים</t>
  </si>
  <si>
    <t>הסרטון מציג עשרות גופות שמוצאו מתחת להריסות על ידי צוותי ההגנה האזרחית עם טרקטורים ליד בית החולים כמאל עדוואן. רואים את הצוותים מכסים את הגופות בשקי גופות וכותבים עליהן משהו לצורך זיהוי.</t>
  </si>
  <si>
    <t>March 7, 2025</t>
  </si>
  <si>
    <t>גופות, קבורה, הרס, בית חולים, הרג המוני, קברי אחים</t>
  </si>
  <si>
    <t>https://x.com/dn_osama_rabee/status/1907301949742924255</t>
  </si>
  <si>
    <t>רחפן קוודקופטר פותח באש על אוהלי עקורים בשכונת שג׳עייה</t>
  </si>
  <si>
    <t>הסרטון מציג שריפה שפרצה בין אוהלים של עקורים בכפייה בשכונת שג'עיה, שלפי הדיווחים נגרמה על ידי רחפן.</t>
  </si>
  <si>
    <t>April 2, 2025</t>
  </si>
  <si>
    <t>רחפן / קוואדקופטר, הצתה, עקירה בכפייה, אזרחים</t>
  </si>
  <si>
    <t>https://x.com/dn_osama_rabee/status/1907625520671375432</t>
  </si>
  <si>
    <t>זה כל שנותר מגופותיהם הקרועות של ילדינו, נאספות בקופסת קרטון - עדות אילמת לזמן פשע שלעולם לא תמחה</t>
  </si>
  <si>
    <t>הסרטון מציג עובד הגנה אזרחית מרוקן את תכולת קרטון לתוך שק גופה.</t>
  </si>
  <si>
    <t>גופות, קבורה, ילדים, תוכן מטריד</t>
  </si>
  <si>
    <t>https://x.com/dn_osama_rabee/status/1913599368478773639</t>
  </si>
  <si>
    <t>סצנה מחרידה לוכדת את הרגע שבו מטוסי קרב ישראליים תקפו מחנה עקורים</t>
  </si>
  <si>
    <t>הסרטון מציג פיצוץ גדול בין האוהלים במחנה עקורים במוואסי, חאן יונס, בעוד אנשים מתכופפים ובורחים</t>
  </si>
  <si>
    <t>April 19, 2025</t>
  </si>
  <si>
    <t>תקיפה אווירית, הפצצות, עקירה בכפייה, אזרחים</t>
  </si>
  <si>
    <t>https://x.com/Dr_Muneer1/status/1871650256984981857</t>
  </si>
  <si>
    <t>כדורים ורסיסים בתוך ראשי ילדים</t>
  </si>
  <si>
    <t>וידאו שפרסם ד״ר ג'מאל סלחה מציג צילומים של כדורים ורסיסים שנתקעו בראשי ילדים במהלך החודשים האחרונים.</t>
  </si>
  <si>
    <t>Dr Muneer Alboursh (@Dr_Muneer1)</t>
  </si>
  <si>
    <t>ילדים, פציעה, ירי חסר הבחנה, ירי, עובדי בריאות</t>
  </si>
  <si>
    <t>https://x.com/Dr_Muneer1/status/1873072731790462993</t>
  </si>
  <si>
    <t>ילדים וקשישים שאינם יכולים לשמור על חום גופם צפויים למות בימים הקרובים</t>
  </si>
  <si>
    <t>ד"ר מימי סייד, רופאת חירום אמריקאית מתוך עזה: ילדים וקשישים נוספים שמתקשים לשמור על חום גופם צפויים למות בימים הקרובים. ארבעה תינוקות כבר מתו מהקור השורר כאשר הטמפרטורות יורדות בלילה, במיוחד באוהלים לא מבודדים סמוך לים. בנוסף, בית החולים כמאל עדוואן נתון במצור, וחולים המקבלים טיפול מציל חיים מפונים החוצה לקור.</t>
  </si>
  <si>
    <t>December 28, 2024</t>
  </si>
  <si>
    <t>תינוקות, קשישים, בית חולים, עובדי בריאות, עקירה בכפייה, תוכן מטריד</t>
  </si>
  <si>
    <t>רצועת עזה, בית החולים כמאל עדואן</t>
  </si>
  <si>
    <t>https://x.com/Dr_Muneer1/status/1911891755441463353</t>
  </si>
  <si>
    <t>אחמד אל-ע'לבאן, שנאלץ לעבור קטיעה, קורא פסוקים מהקוראן</t>
  </si>
  <si>
    <t>הסרטון מציג את אחמד אל-ע'לבאן הצעיר, שאחיו התאום מוחמד ודודו נהרגו, קורא פסוקים מהקוראן תוך כדי הכנה לקטיעה של שתי רגליו. כמה חודשים לאחר מכן הוא צולם שוב, בכיסא גלגלים, כשהוא ממשיך לקרוא פסוקים מהקוראן.</t>
  </si>
  <si>
    <t>April 18, 2025</t>
  </si>
  <si>
    <t>ילדים, פציעה, משפחה, אזרחים, בית חולים</t>
  </si>
  <si>
    <t>https://x.com/DropSiteNews/status/1907590663945744468</t>
  </si>
  <si>
    <t xml:space="preserve">לפחות 22 פלסטינים, נהרגו בהתקפה של ישראל על מרכז רפואי של אונר"א בג'בליה
</t>
  </si>
  <si>
    <t xml:space="preserve">ישראל השתמשה בפצצה אמריקאית מדגם GBU-39 כדי לתקוף מרפאה של אונר"א בג'באליה שברצועת עזה, מה שהוביל למותם של לפחות 22 פלסטינים – בהם תשעה ילדים, שתי נשים וחמישה גברים קשישים. המרפאה שימשה כמקלט עבור כ-160 משפחות עקורות. לפי דובר האו"ם, סטפן דוז'אריק, על אף אזהרות מצוות אונר"א בדבר הסכנות שבשהייה במבנה לאחר התקיפה, משפחות רבות נותרו במקלט בשל היעדר חלופות.
</t>
  </si>
  <si>
    <t>ג'באליה, צפון עזה</t>
  </si>
  <si>
    <t>הפצצות, תקיפה אווירית, ילדים, אזרחים, נשים, קשישים, עקירה בכפייה, משפחה</t>
  </si>
  <si>
    <t>ארצות הברית, צה״ל, אונר״א, האומות המאוחדות</t>
  </si>
  <si>
    <t>https://x.com/DropSiteNews/status/1910045830309912584</t>
  </si>
  <si>
    <t>שר הבטחון ישראל כץ מדבר על מטרות המלחמה</t>
  </si>
  <si>
    <t>שר הביטחון ישראל כץ מתאר כיצד אוכלוסיית עזה מפונה, כאשר אזורים רבים נתפסים על ידי צה"ל ומצורפים לאזורי הביטחון של ישראל. הוא מאיים להמשיך במלחמה עד לשחרור כל בני הערובה וחיסולו של חמאס, תוך שהוא חוזר על המטרה הסופית של יישום "תוכנית ההגירה מרצון" של טראמפ.</t>
  </si>
  <si>
    <t>ציר מורג</t>
  </si>
  <si>
    <t>טיהור אתני, אזרחים, עקירה בכפייה, בני ערובה, הגירה, הצהרה רשמית</t>
  </si>
  <si>
    <t>צה״ל, חמאס, ארצות הברית</t>
  </si>
  <si>
    <t>ישראל כ"ץ, דונלד טראמפ</t>
  </si>
  <si>
    <t>https://x.com/DropSiteNews/status/1912717471817085128</t>
  </si>
  <si>
    <t>מאות מתים מוות איטי תחת הריסות בית בציפיה להצלה</t>
  </si>
  <si>
    <t>15 בני משפחתו של אדם אחד, כולל ילדים, נלכדו חיים תחת הריסות בעזה, וקראו לחילוץ במשך שלושה ימים. הם מתו בזמן שהמתינו. למרות הסכם הפסקת האש, ישראל ממשיכה לחסום כניסת ציוד כבד לעזה.</t>
  </si>
  <si>
    <t>April 16, 2025</t>
  </si>
  <si>
    <t>מבנים, אזרחים, אורביסייד (השמדת ערים), כוחות הצלה, ילדים, חסימת סיוע</t>
  </si>
  <si>
    <t>https://x.com/DropSiteNews/status/1915629462202318956</t>
  </si>
  <si>
    <t>טנק ישראלי בפגע בבית הארחה של האו"ם, עובדת סיוע של האו"ם נהרגה</t>
  </si>
  <si>
    <t>לאחר מספר שבועות בהם ישראל הכחישה כי אש צה"ל פגעה בבית הארחה של האו"ם והרגה עובדת סיוע בת 51 מבולגריה, צה"ל לקח אחריות על הירי בטענה כי הייתה טעות בזיהוי המבנה כאתר עוין.</t>
  </si>
  <si>
    <t>April 25, 2025</t>
  </si>
  <si>
    <t>אחריותיות / מתן דין וחשבון, עובדי סיוע, תקיפות על מרכזי סיוע, מוות</t>
  </si>
  <si>
    <t>האיחוד האירופי</t>
  </si>
  <si>
    <t>https://x.com/DropSiteNews/status/1915784202408071601</t>
  </si>
  <si>
    <t>ישראל משתמשת בחימושים משוטטים כנגד משפחות עקורות החיות במחנות אולהים.</t>
  </si>
  <si>
    <t>ישראל משתמשת בחימושים משוטטים, המיווצרים ע"י אלביט מערכות בע"מ כנגד עקורים החיים במחנות אוהלים. רק בשבוע האחרון ישראל השתמשה בחימושים משוטטים בלפחות חמש תקיפות ברחבי הרצועה, בהן נהרגו 30 פלסטינים, בניהם כ-14 ילדים.</t>
  </si>
  <si>
    <t>April 20, 2025</t>
  </si>
  <si>
    <t>רחפן / קוואדקופטר, אזרחים, משפחה</t>
  </si>
  <si>
    <t>מחנה הפליטים ג'באליה, בית לאהיא, חאן יונס</t>
  </si>
  <si>
    <t>https://x.com/DropSiteNews/status/1922429909667868930</t>
  </si>
  <si>
    <t>שריף עבדאל קודדוס: התקשורת הדגישה את שחרור החייל והתעלמה מהפצצת בית החולים בעזה שחיסלה עיתונאי פצוע</t>
  </si>
  <si>
    <t>ראיון עם שריף עבדל קודדוס על הריגתו של העיתונאי חסן אסלייה, אחד מהעיתונאים המקומיים הבולטים ביותר בעזה. ישראל הודתה בגלוי כי כיוונה אליו כאשר הפציצה אוהל תקשורת באפריל, מה שהותיר אותו פצוע קשה. שבועות לאחר מכן הוא נהרג במיטת בית החולים שלו.</t>
  </si>
  <si>
    <t>May 14, 2025</t>
  </si>
  <si>
    <t>May 12, 2025</t>
  </si>
  <si>
    <t>בית החולים נאסר, חאן יונס</t>
  </si>
  <si>
    <t>עיתונאים, הרג עיתונאים, בית חולים, הפצצות, מדיה, בני ערובה</t>
  </si>
  <si>
    <t>https://x.com/DropSiteNews/status/1924249781783904554</t>
  </si>
  <si>
    <t>המצלמה שהחזיק היתה נשק הטרור שלו</t>
  </si>
  <si>
    <t xml:space="preserve">בטקסט של הפוסט נכתב: "ישראל מודה שחיסלה את חסן אסליח, אחד העיתונאים הבולטים בעזה, על שתיעד את מתקפת 7 באוקטובר ומעשי עיתונאות נוספים במהלך 19 החודשים האחרונים." הפוסט כולל סרטון שפורסם על ידי דובר צה״ל בערבית, שטוען להוכיח כי חסן אסליח היה חבר בזרוע הצבאית של חמאס, ומרמז כי הוא נהרג בבית החולים נאסר משום שהשתמש במצלמה שלו כ״נשק טרור״ בכך שהביע בדיווחיו תמיכה בהתקפת ה־7 באוקטובר.
</t>
  </si>
  <si>
    <t>May 18, 2025</t>
  </si>
  <si>
    <t>May 13, 2025</t>
  </si>
  <si>
    <t>הרג עיתונאים, עיתונאים, 7 באוקטובר 2023, בית חולים</t>
  </si>
  <si>
    <t>https://x.com/DropSiteNews/status/1925219161757692246</t>
  </si>
  <si>
    <t>לפחות 71 פלסטינים נהרגו עד כה בעזה היום</t>
  </si>
  <si>
    <t>לפחות 71 פלסטינים נהרגו ברחבי עזה מאז שעות הבוקר. זאת לאחר שלפחות 82 פלסטינים נהרגו ו־262 נפצעו ב־24 השעות לפני כן, על פי הדו״ח העדכני של משרד הבריאות. הפוסט הבא בשרשור מציג תמונה של שלושה שקי דואר מלאים הקשורים מלמעלה, שלפי הדיווח מכילים את שרידיהם של שלושה בני אדם..</t>
  </si>
  <si>
    <t>May 21, 2025</t>
  </si>
  <si>
    <t>May 19, 2025</t>
  </si>
  <si>
    <t>אירוע רב נפגעים, הרג המוני, קבורה, גופות</t>
  </si>
  <si>
    <t>https://x.com/DropSiteNews/status/1925886350017823202</t>
  </si>
  <si>
    <t>מנכ״ל משרד הבריאות בעזה: ישראל חיסלה 12 חברי צוות טיפול נמרץ מיומנים במהלך השבוע האחרון</t>
  </si>
  <si>
    <t>מנכ״ל משרד הבריאות בעזה, ד״ר מוניר אלבורש, אמר כי כוחות ישראליים "חיסלו 12 מאחיות ואנשי הרפואה המיומנים ביותר במשרד הבריאות". אלבורש ציין שישראל פועלת באופן שיטתי נגד צוותים רפואיים ומתקנים רפואיים, במיוחד בצפון עזה, במטרה למוטט את שירותי הבריאות ולהכריח את הצוות הנותר, ואת האוכלוסייה, להידחק דרומה.</t>
  </si>
  <si>
    <t>May 23, 2025</t>
  </si>
  <si>
    <t>May 16, 2025</t>
  </si>
  <si>
    <t>התקפה מכוונת על עובדי בריאות, עובדי בריאות, בריאות הציבור, בית חולים, עקירה בכפייה, התנקשות</t>
  </si>
  <si>
    <t>https://x.com/DropSiteNews/status/1925887119475532125</t>
  </si>
  <si>
    <t>שר האוצר הישראלי מתגאה בכך שישראל מחסלת פקידים אזרחיים כדי לגרום לקריסה של החברה האזרחית בעזה</t>
  </si>
  <si>
    <t>שר האוצר של ישראל, בצלאל סמוטריץ', אמר כי ישראל נלחמת כעת לא רק בתשתית הצבאית של חמאס אלא גם במוסדות האזרחיים שלו. הוא תיאר את חיסול השרים והעובדים האזרחיים כהישג במאבק נגד השלטון האזרחי של חמאס.</t>
  </si>
  <si>
    <t>אזרחים, התנקשות, תקשורת ישראלית</t>
  </si>
  <si>
    <t>https://x.com/DropSiteNews/status/1926093098402136114</t>
  </si>
  <si>
    <t>מצטער שאני אומר זאת, אבל אתo אחראים להריגתם של חפים מפשע רבים</t>
  </si>
  <si>
    <t xml:space="preserve">ד״ר פירוז סידהווה, שהתנדב בשתי משלחות רפואיות בעזה מאז תחילת המערכה של ישראל, התראיין לערוץ 13. הוא תיאר מסע הפצצות שהתרחש ב־18 במרץ וגרם לאבידות רבות, ביניהן ילדים רבים מתחת לגיל 12. במהלך הדיון אחת המגיבות באולפן השתמשה בביטוי "מחבל באינקובטור" בהתייחסות לקטע וידאו שבו צוות רפואי מטפל בפג באינקובטור.
</t>
  </si>
  <si>
    <t>March 18, 2025</t>
  </si>
  <si>
    <t>אזרחים, ילדים, תינוקות, אירוע רב נפגעים, בית חולים, הפצצות, עובדי בריאות, תקשורת ישראלית, רצח עם</t>
  </si>
  <si>
    <t>https://x.com/DropSiteNews/status/1926644474647605356</t>
  </si>
  <si>
    <t>אישה פלסטינית בהריון נהרגה בתקיפה אווירית ישראלית, עוצמת התקיפה הוציאה את העובר מרחמה, והרגה את שניהם.</t>
  </si>
  <si>
    <t>אישה פלסטינית בהריון נהרגה בתקיפה אווירית ישראלית על אזור מגורים במרכז עזה, עוצמת התקיפה הוציאה את העובר מרחמה, והרגה את שניהם.</t>
  </si>
  <si>
    <t>May 25, 2025</t>
  </si>
  <si>
    <t>מרכז עזה</t>
  </si>
  <si>
    <t>נשים, הריון, אזרחים, תקיפה אווירית, גופות, מוות</t>
  </si>
  <si>
    <t>https://x.com/DropSiteNews/status/1930486077548068974</t>
  </si>
  <si>
    <t>ד״ר ויקטוריה רוז סיפרה ל־ITV על מצבם של רופאים מקומיים שפגשה במהלך המשמרת שלה בבית החולים נאסר</t>
  </si>
  <si>
    <t>ד״ר ויקטוריה רוז סיפרה ל־ITV על עמיתיה הפלסטינים שעבדה איתם במהלך המשמרת שלה בבית החולים נאסר ותיארה עד כמה הם מותשים לאחר 20 חודשים, כיצד כולם איבדו בני משפחה, וכיצד הם ממשיכים לעבוד למרות הכאב והאובדן.</t>
  </si>
  <si>
    <t>June 5, 2025</t>
  </si>
  <si>
    <t>עובדי בריאות, משפחה, אזרחים, עקירה בכפייה, בית חולים, עדות, עדויות רופאים</t>
  </si>
  <si>
    <t>https://x.com/DropSiteNews/status/1937910424336216254</t>
  </si>
  <si>
    <t>אלו יותר פציעות בסגנון הוצאה להורג מאשר פציעות ההדף הטיפוסיות שאנחנו רגילים לראות</t>
  </si>
  <si>
    <t>בסרטון מחאן יונס מתאר ד״ר בראונר, מתנדב מארה״ב, את הפציעות שבהן נתקל בבית החולים נאסר מאז ש־GHF הקימה מרכזי חלוקת סיוע. הוא מגדיר אותן כפציעות בסגנון הוצאה להורג, יריות לראש, לצוואר או לחזה עם שיעור תמותה גבוה, כאשר הנפגעים הם לעיתים קרובות ילדים ובני נוער. פציעות אלו תואמות לסרטונים מחלוקת הסיוע, שבהם GHF מאפשרת חלון זמן קצר מאוד לקבלת מזון, ואם נוצר כאוס הם פותחים באש.</t>
  </si>
  <si>
    <t>June 25, 2025</t>
  </si>
  <si>
    <t>הוצאה להורג, פציעה, אזרחים, חלוקת סיוע, הרג המוני, ירי חסר הבחנה, ילדים, בית חולים, עובדי בריאות, עדות, מזון</t>
  </si>
  <si>
    <t>הקרן ההומניטרית לעזה</t>
  </si>
  <si>
    <t>https://x.com/FerozeSidhwa/status/1925965283522396359</t>
  </si>
  <si>
    <t>הראיון המלא עם פרוז סידווא, כולל חלקים שנחתכו מהשידור בערוץ 13</t>
  </si>
  <si>
    <t>ד"ר פרוז סידווה, שהתנדב בבית החולים נאסר, התראיין בערוץ 13 של ישראל. מאוחר יותר פרסם את הריאיון המלא באורך 16 דקות כדי לחשוף את החלקים שנחתכו מהשידור, כולל דיון על השימוש של חמאס בבתי חולים בעזה.</t>
  </si>
  <si>
    <t>Feroze Sidhwa (@FerozeSidhwa)</t>
  </si>
  <si>
    <t>בית חולים, פציעה, עובדי בריאות, ילדים, אזרחים, אירוע רב נפגעים, מזון, סיוע הומניטרי, עדות, בני ערובה, 7 באוקטובר 2023, הטיה תקשורתית, תעמולה, משחקי וידאו, עדויות רופאים</t>
  </si>
  <si>
    <t>https://x.com/fnaim65/status/1919024317204934824</t>
  </si>
  <si>
    <t>גבר נושא את חלקי גופתה הנותרים של בתו בשקית אשפה</t>
  </si>
  <si>
    <t>גבר נושא את חלקי גופתה הנותרים של בתו בשקית אשפה. היא נהרגה מירי טיל ישראלי, וכלבים משוטטים קרעו חלקים מגופתה.</t>
  </si>
  <si>
    <t>May 4, 2025</t>
  </si>
  <si>
    <t>Dr Fadel Naim (@fnaim65)</t>
  </si>
  <si>
    <t>בית החולים האינדונזי</t>
  </si>
  <si>
    <t>ילדים, חילול גופות, מוות, אזרחים, תקיפה אווירית</t>
  </si>
  <si>
    <t>F389=HYPERLINK("https://x.com/gazanotice/status/1881329181960683909","https://x.com/gazanotice/status/1881329181960683909")</t>
  </si>
  <si>
    <t>תושבי עזה חוזרים לבתיהם ומנסים לזהות קרובים שנהרגו במלחמה לפי בגדיהם</t>
  </si>
  <si>
    <t>בעזה החלו התושבים לשוב לבתיהם ולנסות לזהות את קרוביהם שנהרגו במלחמה באמצעות בגדיהם, לאחר שגופותיהם כבר התפוררו.</t>
  </si>
  <si>
    <t>January 20, 2025</t>
  </si>
  <si>
    <t>גופות, קבורה, הרג המוני, עקירה בכפייה, קברי אחים, תוכן מטריד, מוות</t>
  </si>
  <si>
    <t>https://x.com/gazanotice/status/1882800964043714793</t>
  </si>
  <si>
    <t>מאז תחילת הפסקת האש ב-17 בינואר 2025, 20 איש נהרגו ברפיח</t>
  </si>
  <si>
    <t>מאז תחילת הפסקת האש ב-17 בינואר 2025, 20 איש נהרגו ברפיח. הפוסט מפרט את שמות ההרוגים, מיקומם וגילם.</t>
  </si>
  <si>
    <t>January 17, 2025</t>
  </si>
  <si>
    <t>הפסקת אש, מוות, גופות, אירוע רב נפגעים, תקיפה אווירית, אזרחים</t>
  </si>
  <si>
    <t>https://x.com/gazanotice/status/1900167674023600609</t>
  </si>
  <si>
    <t>48 גופות, בהן 10 בלתי מזוהות, חולצו משטח בית החולים שיפא</t>
  </si>
  <si>
    <t>ההגנה האזרחית בעזה דיווחה כי גופותיהם של 48 קורבנות, בהם 10 בלתי מזוהים, חולצו משטח בית החולים שיפא, שם נהרגו לפני חודשים אחדים במהלך תקיפה של צה״ל. הסרטון מציג את צוותי ההגנה האזרחית בעזה שולפים גופות מתוך קברי אחים.</t>
  </si>
  <si>
    <t>March 13, 2025</t>
  </si>
  <si>
    <t>גופות, קבורה, קברי אחים, הרג המוני, בית חולים, תוכן מטריד, מוות</t>
  </si>
  <si>
    <t>צה״ל, הגנה אזרחית פלסטינית, חמאס</t>
  </si>
  <si>
    <t>https://x.com/gazanotice/status/1900303341055603038</t>
  </si>
  <si>
    <t>ילד בן 7 נהרג ע"י צה"ל</t>
  </si>
  <si>
    <t>אמג'ד עבד בן השבע, נהרג על ידי כוחות צבא ישראליים בהתקפה מזרחית לשוג'עיה. הוא מצטרף באופן טרגי לאמו, שנהרגה גם היא על ידי צה"ל.</t>
  </si>
  <si>
    <t>שג'עיה</t>
  </si>
  <si>
    <t>גופות, ילדים, מוות, אזרחים, נשים</t>
  </si>
  <si>
    <t>https://x.com/gazanotice/status/1901297556346253708</t>
  </si>
  <si>
    <t>צוות של ההגנה האזרחית הפלסטינית בעזה העביר 17 קורבנות, מתוכם 8 לא מזוהים, שנקברו בבית החולים אל-שיפא במהלך המלחמה.</t>
  </si>
  <si>
    <t>צוות של ההגנה האזרחית הפלסטינית בעזה העביר 17 קורבנות, מתוכם 8 לא מזוהים, שנקברו בבית החולים אל-שיפא במהלך המלחמה. זה היום השלישי בו צוותים מחלצים את שרידי הפלסטינים שנהרגו, ומעבירים אותם מקברים מאולתרים באל-שיפא לבית קברות ראשי.</t>
  </si>
  <si>
    <t>March 16, 2025</t>
  </si>
  <si>
    <t>תקיפה אווירית, בית חולים</t>
  </si>
  <si>
    <t>https://x.com/gazanotice/status/1901600001047842940</t>
  </si>
  <si>
    <t>הניצול היחיד מהפצצת צה״ל בבית לחיה העיד על ההתקפה ההרסנית בה נהרגו לפחות תשעה בני אדם</t>
  </si>
  <si>
    <t>עדותו של הניצול היחיד מהפצצת צה״ל בבית לחיה העיד על ההתקפה ההרסנית שבה נהרגו לפחות תשעה בני אדם, ביניהם עובדי סיוע ושלושה עיתונאים: מחמוד אל־סראג׳, מחמוד איסליים ובילאל אבו מטר, שתיעדו את פתיחת המחנה והפצת המזון בצפון עזה.</t>
  </si>
  <si>
    <t>March 17, 2025</t>
  </si>
  <si>
    <t>March 15, 2025</t>
  </si>
  <si>
    <t>https://www.instagram.com/reel/DHRf5beNsYz/</t>
  </si>
  <si>
    <t>הרג עיתונאים, עובדי סיוע, עקירה בכפייה, תקיפה אווירית, הפסקת אש, תוכן מטריד, עדות פלסטינית</t>
  </si>
  <si>
    <t>https://x.com/gazanotice/status/1901943446463476000</t>
  </si>
  <si>
    <t>אב נפרד מבתו הקטנה</t>
  </si>
  <si>
    <t>אב נפרד מבתו הקטנה שנהרגה בתקיפה אווירית ישראלית בעזה.</t>
  </si>
  <si>
    <t>ילדים, תקיפה אווירית, אזרחים</t>
  </si>
  <si>
    <t>https://x.com/gazanotice/status/1901976378943136012</t>
  </si>
  <si>
    <t>174 ילדים, 89 נשים ו-32 אזרחים קשישים נהרגו בתקיפות האוויריות הישראליות.</t>
  </si>
  <si>
    <t>174 ילדים, 89 נשים ו-32 אזרחים קשישים נהרגו בתקיפות האוויריות הישראליות אמש, זאת לפי משרד הבריאות של העזתי.</t>
  </si>
  <si>
    <t>ילדים, נשים, קשישים, אזרחים, תקיפה אווירית, הפצצות</t>
  </si>
  <si>
    <t>https://x.com/gazanotice/status/1901980913392668913</t>
  </si>
  <si>
    <t>המספר הכולל של קורבנות פלסטינים שהגיעו לבית החולים כתוצאה מההפצצה הכבדה הישראלית נכון ל-18/03/2025 הוא 404.</t>
  </si>
  <si>
    <t>מספר הקורבנות הפלסטינים שהגיעו לבתי החולים בעזה ביום שלישי, 18/03/2025, כתוצאה מההפצצה הכבדה הישראלית על כל חלקי רצועת עזה (נכון לשעה 12:00): *סה"כ: 404* ילדים: 174 (43.07%) גברים: 109 (26.98%) נשים: 89 (22.03%) קשישים: 32 (7.92%)</t>
  </si>
  <si>
    <t>אזרחים, ילדים, הפצצות, תקיפה אווירית</t>
  </si>
  <si>
    <t>https://x.com/gazanotice/status/1902054591744893156</t>
  </si>
  <si>
    <t>שרידי ילדים נאספו בשקים בעקבות תקיפה אווירית ישראלית באזור אל-מוואסי</t>
  </si>
  <si>
    <t>שרידי ילדים נאספו בשקים בעקבות תקיפת אוויר ישראלית על אוהלי משפחותיהם באזור אל-מוואסי, חאן יונס, רצועת עזה הדרומית. הסרטון מציג עובד הגנה אזרחית נושא שק המכיל שרידי הילד.</t>
  </si>
  <si>
    <t>ילדים, גופות, קבורה, אזרחים, תקיפה אווירית</t>
  </si>
  <si>
    <t>הגנה אזרחית פלסטינית, צה״ל</t>
  </si>
  <si>
    <t>https://x.com/gazanotice/status/1902562684983238924</t>
  </si>
  <si>
    <t>ילדה צעירה נהרגה בתקיפה אווירית ישראלית שכוונה לאוהל משפחתה בדרום הרצועה.</t>
  </si>
  <si>
    <t>ילדה צעירה נהרגה בתקיפה אווירית ישראלית שכוונה לעבר אוהל משפחתה בדרום עזה, שם חיפשו מקלט.</t>
  </si>
  <si>
    <t>March 20, 2025</t>
  </si>
  <si>
    <t>ילדים, אזרחים, תקיפה אווירית</t>
  </si>
  <si>
    <t>https://x.com/gazanotice/status/1903287761580220466</t>
  </si>
  <si>
    <t>החיבוק האחרון</t>
  </si>
  <si>
    <t>אב מחזיק את בתו בפעם האחרונה לאחר שנהרגה בתקיפה אווירית ישראלית שכוונה לביתם במזרח עזה.</t>
  </si>
  <si>
    <t>March 22, 2025</t>
  </si>
  <si>
    <t>מזרח עזה</t>
  </si>
  <si>
    <t>ילדים, מוות, משפחה, אזרחים, תקיפה אווירית, גופות, תוכן מטריד</t>
  </si>
  <si>
    <t>https://x.com/gazanotice/status/1903708204003098808</t>
  </si>
  <si>
    <t>ילדה צעירה היא מבין קורבנות ההפצצה הישראלית בחאן יונס.</t>
  </si>
  <si>
    <t>מספר הקורבנות מההפצצה הישראלית על חאן יונס עלה ל-25, בניהם ילדה צעירה.</t>
  </si>
  <si>
    <t>March 23, 2025</t>
  </si>
  <si>
    <t>תקיפה אווירית, הפצצות, אזרחים, ילדים</t>
  </si>
  <si>
    <t>צה״ל, האגודה לזכויות האזרח, משרד הבריאות בעזה</t>
  </si>
  <si>
    <t>https://x.com/gazanotice/status/1904140913481281966</t>
  </si>
  <si>
    <t>עיתונאי עזתי נהרג בידי צה"ל.</t>
  </si>
  <si>
    <t>צה"ל הרג את העיתונאי מוחמד מנסור בהפצצת בית בחאן יונס.</t>
  </si>
  <si>
    <t>תקיפה אווירית, הרג עיתונאים</t>
  </si>
  <si>
    <t>https://x.com/gazanotice/status/1904152831193456865</t>
  </si>
  <si>
    <t>אביו של העיתונאי מוחמד מנסור נפרד מבנו.</t>
  </si>
  <si>
    <t>משרד התקשורת הממשלתי בעזה מדווח כי מספר העיתונאים שנהרגו על ידי ישראל בעזה עלה ל-207, בעקבות מותו של העיתונאי מוחמד מנסור.</t>
  </si>
  <si>
    <t>https://x.com/gazanotice/status/1904188138697986262</t>
  </si>
  <si>
    <t>העיתונאי העזתי הוסאם שבת נהרג על ידי צה"ל</t>
  </si>
  <si>
    <t xml:space="preserve">העיתונאי העזתי הוסאם שבת, בן 23, קיבל בעבר איומים מכוחות ישראליים, שדרשו ממנו להפסיק לתעד את פעולותיהם בצפון רצועת עזה ולהסיר את החומרים שפרסם. היום ישראל הרגה אותו.
</t>
  </si>
  <si>
    <t>הרג עיתונאים, אזרחים, התנקשות</t>
  </si>
  <si>
    <t>https://x.com/gazanotice/status/1904216731452571851</t>
  </si>
  <si>
    <t>אמו של העיתונאי חוסאם שבת מתאבלת על מותו</t>
  </si>
  <si>
    <t>אמו של העיתונאי חוסאם שבת, כתב ערוץ אל-ג׳זירה מובאשר בעיר עזה, נפרדה בעצב מבנה.</t>
  </si>
  <si>
    <t>הרג עיתונאים, משפחה, אזרחים, התנקשות</t>
  </si>
  <si>
    <t>עיר עזה, בית לאהיא</t>
  </si>
  <si>
    <t>https://x.com/gazanotice/status/1904822580076253630</t>
  </si>
  <si>
    <t>תינוק בן שישה חודשים נהרג בתקיפה אווירית של צה"ל</t>
  </si>
  <si>
    <t>חלקי גוף של תינוק בן שישה חודשים, אמו ואחיו הובאו לבית החולים הבפטיסטי אל-אהלי בעזה לאחר שתקיפה אווירית ישראלית פגעה בבית משפחתם.</t>
  </si>
  <si>
    <t>March 26, 2025</t>
  </si>
  <si>
    <t>בית החולים אל-אהלי הבפטיסטי, עיר עזה</t>
  </si>
  <si>
    <t>תינוקות, ילדים, גופות, תקיפה אווירית, בית חולים, משפחה, מוות, אזרחים, תוכן מטריד</t>
  </si>
  <si>
    <t>https://x.com/gazanotice/status/1906503887030522146</t>
  </si>
  <si>
    <t>רופאה אמריקאית מדווחת על ריבוי נפגעים כתוצאה מתקיפה ביום העיד בעזה.</t>
  </si>
  <si>
    <t>ד"ר רזאן אל-נחאס, רופאה מתנדבת בארגון Humanity Auxilium, מדווחת מהמרכז הרפואי נאסר בדרום עזה על ריבוי נפגעים, כולל ילדים רבים, כתוצאה מהתקפת צה״ל בעיד אל פיטר.</t>
  </si>
  <si>
    <t>March 31, 2025</t>
  </si>
  <si>
    <t>March 30, 2025</t>
  </si>
  <si>
    <t>ילדים, תקיפה אווירית, אזרחים, עובדי בריאות, אירוע רב נפגעים, בית חולים, עדות</t>
  </si>
  <si>
    <t>https://x.com/gazanotice/status/1907372770956095497</t>
  </si>
  <si>
    <t>ראשו של תינוק נערף כתוצאה מהפצצה ישראלית של טילים אמריקאים</t>
  </si>
  <si>
    <t>ראשו של תינוק נערף כתוצאה מהפצצה ישראלית של טילים אמריקאים על מרפאה של אונר"א בג'באליה.</t>
  </si>
  <si>
    <t>תקיפה אווירית, תינוקות, גופות, אזרחים</t>
  </si>
  <si>
    <t>https://x.com/gazanotice/status/1908233830336536588</t>
  </si>
  <si>
    <t>ילד נכווה באופן קשה בפניו, בראשו ובעיניו כתוצאה מתקיפה אווירית של צה"ל.</t>
  </si>
  <si>
    <t>עדותו של האח חמאם אל-שאטי בבית החולים הערבי אל-אהלי: "הילד הזה נכווה בפניו, בראשו ובעיניו. רסיסים נכנסו לעיניו - הוא לא יכול לראות. אנחנו לא יכולים לטפל בו." הוא נכווה בבניין בית ספר, אליו ברחה משפחו על מנת לחפש מחסה. כעט אין יותר לאן לברוח.</t>
  </si>
  <si>
    <t>תקיפה אווירית, ילדים, בתי ספר, אזרחים</t>
  </si>
  <si>
    <t>https://x.com/gazanotice/status/1912387722875895829</t>
  </si>
  <si>
    <t>צוות של ההגנה האזרחית הפלסטינית אוסף את חלקי גופותיהם של ילדים מעצים.</t>
  </si>
  <si>
    <t>צוות של ההגנה האזרחית הפלסטינית אוסף את חלקי גופותיהם של ילדים מעצים לאחר הפצצת בית משפחת אל-האסי בג'באליה.</t>
  </si>
  <si>
    <t>הפצצות, ילדים, אזרחים</t>
  </si>
  <si>
    <t>https://x.com/gazanotice/status/1912388258853487020</t>
  </si>
  <si>
    <t>צוות של ההגנה האזרחית הפלסטינית מחלץ ילד פצוע שנקלע תחת הריסות ביתו.</t>
  </si>
  <si>
    <t>צוות של ההגנה האזרחית הפלסטינית מנסה לחלץ ילד פצוע שנקלע תחת הריסות ביתו, בעזרת כלים מיושנים בעיר עזה, לאחר הפצצה אווירית של צה"ל.</t>
  </si>
  <si>
    <t>תקיפה אווירית, ילדים, אזרחים</t>
  </si>
  <si>
    <t>https://x.com/gazanotice/status/1912571502190358541</t>
  </si>
  <si>
    <t>פאטימה חסונה מדברת על עזה</t>
  </si>
  <si>
    <t>פטימה חסונה הייתה אמנית, צלמת ועיתונאית מוכשרת - קול אמיץ מעזה הידוע בתמונותיה העוצמתיות ובסיפורה. פטימה ועשרה מבני משפחתה נהרגו כאן על ידי צה"ל.</t>
  </si>
  <si>
    <t>עיתונאים, הרג עיתונאים, נשים, אזרחים, מוות</t>
  </si>
  <si>
    <t>https://x.com/gazanotice/status/1912781523058573704</t>
  </si>
  <si>
    <t>עובר בן ארבעה חודשים נהרג ברחם אימו שנפצעה כתוצאה מתקיפה אווירית צה"לית.</t>
  </si>
  <si>
    <t>עובר בן ארבעה חודשים נהרג ברחם אמו - אמאני אבו אל-רוס, שנפצעה בתקיפה אווירית צה"לית על אוהלי עקורים בחאן יונס בדרום עזה. באותה התקיפה נהרגו 11 בני משפחת אבו אל-רוס.</t>
  </si>
  <si>
    <t>חן יונס</t>
  </si>
  <si>
    <t>אזרחים, תקיפה אווירית, נשים, הריון</t>
  </si>
  <si>
    <t>https://x.com/gazanotice/status/1912792654145859919</t>
  </si>
  <si>
    <t>הקורבן הצעיר ביותר של הג'נוסייד בעזה: עובר בן ארבעה חודשים</t>
  </si>
  <si>
    <t>עובר בן ארבעה חודשים נפצע ישירות בליבו דרך רחם אימו בתקיפה אווירית של צה"ל ומת כתוצאה בפציעתו. אביו ואחותו היחידה נהרגו בתקיפה ואימו נמצאת עדיין בסכנת חיים עקב פציעותיה.</t>
  </si>
  <si>
    <t>https://x.com/gazanotice/status/1913517575008330206</t>
  </si>
  <si>
    <t>כטב"ם מתאבד (הארופ) התרסק לתוך מאהל המספק מחסה למשפחות עקורות. כתוצה מכך נהרגו 13 אזרחים, ברובם ילדים.</t>
  </si>
  <si>
    <t>כטב"ם מתאבד (הארופ) התרסק לתוך מאהל המספק מחסה למשפחות עקורות בחאן יונס. כתוצה מכך נהרגו 13 אזרחים, ברובם ילדים. שמות הקורבנות שזוהו:
1.קינן אחמד עדוואן 2.מירה עלי אבו אלנאדי 3.מוחמד עלי אבו אלנאדי 4.חיה אחמד אבו אלנאדי 5.מוחמד עומר אל-נחל 6.אחמד זיאד אל-קאדי 7.מועז אחמד אל-קאדי 8.ביסאן אחמד אל-קאדי 9.ליליאן אחמד אל-קאדי 10.יסמין עבד אל חלים אלקאדי 11.זיאד אבו שמאלה 12.חאלד עבד אל-חמיד תפש 13.עומר סמיר אל-נחל</t>
  </si>
  <si>
    <t>אל-מוואסי, חאן יונס</t>
  </si>
  <si>
    <t>אזרחים, ילדים, רחפן / קוואדקופטר</t>
  </si>
  <si>
    <t>https://x.com/gazanotice/status/1915403166885020042</t>
  </si>
  <si>
    <t>עוצמת ההפצצות הישראליות: גופות ילדים התפזרו על גגות הבתים הקרובים</t>
  </si>
  <si>
    <t>עקב עוצמת ההפצצות הישראליות, גופות ילדים עפות מהבית שהופצץ אל גגות הבתים השכנים בעזה.</t>
  </si>
  <si>
    <t>April 24, 2025</t>
  </si>
  <si>
    <t>https://x.com/gazanotice/status/1916863660149874741</t>
  </si>
  <si>
    <t>ילדה פלסטינית מספרת כיצד חולצה מתחת להריסות, יחד עם אחיה, לאחר תקיפה אווירית ישראלית.</t>
  </si>
  <si>
    <t>ילדה פלסטינית מספרת כיצד חולצה מתחת להריסות, יחד עם אחיה, לאחר תקיפה אווירית ישראלית. היא מספרת כי בתקיפה נהרגו אביה וסבתה ומתארת את המאבק היומיומי הקשה להשגת מזון והישרדות על רקע המצור והרעב המתמשכים.</t>
  </si>
  <si>
    <t>April 28, 2025</t>
  </si>
  <si>
    <t>תקיפה אווירית, ילדים, אזרחים, מזון</t>
  </si>
  <si>
    <t>https://x.com/gazanotice/status/1924086680631251224</t>
  </si>
  <si>
    <t>ילדים נמחצו תחת הריסות לאחר הפצצה ישראלית</t>
  </si>
  <si>
    <t>ילדים נמחצו תחת הריסות וגופותיהם נכתשו כתוצאה מהפגזה ישראלית בלתי פוסקת.</t>
  </si>
  <si>
    <t>https://x.com/gazanotice/status/1924928298460840393</t>
  </si>
  <si>
    <t>עובר הוצא מרחם אמו עם פגיעות רסיסים ומת מפציעותיו במקום</t>
  </si>
  <si>
    <t>עובר הוצא מרחם אמו עם פציעות רסיסים ומת מפצעותיו במקום, בעקבות תקיפה אווירית ישראלית שכוונה לבית משפחתו בדיר אל-בלח.</t>
  </si>
  <si>
    <t>May 20, 2025</t>
  </si>
  <si>
    <t>הריון, ילדים, תקיפה אווירית, אזרחים</t>
  </si>
  <si>
    <t>https://x.com/gazanotice/status/1925181402582008006</t>
  </si>
  <si>
    <t>מטוס קרב ישראלי תקף צעיר לא חמוש</t>
  </si>
  <si>
    <t>מטוס קרב ישראלי תקף צעיר לא חמוש בזמן שנמלט משג'אעיה</t>
  </si>
  <si>
    <t>הצנחת סיוע, אזרחים</t>
  </si>
  <si>
    <t>https://x.com/gazanotice/status/1928753436834648396</t>
  </si>
  <si>
    <t>ד"ר אחמד נבהאן הותקף במכוון ונהרג על ידי הצבא הישראלי בתקיפת רחפן.</t>
  </si>
  <si>
    <t>ד"ר אחמד נבהאן, ראש מחלקת הטראומה בבית החולים האינדונזי בצפון הרצועה, הותקף ונהרג במכוון על ידי צה"ל בתקיפת רחפן. הוא היה אחד מגלגלי ההצלה האחרונים במערכת הבריאות הקורסת של עזה - רופא מסור ללא שיוך פוליטי, שעבד תחת אש כדי להציל חיים.</t>
  </si>
  <si>
    <t>May 31, 2025</t>
  </si>
  <si>
    <t>May 30, 2025</t>
  </si>
  <si>
    <t>רחפן / קוואדקופטר, עובדי בריאות, התקפה מכוונת על עובדי בריאות</t>
  </si>
  <si>
    <t>https://x.com/gazanotice/status/1937924878708937023</t>
  </si>
  <si>
    <t>צה"ל הרג את העיתונאי הפלסטיני הפצוע מחמוד אסא, באמצעות ירי טיל לעבר ביתו.</t>
  </si>
  <si>
    <t>צה"ל הרג עיתונאי פלסטיני פצוע - מחמוד אסא. מחמוד שרד בעבר תקיפה אווירית וחולץ חי מההריסות. הוא איבד את עינו ורגלו, אך נותר נחוש לשרוד, בתקווה לקבל טיפול וסיכוי לחיים. בעודו עומד בפתח ביתו, הוא נפגע במכוון מטיל שהרג אותו.</t>
  </si>
  <si>
    <t>עיתונאים, הרג עיתונאים</t>
  </si>
  <si>
    <t>https://x.com/gazanotice/status/1941097819101700137</t>
  </si>
  <si>
    <t>שני צעירים פלסטינים לא חמושים נהרגו בתקיפה ישירה של צה"ל</t>
  </si>
  <si>
    <t>הכותב טוען כי שני צעירים פלסטינים לא חמושים נהרגו בתקיפה ישירה של צה"ל בעת שחזרו לבתיהם במרכז חאן יונס לאחר שקיבלו סיוע הומניטרי.</t>
  </si>
  <si>
    <t>July 4, 2025</t>
  </si>
  <si>
    <t>מרכז חאן יונס</t>
  </si>
  <si>
    <t>תקיפה אווירית, אזרחים, סיוע הומניטרי</t>
  </si>
  <si>
    <t>https://x.com/Haaretz/status/1711618357412475302</t>
  </si>
  <si>
    <t>צה"ל: הלילה לא היו חדירות מעזה. בתקיפות הדגש הוא על נזק ולא על דיוק</t>
  </si>
  <si>
    <t>(@Haaretz) הארץ</t>
  </si>
  <si>
    <t>תקיפה אווירית, הפצצות</t>
  </si>
  <si>
    <t>https://x.com/Hamza_a96/status/1842133059312714049</t>
  </si>
  <si>
    <t>צה"ל שלח את ג'מאל, עציר, לבית חולים על מנת שיעביר הוראות פינוי לאזרחים. בזמן שהוא מורה על הפינוי, צלפים ירו בו והרגו אותו לעיני אמו.</t>
  </si>
  <si>
    <t>צה"ל שלח את ג'מאל, עציר, לבית חולים על מנת שיעביר הוראות פינוי לאזרחים. בזמן שהוא מורה על הפינוי, צלפים ירו בו והרגו אותו לעיני אמו. לאחר שגופתו חולצה, ניכרו סימני התעללות על גופו.</t>
  </si>
  <si>
    <t>October 4, 2024</t>
  </si>
  <si>
    <t>Hamza Yusuf (@Hamza_a96)</t>
  </si>
  <si>
    <t>הוצאה להורג, התעללות, צלפים, בית חולים</t>
  </si>
  <si>
    <t>https://x.com/Hind_Gaza/status/1922238532355006518</t>
  </si>
  <si>
    <t>ארגון HonestReporting וישראל הרגו את חסאן אסליאח וחוסאם שבת</t>
  </si>
  <si>
    <t>הפוסט טוען כי ארגון HonestReporting, גוף תקשורת פרו-ישראלי, היה מעורב בהריגתם של העיתונאים חסאן אסליאח וחוסאם שבת.</t>
  </si>
  <si>
    <t>Hind Khoudari (@Hind_Gaza)</t>
  </si>
  <si>
    <t>הרג עיתונאים, מדיה</t>
  </si>
  <si>
    <t>HonestReporting</t>
  </si>
  <si>
    <t>בית החולים נאסר, בית לאהיא</t>
  </si>
  <si>
    <t>חוסאם שבת, חסן אסליח</t>
  </si>
  <si>
    <t>https://x.com/History__Speaks/status/1935078326642819396</t>
  </si>
  <si>
    <t>ב־31 במרץ 2025, משרד הבריאות בעזה הסיר 1,079 ילדים מרשימת ההרוגים שלו</t>
  </si>
  <si>
    <t>בסדרה של 20 פוסטים טען ההיסטוריון מתיו גבריאל קוקריל כי הטענות של @Aizenberg55 (מארגון HonestReporting) שלפיהן משרד הבריאות בעזה זייף את מותם של ילדים – אינן נכונות. על סמך מחקר שביצע עם צוותו, הוא מצא ראיות למותם של לפחות 61% מהילדים הללו, כשיותר ממחציתם מתו מוות אלים. הוא הסביר כי משרד הבריאות החמיר את הקריטריונים לדיווח על מקרי מוות, וביישום רטרואקטיבי של קריטריונים אלה הוסר שמם של 1,079 ילדים מהרשימה – דבר שאינו מעיד על כך שלא מתו.</t>
  </si>
  <si>
    <t>June 17, 2025</t>
  </si>
  <si>
    <t xml:space="preserve">History Speaks (@History__Speaks)
</t>
  </si>
  <si>
    <t>מניין ההרוגים בעזה, ערעור על מניין ההרוגים בעזה, ילדים</t>
  </si>
  <si>
    <t>צה״ל, משרד הבריאות בעזה, HonestReporting</t>
  </si>
  <si>
    <t>https://x.com/History__Speaks/status/1940821175296577632</t>
  </si>
  <si>
    <t>תקיפות "איפה אבא?", שבהן אדם המהווה יעד מותקף מהאויר בביתו ונהרג יחד עם בני משפחתו</t>
  </si>
  <si>
    <t>ישראל מסווגת באופן קבוע ולא חוקי אזרחים שאינם לוחמים (כגון רופאים העובדים עבור המדינה, עיתונאים הפועלים בכלי תקשורת אנטי-ישראליים וכו') כמטרות בתקיפות המכונות "איפה אבא?". ישראל סבורה כי הריגת משפחות שלמות מוצדקת כדי לחסל מטרות אזרחיות אלה. בנוסף, ישראל נוהגת לתקוף לוחמי חמאס במסגרת תקיפות "איפה אבא?", אך לרוב מדובר בלוחמים זוטרים בעלי ערך צבאי מועט, שלדעת ישראל די בו כדי להצדיק את הריגת משפחותיהם.</t>
  </si>
  <si>
    <t>July 23, 2025</t>
  </si>
  <si>
    <t>משפחה, התנקשות, ירי חסר הבחנה, הרג עיתונאים, ילדים, התקפה מכוונת על עובדי בריאות, נשים</t>
  </si>
  <si>
    <t>https://x.com/HossamShabat/status/1837497128408559866</t>
  </si>
  <si>
    <t>הדיווח שלי על הטבח בבית הספר אל פאלאח׳</t>
  </si>
  <si>
    <t>חוסאם שבת מדווח על הרוגים רבים והרס רב בעקבות הפצצת בית הספר אל-פלג׳ה, ששימש כמקלט לעקורים.</t>
  </si>
  <si>
    <t>September 21, 2024</t>
  </si>
  <si>
    <t>Hossam Shabat (@Hossam Shabat)</t>
  </si>
  <si>
    <t>בית הספר אל-פלאח בעיר עזה</t>
  </si>
  <si>
    <t>טבח, אירוע רב נפגעים, בתי ספר, עקירה בכפייה, הרס, גופות, נעדרים</t>
  </si>
  <si>
    <t>https://x.com/HossamShabat/status/1877752224035606556</t>
  </si>
  <si>
    <t>העיתונאי הפלסטיני הצעיר, סעיד נבהאן, נהרג על ידי צלף ישראלי</t>
  </si>
  <si>
    <t>העיתונאי הפלסטיני הצעיר, סעיד נבהאן, נהרג על ידי צלף ישראלי בעודו לובש אפוד עיתונות מסומן בבירור ועמד לצד צוותים רפואיים ופרמדיקים במהלך פינוי הפצועים במחנה נוסייראת.</t>
  </si>
  <si>
    <t>January 10, 2025</t>
  </si>
  <si>
    <t>נוסייראת</t>
  </si>
  <si>
    <t>עיתונאים, הרג עיתונאים, התנקשות, עובדי בריאות, פציעה</t>
  </si>
  <si>
    <t>https://x.com/IDF/status/1909215556508512680</t>
  </si>
  <si>
    <t>הודעת רשמית של צה״ל: צה"ל והשב״כ חיסלו את העיתונאי חסאן אסליח בחאן יוניס</t>
  </si>
  <si>
    <t>בהודעה רשמית של צה"ל שדיווחה על חיסולו של עיתונאי אל-ג'זירה אסמאעיל אל-ע'ול, הוא תואר כפעיל בזרוע הצבאית של חמאס וכמחבל נוח'בה.</t>
  </si>
  <si>
    <t>צבא ההגנה לישראל (@IDF)</t>
  </si>
  <si>
    <t>הרג עיתונאים, עיתונאים, התנקשות, הצהרה רשמית</t>
  </si>
  <si>
    <t>https://x.com/IDFkillsPress/status/1924176098654593195</t>
  </si>
  <si>
    <t>ישראל הרגה חמישה עיתונאים היום. ארבעה מהם נהרגו בבתיהם יחד עם משפחותיהם</t>
  </si>
  <si>
    <t>ישראל הרגה חמישה עיתונאים היום. ארבעה מהם נהרגו בבתיהם יחד עם משפחותיהם. הפוסט מציג את חמשת העיתונאים עם תמונותיהם ומזכיר את בני המשפחה שנהרגו איתם. העיתונאים הם אחמד אל-זינאתי, עזיז אל-חג'אג'ר, עבד אל-רחמן אל-עבדאללה, חאלד אבו סעיף ונור קינדיל.</t>
  </si>
  <si>
    <t>Stop Murdering journalists dot com (@IDFkillsPress)</t>
  </si>
  <si>
    <t>מוואסי</t>
  </si>
  <si>
    <t>הרג עיתונאים, עיתונאים, התנקשות, משפחה, ילדים, תינוקות, נשים, מוות</t>
  </si>
  <si>
    <t>אל-מוואסי, עיר עזה, חאן יונס, דיר אל-בלח</t>
  </si>
  <si>
    <t>https://x.com/idfonline/status/1763174751042695313</t>
  </si>
  <si>
    <t>סרטון אווירי של זירת טבח הקמח</t>
  </si>
  <si>
    <t>פוסט רשמי של צה״ל כולל סרטון אווירי של מה שמכונה "טבח הקמח", וטוען כי הוא מהווה ראיה לכך שמותם של האנשים שחיפשו מזון נגרם עקב צפיפות ולא מירי של צה״ל.</t>
  </si>
  <si>
    <t>February 29, 2025</t>
  </si>
  <si>
    <t>סיוע הומניטרי, חסימת סיוע, ירי חסר הבחנה, טבח הקמח, מזון, טבח, אירוע רב נפגעים</t>
  </si>
  <si>
    <t>https://x.com/jeremyscahill/status/1909227466524078508</t>
  </si>
  <si>
    <t>עיתונאי עולה באש לאחר מתקפה של צה״ל על אוהל העיתונאים</t>
  </si>
  <si>
    <t>הסרטון מציג את השריפה שפרצה באוהל התקשורת מחוץ לבית החולים נאסר בעקבות תקיפה של צה״ל. הוא מראה את העיתונאי חלמי אל-פאקאווי נשרף בעודו בחיים. בין הפצועים היה העיתונאי חסן אסליח.</t>
  </si>
  <si>
    <t>April 07, 2025</t>
  </si>
  <si>
    <t>April 06, 2025</t>
  </si>
  <si>
    <t>עיתונאים, הרג עיתונאים, הצתה, התנקשות, בית חולים, תוכן מטריד</t>
  </si>
  <si>
    <t>https://x.com/Kahlissee/status/1819646850833465478</t>
  </si>
  <si>
    <t>עדות מחרידה: "הדחפור הגיע ודרס את ראשה של אחותי. היא היתה חיה״</t>
  </si>
  <si>
    <t>ניצול פלסטיני מתקפה של צה״ל סיפר למראיין שאחותו נדרסה על ידי דחפור. מאחוריו עומדת משאית ועליה גופות בשקי גופה, ביניהן גם גופתה של אחותו.</t>
  </si>
  <si>
    <t>August 3, 2024</t>
  </si>
  <si>
    <t>תקיפה אווירית, משפחה, נשים, גופות, עדות פלסטינית</t>
  </si>
  <si>
    <t>https://x.com/karam_naji1/status/1863199533196247467</t>
  </si>
  <si>
    <t>הלוויתו של העיתונאי מחמוד קוניטה</t>
  </si>
  <si>
    <t>הלוויית העיתונאי ממדוח קוניטה, שנהרג אתמול לאחר שצה"ל ירה בראשו באמצעות רחפן בחצר בית החולים אל-אהלי בפטיסט.</t>
  </si>
  <si>
    <t>November 30, 2024</t>
  </si>
  <si>
    <t>Karam Hassan (@karam_naji1)</t>
  </si>
  <si>
    <t>רחפן / קוואדקופטר, תוכן מטריד, הרג עיתונאים, עיתונאים, בית חולים, קבורה, התנקשות</t>
  </si>
  <si>
    <t>https://x.com/KhaledYousry22/status/1870090150849523769</t>
  </si>
  <si>
    <t>ד"ר מימי סייד, רופאה מוסמכת ברפואת חירום, מדברת על מצבם הבריאותי של ילדים בעזה.</t>
  </si>
  <si>
    <t>ד"ר מימי סייד, רופאה מוסמכת ברפואת חירום, מדברת על מצבם הבריאותי של ילדים בעזה ועל התפשטות תת התזונה ומחלות.</t>
  </si>
  <si>
    <t>December 20, 2024</t>
  </si>
  <si>
    <t>עובדי בריאות, בריאות הציבור, ילדים, אזרחים</t>
  </si>
  <si>
    <t>https://x.com/Lowkey0nline/status/1824014560858149051</t>
  </si>
  <si>
    <t>הרופא הקנדי - בן תומפסון, מספר את סיפורו של רופא עזתי שאולץ על ידי צה"ל לעמוד במשך יומיים עירום לחלוטין, כאשר הוא מוחזק באיומי נשק</t>
  </si>
  <si>
    <t>הרופא הקנדי - בן תומפסון, מספר את סיפורו של רופא עזתי שאולץ על ידי צה"ל לעמוד במשך יומיים עירום לחלוטין, בזמן שהוא מורשה לעשות את צרכיו רק במקום בו עמד וכאשר הוא מוחזק באיומי נשק חם. לאחר מכן הוא הורשה לטפל במטופליו כאשר הוא עירום לחלוטין.</t>
  </si>
  <si>
    <t>August 15, 2024</t>
  </si>
  <si>
    <t>וידאו, אודיו, טקסט</t>
  </si>
  <si>
    <t>עובדי בריאות, התקפה מכוונת על עובדי בריאות, התעללות, השפלה, בית חולים</t>
  </si>
  <si>
    <t>https://x.com/malonebarry/status/1932420982591169012</t>
  </si>
  <si>
    <t>רשת אל ג'זירה פרסמה את שמותיהם של כל העיתונאים שנהרגו מאז ה-7 באוקטובר.</t>
  </si>
  <si>
    <t>רשת אל ג'זירה פרסמה את שמותיהם של כל 231 העיתונאים שנהרגו מאז ה-7 באוקטובר.</t>
  </si>
  <si>
    <t>June 10, 2025</t>
  </si>
  <si>
    <t>Barry Malone (@malonebarry)</t>
  </si>
  <si>
    <t>https://x.com/mattlieb/status/1913092580339753198</t>
  </si>
  <si>
    <t>עיתונאית פלסטינית וגיבורת הסרט הדקומנטרי שהוקרן בפסטיבל קאן, נהרגה בעזה</t>
  </si>
  <si>
    <t>הצלמת פאטמה חסונה, המופיעה בסרט של ספידה פרסי "שים את נשמתך על ידך ולך", הייתה אחת מקורבנות התקיפה האווירית הישראלית ב-16.04.2025.</t>
  </si>
  <si>
    <t>Matt Lieb?? (@mattlieb)</t>
  </si>
  <si>
    <t>The Hollywood Reporter</t>
  </si>
  <si>
    <t>הרג עיתונאים, משפחה, אזרחים</t>
  </si>
  <si>
    <t>https://x.com/Michael_Spagat/status/1929243229980897709</t>
  </si>
  <si>
    <t>אחוזי הנשים והילדים מבין ההרוגים במלחמות שונות</t>
  </si>
  <si>
    <t>השרשור מספק נתונים על אחוזי הנשים והילדים מבין ההרוגים במלחמות שונות: תימן, קוסובו, תיגראי, סוריה, קולומביה, צפון אירלנד, עירק, בוסניה, גואטמלה, סודן, אוקראינה</t>
  </si>
  <si>
    <t>June 1, 2025</t>
  </si>
  <si>
    <t>Michael Spagat (@Michael_Spagat)</t>
  </si>
  <si>
    <t>טקסט, גרף</t>
  </si>
  <si>
    <t>ילדים, נשים, אזרחים, מניין ההרוגים בעזה</t>
  </si>
  <si>
    <t>https://x.com/Michael_Spagat/status/1937516288860991768</t>
  </si>
  <si>
    <t>מאמר חדש: "מניין ההרוגים כתוצאה מאלימות ושלא כתוצאה מאלימות במלחמת עזה: ראיות ראשוניות חדשות״.</t>
  </si>
  <si>
    <t>השרשור מסכם את תוצאות המחקר של מייקל ספאגט ועמיתיו בנוגע למניין ההרוגים בעזה כתוצאה ממעשי אלימות ומסיבות לא אלימות, עד ל־5 בינואר 2025. מניין ההרוגים כתוצאה מאלימות נמצא כ־75,200, מניין ההרוגים מסיבות לא אלימות 8,540, ואחוז הנשים, הילדים והקשישים עמד על 57.2%.</t>
  </si>
  <si>
    <t>June 24, 2025</t>
  </si>
  <si>
    <t>January 5, 2023</t>
  </si>
  <si>
    <t>ילדים, נשים, מניין ההרוגים בעזה, קשישים, אזרחים, מחלות, רעב</t>
  </si>
  <si>
    <t>https://x.com/MiddleEastEye/status/1771054562658427147</t>
  </si>
  <si>
    <t>חראם על הסוס״ חייל ישראלי פרסם סרטון בחשבון המדיה החברתית שלו, שבו נראה הרגע שבו חמישה פלסטינים שהלכו מאחורי עגלה רתומה לסוס נהרגו בתקיפת אוויר ישראלית בצפון עזה. ברקע נשמע מפי החייל המשפט: חבל על הסוס."</t>
  </si>
  <si>
    <t>תקיפה אווירית, סרטי חיילים ישראלים, דה־הומניזציה (שלילת אנושיות), כללי מעורבות</t>
  </si>
  <si>
    <t>https://x.com/MiddleEastEye/status/1807772423862759760</t>
  </si>
  <si>
    <t>אחים פלסטינים יצאו לחפש את אביהם, ומצאו אותו מת לאחר שטנק דרס אותו</t>
  </si>
  <si>
    <t>אחים פלסטינים יצאו לחפש את אביהם באזור רפיח, ומצאו אותו מת לאחר שטנק דרס אותו. פעילים פלסטינים דיווחו כי טנקים ישראליים שהו באזור במשך מספר ימים וגרמו להרס נרחב לפני שנסוגו.</t>
  </si>
  <si>
    <t>אל-שאכוש, מערב רפיח</t>
  </si>
  <si>
    <t>דריסה, טנקים, משפחה, הרס, מוות</t>
  </si>
  <si>
    <t>https://x.com/MiddleEastEye/status/1834126509319356525</t>
  </si>
  <si>
    <t>גבר פלסטיני מציג שק מלא בשרידי אדם שנהרגו כתוצאה מתקיפת צה"ל</t>
  </si>
  <si>
    <t>גבר פלסטיני מציג שקית מלאה בשרידי אדם שנהרגו כתוצאה מתקיפת צה"ל על בית ספר המספק מחסה לעקורים פלסטינים במחנה הפליטים נוסייראת.</t>
  </si>
  <si>
    <t>בתי ספר, תקיפה אווירית, אזרחים, גופות, מוות</t>
  </si>
  <si>
    <t>https://x.com/MiddleEastEye/status/1888603329317749108</t>
  </si>
  <si>
    <t>גופות נרקבות ושרידי אדם התגלו במסדרון נצרים, לאחר נסיגת צה"ל</t>
  </si>
  <si>
    <t>גופות נרקבות ושרידי גוף התגלו לאחר נסיגת צה"ל ממסדרון נצרים. צה"ל שלט במסדרון נצרים במשך כמעט שנה.</t>
  </si>
  <si>
    <t>February 9, 2025</t>
  </si>
  <si>
    <t>גופות</t>
  </si>
  <si>
    <t>https://x.com/MiddleEastEye/status/1926096243370889278</t>
  </si>
  <si>
    <t>מנתחים בריטים מספרים על תשעה ילדים שנהרגו כתוצאה מתקיפה ישראלית</t>
  </si>
  <si>
    <t>מנתחים בריטים מספרים על תשעה ילדים שנהרגו כתוצאה מתקיפה ישראלית של הרופאים הפלסטינים עלאא אל-נג'אר וחמדי אל-נג'אר בחאן יונס</t>
  </si>
  <si>
    <t>May 24, 2025</t>
  </si>
  <si>
    <t>ילדים, משפחה, עובדי בריאות, התקפה מכוונת על עובדי בריאות, תקיפה אווירית, עדויות רופאים</t>
  </si>
  <si>
    <t>https://x.com/MiddleEastEye/status/1930260790612820193</t>
  </si>
  <si>
    <t>ד"ר ויקטוריה רוז, מנתחת בריטית, מדברת על התנדבותה הרפואית בת ה-3.5 השבועות בבית החולים נאצר בעזה</t>
  </si>
  <si>
    <t>ד"ר ויקטוריה רוז, מנתחת בריטית, מדברת על התנדבותה הרפואית בת ה-3.5 השבועות בבית החולים נאצר בעזה: "ישראל מפציצה באופן שיטתי את אוכלוסיית עזה, ללא הבחנה, תוך שהיא הרעבה שיטתית ומכוונת."</t>
  </si>
  <si>
    <t>June 4, 2025</t>
  </si>
  <si>
    <t>לונדון, בית החולים נאסר, חאן יונס</t>
  </si>
  <si>
    <t>רעב כבד, הפצצות, עובדי בריאות, אזרחים</t>
  </si>
  <si>
    <t>https://x.com/MosabAbuToha/status/1864344148603543915</t>
  </si>
  <si>
    <t>אוהלי עקורים עולים באש כתוצאה מתקיפה אווירית</t>
  </si>
  <si>
    <t>אוהלי עקורים עולים באש כתוצאה מתקיפה אווירית בחאן יונס</t>
  </si>
  <si>
    <t>תקיפה אווירית</t>
  </si>
  <si>
    <t>https://x.com/MosabAbuToha/status/1864371889180721230</t>
  </si>
  <si>
    <t>התקיפה האווירית על מחנה אוהלים של עקורים והשלכותיה</t>
  </si>
  <si>
    <t>סרטונים ותמונות המתעדים את תוצאות התקיפה האווירית על אוהלי עקורים. 20 בני אדם נהרגו באותה התקיפה וישנו סרטון של תינוק שנשרף למוות.</t>
  </si>
  <si>
    <t>הצתה, תקיפה אווירית, אזרחים, ילדים, גופות, תוכן מטריד, עקירה בכפייה, אירוע רב נפגעים</t>
  </si>
  <si>
    <t>https://x.com/MosabAbuToha/status/1869236701845135630</t>
  </si>
  <si>
    <t>רסיס שהוצא מגופה של ילדה בת 7</t>
  </si>
  <si>
    <t>סרטון של ילדה בת 7 שעוברת ניתוח להוצאת רסיס מגופה.</t>
  </si>
  <si>
    <t>December 18, 2024</t>
  </si>
  <si>
    <t>ילדים, פציעה, תוכן מטריד, ציוד רפואי, תרופות</t>
  </si>
  <si>
    <t>https://x.com/MosabAbuToha/status/1902190942540480628</t>
  </si>
  <si>
    <t>חילוץ התינוק היחיד ששרד את התקיפה האווירית על בית משפחת חטאב</t>
  </si>
  <si>
    <t>חילוץ התינוק היחיד ששרד את התקיפה האווירית על בית משפחת חטאב בעיר עזה</t>
  </si>
  <si>
    <t>תקיפה אווירית, ילדים, משפחה</t>
  </si>
  <si>
    <t>https://x.com/MosabAbuToha/status/1906511122716361070</t>
  </si>
  <si>
    <t>קורבן של תקיפה אווירית</t>
  </si>
  <si>
    <t>קורבן תקיפה אווירית על בית בחאן יונס.</t>
  </si>
  <si>
    <t>תקיפה אווירית, גופות</t>
  </si>
  <si>
    <t>https://x.com/MosabAbuToha/status/1908032444327969005</t>
  </si>
  <si>
    <t>הפצצה ישראלית כבדה מעיפה שתי גופות של פלסטינים באוויר</t>
  </si>
  <si>
    <t>March 21, 2025</t>
  </si>
  <si>
    <t>https://x.com/MosabAbuToha/status/1909309335265853455</t>
  </si>
  <si>
    <t>עיתונאי נשרף בחיים</t>
  </si>
  <si>
    <t>תקיפה אווירית, הרג עיתונאים, עיתונאים, הצתה</t>
  </si>
  <si>
    <t>https://x.com/MosabAbuToha/status/1911216557688054072</t>
  </si>
  <si>
    <t>אחמד מנסור, עיתונאי, נשרף חי</t>
  </si>
  <si>
    <t>אחמד מנסור, עיתונאי, נפגע מרסיס בראשו ששיתק מחצית מגופו והוא נשרף חי</t>
  </si>
  <si>
    <t>April 13, 2025</t>
  </si>
  <si>
    <t>תקיפה אווירית, עיתונאים, הרג עיתונאים, אזרחים, הצתה</t>
  </si>
  <si>
    <t>https://x.com/MosabAbuToha/status/1911426140675207542</t>
  </si>
  <si>
    <t>צה"ל מפציץ נקודת חלוקת קמח חיטה</t>
  </si>
  <si>
    <t>צה"ל הפציץ נקודת חלוקת קמח חיטה בחאן יונס.</t>
  </si>
  <si>
    <t>תקיפה אווירית, מזון, חלוקת סיוע</t>
  </si>
  <si>
    <t>https://x.com/MosabAbuToha/status/1912671978386837960</t>
  </si>
  <si>
    <t>צה"ל הפציץ שלושה מחנות אוהלים</t>
  </si>
  <si>
    <t>צה"ל הפציץ שלושה מחנות אוהלים: בחאן יונס, שם נהרגו 10 אנשים ממשפחת אבו אל-רוס, בפרויקט בית לאהיה שם נהרגו 6 אנשים ממשפחת אל-אוטול, ובג'באליה שם נהרגו 7 אנשים ממשפחת עסליה.</t>
  </si>
  <si>
    <t>חאן יונס, בית לאהייה, ג'בליה</t>
  </si>
  <si>
    <t>משפחה, מוות, הפצצות</t>
  </si>
  <si>
    <t>חאן יונס, בית לאהיא, ג'באליה</t>
  </si>
  <si>
    <t>https://x.com/MosabAbuToha/status/1915420072178291167</t>
  </si>
  <si>
    <t>צה"ל הפציץ את שוק ג'באליה</t>
  </si>
  <si>
    <t>צה"ל הפציץ את שוק ג'באליה, מעריכים כי אנשים רבים נפגעו ונהרגו</t>
  </si>
  <si>
    <t>הפצצות, אזרחים, מזון</t>
  </si>
  <si>
    <t>https://x.com/MosabAbuToha/status/1925919394653229214</t>
  </si>
  <si>
    <t>תינוק חולץ מתחת להריסות ללא ראש לאחר תקיפה אווירית על בית משפחת דרדונה</t>
  </si>
  <si>
    <t>תינוק חולץ מתחת להריסות ללא ראש לאחר תקיפה אווירית על בית משפחת דרדונה, למעלה מ-50 בני משפחת דרדונה נהרגו.</t>
  </si>
  <si>
    <t>May 22, 2025</t>
  </si>
  <si>
    <t>גופות, ילדים, תקיפה אווירית</t>
  </si>
  <si>
    <t>https://x.com/MosabAbuToha/status/1928279365562794120</t>
  </si>
  <si>
    <t>חייל צה"ל הודה כי הצבא הרג פלסטינים לא חמושים בעזה.</t>
  </si>
  <si>
    <t>חייל צה"ל הודה כי הצבא הרג פלסטינים לא חמושים בעזה - "כי חייהם לא היו חשובים כל כך והעדפנו לא לסכן את עצמנו".</t>
  </si>
  <si>
    <t>ירי חסר הבחנה, ירי, אזרחים</t>
  </si>
  <si>
    <t>https://x.com/MosabAbuToha/status/1928463573921173736</t>
  </si>
  <si>
    <t>עמית סגל, עיתונאי ישראלי, פרסם סרטון בו רואים גבר פלסטיני שנהרג כתוצאה משיגור טיל שכוון אליו בערוץ הטלגרם שלו.</t>
  </si>
  <si>
    <t>עמית סגל, עיתונאי ישראלי, פרסם סרטון בו רואים גבר פלסטיני שנהרג כתוצאה משיגור טיל שכוון אליו בערוץ הטלגרם שלו עם הכיתוב: "עזה".</t>
  </si>
  <si>
    <t>הפצצות, מוות, דה־הומניזציה (שלילת אנושיות), תיעוד קרבות (צילומי לחימה), ירי חסר הבחנה, תקשורת ישראלית, הימין הפוליטי בישראל, דיווח עיתונאי, רשתות חברתיות</t>
  </si>
  <si>
    <t>https://x.com/MosabAbuToha/status/1928941985529749792</t>
  </si>
  <si>
    <t>ד"ר עלאא אל-נג'אר פוגשת את בעלה הפצוע - ד"ר חמדי אל-נג'אר, ביחידה לטיפול נמרץ, לאחר התקיפה בה נהרגו 9 מילדיהם.</t>
  </si>
  <si>
    <t>ד"ר עלאא אל-נג'אר פוגשת את בעלה הפצוע - ד"ר חמדי אל-נג'אר, ביחידה לטיפול נמרץ, לאחר הפיגוע בו נהרגו 9 מילדיהם. ד"ר חמדי אל-נג'אר נפטר מפצעיו, שבוע לאחר שנפצע.</t>
  </si>
  <si>
    <t>משפחה, ילדים, עובדי בריאות, התקפה מכוונת על עובדי בריאות, אזרחים</t>
  </si>
  <si>
    <t>https://x.com/MosabAbuToha/status/1929536902291451974</t>
  </si>
  <si>
    <t>אם פלסטינית מחזיקה את גופת ביתה המרוטשת</t>
  </si>
  <si>
    <t>אם פלסטינית מחזיקה את גופת ביתה המרוטשת בג'בליה</t>
  </si>
  <si>
    <t>June 2, 2025</t>
  </si>
  <si>
    <t>ילדים, גופות, אזרחים</t>
  </si>
  <si>
    <t>https://x.com/MSF_canada/status/1850998473597891051</t>
  </si>
  <si>
    <t>פוסט של 'רופאים ללא גבולות' הקורא להפסקה מיידית של התקפות אנשי רפואה בעזה</t>
  </si>
  <si>
    <t>ארגון רופאים ללא גבולות קורא לעצירת ההרג החוזר ונשנה של אנשי הארגון בעזה ולתקיפות נגד אנשי רפואה, עובדים הומניטריים ואזרחים.</t>
  </si>
  <si>
    <t>Doctors Without Borders / Médecins Sans Frontières (@MSF_canada)</t>
  </si>
  <si>
    <t>התקפה מכוונת על עובדי בריאות, עובדי בריאות, אזרחים, עובדי סיוע</t>
  </si>
  <si>
    <t>MSF</t>
  </si>
  <si>
    <t>https://x.com/muhammadshehad2/status/1818743874195476778</t>
  </si>
  <si>
    <t>כלב אוחז בפיו יד אנושית קטועה</t>
  </si>
  <si>
    <t>כלב אוחז בפיו יד אנושית קטועה בשכונת תל אל-הווא</t>
  </si>
  <si>
    <t>July 31, 2024</t>
  </si>
  <si>
    <t>בעלי חיים, גופות, תוכן מטריד</t>
  </si>
  <si>
    <t>https://x.com/muhammadshehad2/status/1922249077766685139</t>
  </si>
  <si>
    <t>ישראל משתמשת בתמונה הזו מ 2020 כדי להצדיק רצח של עיתונאי עזתי מוביל כשהוא מאושפז</t>
  </si>
  <si>
    <t>הצילום של העיתונאי חסן אסלח יחד עם מנהיג חמאס יחיא סינוואר, אשר הופץ על ידי ישראל כהצדקה להריגתו, צולם לכאורה בשנת 2020 כאשר סינוואר ניגש אל אסלח וביקש להצטלם עמו. על פי גורמים המכירים את הרקע של אסלח, הוא לא היה קשור לחמאס או לכל ארגון חמוש אחר, אלא היה עיתונאי שסיקר אירועים בעזה.</t>
  </si>
  <si>
    <t>הרג עיתונאים, התנקשות, תעמולה, עיתונאים, תקשורת ישראלית</t>
  </si>
  <si>
    <t>יחיא סינואר, חסן אסליח</t>
  </si>
  <si>
    <t>https://x.com/muhammdshehad2/status/1763641880934302087</t>
  </si>
  <si>
    <t>טוויטר הסירה את כל התמונות של הפלסטיני מעזה שנדרס על ידי טנק של צה"ל</t>
  </si>
  <si>
    <t>הפוסט עוסק בצנזורה בטוויטר, שהסירה את כל התמונות של פלסטיני מעזה שנמחץ על ידי טנק של צה"ל.</t>
  </si>
  <si>
    <t>צנזורה, רשתות חברתיות, טנקים, כללי מעורבות</t>
  </si>
  <si>
    <t>https://x.com/Nadav_Eyal/status/1729751699475013921</t>
  </si>
  <si>
    <t>צה"ל: כ־5,300 מחבלים חוסלו</t>
  </si>
  <si>
    <t>נכון ל־29 בנובמבר 2023, לפי נתוני צה"ל: בין 5,300 ל־6,000 פעילי חמאס נהרגו, סך הכול כ־15,000 הרוגים ברצועת עזה, וככל הנראה אלפי נעדרים.</t>
  </si>
  <si>
    <t>November 29, 2023</t>
  </si>
  <si>
    <t>נדב איל (@Nadav_Eyal)</t>
  </si>
  <si>
    <t>מניין ההרוגים בעזה, אזרחים, תקיפה אווירית</t>
  </si>
  <si>
    <t>https://x.com/NemoAnno/status/1940518785481605187</t>
  </si>
  <si>
    <t>13 התקפות בתוך מתחם בית החולים חללי אל-אקצא</t>
  </si>
  <si>
    <t xml:space="preserve">
השרשור מציג צילומי אוויר של המתחם הרפואי על שם חללי אל-אקצא (כולל קואורדינטות) ותמונות של תחמושת שלא התפוצצה בתוכו, המהווים עדות ל־13 תקיפות שהתרחשו במתחם, בהן נהרגו 22 פלסטינים.</t>
  </si>
  <si>
    <t>July 2, 2025</t>
  </si>
  <si>
    <t>June 30, 2025</t>
  </si>
  <si>
    <t>Anno Nemo (@NemoAnno)</t>
  </si>
  <si>
    <t>בית החולים אל-אקצא, דיר אל-בלח</t>
  </si>
  <si>
    <t>תקיפה אווירית, בית חולים, מים, רחפן / קוואדקופטר, מיקום גיאוגרפי (גיאולוקציה)</t>
  </si>
  <si>
    <t>https://x.com/NimerSultany/status/1806730484006662419</t>
  </si>
  <si>
    <t>מאז פרוץ המלחמה נהרגו לפחות 19 מקרובי משפחתו של איסמאעיל הניה</t>
  </si>
  <si>
    <t>נכון ליוני 2024, ישראל הרגה לפחות 19 מבני משפחתו של איסמאעיל הניה. על פי דיווח של ערוץ 11 הישראלי, מדובר היה ב״קמפיין נקמה אישי״.</t>
  </si>
  <si>
    <t>משפחה, ילדים, התנקשות, אזרחים</t>
  </si>
  <si>
    <t>אסמאעיל הניה</t>
  </si>
  <si>
    <t>https://x.com/nirhasson/status/1876547809987715541</t>
  </si>
  <si>
    <t>חיילי צה"ל ירו לעבר שיירה מסומנת ומתואמת של האו"ם</t>
  </si>
  <si>
    <t>יילי צה"ל ירו לעבר שיירה מסומנת ומתואמת של האו"ם. בשיירה היו 8 עובדים של תוכנית המזון העולמית, איש לא נפגע. הירי היה מתוך רכב שרדף אחרי השיירה כ-150 מטרים מציר נצרים. צה"ל אישר את הפרטים</t>
  </si>
  <si>
    <t>January 7, 2025</t>
  </si>
  <si>
    <t>עובדי סיוע, מזון</t>
  </si>
  <si>
    <t>צה״ל, תכנית המזון העולמית</t>
  </si>
  <si>
    <t>https://x.com/NourNaim88/status/1827071101538623794</t>
  </si>
  <si>
    <t>ד"ר ג'יימס סמית' מספר על החודשיים בהם עבד כרופא בעזה</t>
  </si>
  <si>
    <t>ד"ר ג'יימס סמית' מספר על חודשיים בהם עבד כרופא בעזה: "מעולם לא עבדתי במקום אלים, מפחיד ולא יציב כמו עזה"</t>
  </si>
  <si>
    <t>Nour Naim| (@NourNaim88)</t>
  </si>
  <si>
    <t>LBC</t>
  </si>
  <si>
    <t>רפיח, לונדון</t>
  </si>
  <si>
    <t>עובדי בריאות, עובדי סיוע, ילדים, מחלות קשות, פצעי ירי, פציעה</t>
  </si>
  <si>
    <t>צה״ל, האיחוד האירופי</t>
  </si>
  <si>
    <t>https://x.com/NourNaim88/status/1828743553587060895</t>
  </si>
  <si>
    <t>אמא שמגלה שאיבדה שניים מילדיה</t>
  </si>
  <si>
    <t>אם מגלה שאיבדה שניים מילדיה לאחר תקיפת צה"ל בבית הספר אל-מנפלוטי</t>
  </si>
  <si>
    <t>דיר אל בלאח</t>
  </si>
  <si>
    <t>ילדים, גופות, מוות, בתי ספר, אזרחים</t>
  </si>
  <si>
    <t>https://x.com/NourNaim88/status/1851214238846497280</t>
  </si>
  <si>
    <t>אם מחפשת את בתה דרך נעלי הקורבנות</t>
  </si>
  <si>
    <t>אם מחפשת את בתה דרך נעלי הקורבנות עקב מצבן הבלתי ניתן לזיהוי של הגופות לאחר ההפצצה</t>
  </si>
  <si>
    <t>נשים, אזרחים, הפצצות, מוות, גופות</t>
  </si>
  <si>
    <t>https://x.com/NourNaim88/status/1865722988202459555</t>
  </si>
  <si>
    <t>ד"ר האני נאסר נהרג על ידי צה"ל</t>
  </si>
  <si>
    <t>ד"ר האני נאסר נהרג על ידי צה"ל יחד עם בנו אחמד בצפון הרצועה.</t>
  </si>
  <si>
    <t>December 8, 2024</t>
  </si>
  <si>
    <t>התקפה מכוונת על עובדי בריאות, משפחה, אזרחים, עובדי בריאות, תקיפה אווירית</t>
  </si>
  <si>
    <t>https://x.com/OnlinePalEng/status/1844059508601126946</t>
  </si>
  <si>
    <t>עומר ח'ליל אל-בלאווי, עיתונאי, נהרג על ידי צה"ל</t>
  </si>
  <si>
    <t>עומר ח'ליל אל-בלאווי, עיתונאי, נהרג על ידי רחפן של צה"ל בזמן שעמד ליד חלון בביתו.</t>
  </si>
  <si>
    <t>PALESTINE ONLINE (@OnlinePalEng)</t>
  </si>
  <si>
    <t>העיר עזה</t>
  </si>
  <si>
    <t>הרג עיתונאים, אזרחים, מוות, רחפן / קוואדקופטר</t>
  </si>
  <si>
    <t>https://x.com/orfialkov/status/1913611279886885009</t>
  </si>
  <si>
    <t>צה"ל החל להשתמש ברחפן ה־SkyStriker, המיוצר על ידי חברת אלביט, לביצוע חיסולים ברצועת עזה</t>
  </si>
  <si>
    <t>צה"ל החל להשתמש ברחפן ה־SkyStriker, המיוצר על ידי חברת אלביט, לביצוע חיסולים ברצועת עזה. לאחרונה צולמו בידי פלסטינים סרטונים המראים חלקים מ־SkyStriker לאחר חיסולים כאלה. בעבר, תקיפות מסוג זה נעשו באמצעות פצצות "מכחולית" או טילי "הלפייר".</t>
  </si>
  <si>
    <t>אור פיאלקוב (@orfialkov)</t>
  </si>
  <si>
    <t>רחפן / קוואדקופטר, התנקשות</t>
  </si>
  <si>
    <t>צה״ל, אלביט</t>
  </si>
  <si>
    <t>https://x.com/orfialkov/status/1914333112986665340</t>
  </si>
  <si>
    <t>השרקרק של אלביט שוב תוקף באוהלים במוואסי</t>
  </si>
  <si>
    <t>הסרטון מציג תקיפת צה"ל באזור אוהלים באל מוואסי. אדם נישא אל אמבולנס, ולאחר מכן נראים בשטח חלקי רחפן ה־SkyStriker, שיוצר על ידי חברת אלביט, שביצע את התקיפה. הפוסט מסביר שלנשק זה ראש נפץ קטן, הוא מדויק מאוד עם פגיעה סביבתית נמוכה.</t>
  </si>
  <si>
    <t>April 21, 2025</t>
  </si>
  <si>
    <t>רחפן / קוואדקופטר, התנקשות, אזורים בטוחים</t>
  </si>
  <si>
    <t>https://x.com/orfialkov/status/1914414487244783696</t>
  </si>
  <si>
    <t>שרקרק - כלי החיסולים החדש-ישן של צה״ל ברצועת עזה</t>
  </si>
  <si>
    <t>צה״ל מגביר את השימוש ב‑SkyStriker של אלביט לחיסולים ברצועת עזה. כטב״מים אלה, מצוידים בראש נפץ של 10 ק״ג, משמשים בעיקר לתקיפות באזורי אוהלים. החזית העממית קראה להחרים את אלביט בעקבות השימוש בהם.</t>
  </si>
  <si>
    <t>רחפן / קוואדקופטר, התנקשות, מחאה (בינלאומית)</t>
  </si>
  <si>
    <t>https://x.com/orfialkov/status/1922395827143618643</t>
  </si>
  <si>
    <t>מטוסי קרב פוגעים בצוותי אמבולנס והגנה אזרחית שמנסים לחלץ פצועים ליד בית החולים האירופאי בחאן יונס</t>
  </si>
  <si>
    <t>מטוסי קרב פגעו בצוותי אמבולנס והגנה אזרחית שניסו לחלץ פצועים ליד בית החולים האירופאי בחאן יונס. הסרטון מציג אנשי הגנה אזרחית בורחים מהתקיפה, לפחות אחד מהם נפצע.</t>
  </si>
  <si>
    <t>בית החולים האירופאי, חאן יונס</t>
  </si>
  <si>
    <t>תקיפה אווירית, עובדי בריאות, אזרחים, בית חולים, פציעה</t>
  </si>
  <si>
    <t>בית החולים האירופי</t>
  </si>
  <si>
    <t>https://x.com/RamAbdu/status/1871926114555437270</t>
  </si>
  <si>
    <t>מספר ההרוגים בעזה עד כה עומד על 54200</t>
  </si>
  <si>
    <t>מספר ההרוגים בעזה עד כה הוא 54,200 - כולל 17,650 ילדים, 10,892 נשים ו-113,280 פצועים.</t>
  </si>
  <si>
    <t>December 25, 2024</t>
  </si>
  <si>
    <t>מוות, אזרחים, ילדים, נשים, תוכן מטריד, עדויות רופאים</t>
  </si>
  <si>
    <t>https://x.com/sahatenglish/status/1904174899842760801</t>
  </si>
  <si>
    <t>חוסאם שבאט, עיתונאי, הזהיר מפני איומים והסתה נגדו לפני שנהרג.</t>
  </si>
  <si>
    <t>חוסאם שבאט, עיתונאי, הזהיר מפני איומים והסתה נגדו לפני שנהרג: "האשמות שווא המהוות איום התנקשות וניסיון ברור להצדיק את הריגתנו."</t>
  </si>
  <si>
    <t>Sahat English (@sahatenglish)</t>
  </si>
  <si>
    <t>עיתונאים, הרג עיתונאים, אזרחים</t>
  </si>
  <si>
    <t>https://x.com/sahatenglish/status/1907346090862551438</t>
  </si>
  <si>
    <t>מחמוד באסל, דובר ההגנה האזרחית של עזה, הודיע ​​כי מספר הגופות שנשרפו בתקיפות אוויריות ישראליות עומד על 2,840.</t>
  </si>
  <si>
    <t>מחמוד באסל, דובר ההגנה האזרחית של עזה, הודיע ​​כי מספר הגופות שנשרפו בתקיפות אוויריות ישראליות עומד על 2,840. צה"ל משתמש בפצצות בטמפרטורות המגיעות ל-7,000-9,000 מעלות צלזיוס. פצצות אלו גורמות להתמוססות גופותיהם של אזרחים.</t>
  </si>
  <si>
    <t>תקיפה אווירית, הפצצות, הצתה, מוות, גופות, מניין ההרוגים בעזה</t>
  </si>
  <si>
    <t>https://x.com/SaulStaniforth/status/1810934872778654087</t>
  </si>
  <si>
    <t>ישראל הפציצה בית ספר בו שוכנו אזרחים עקורים והרגה לפחות 30 בני אדם</t>
  </si>
  <si>
    <t>ישראל הפציצה בית ספר בו התגוררו אזרחים עקורים והרגה לפחות 30 בני אדם, רובם נשים וילדים. רבים נוספים נפצעו, ואין שירותי בריאות או ציוד רפואי לטפל ברבים מהם.</t>
  </si>
  <si>
    <t>July 10, 2024</t>
  </si>
  <si>
    <t>July 9, 2024</t>
  </si>
  <si>
    <t>מחנה הפליטים אל-בורייג'</t>
  </si>
  <si>
    <t>תקיפה אווירית, נשים, ילדים, אזרחים, בתי ספר, מוות</t>
  </si>
  <si>
    <t>https://x.com/SaulStaniforth/status/1810964616437981549</t>
  </si>
  <si>
    <t>ישראל הפציצה בית ספר של האו"ם בו שכנו אזרחים עקורים והרגה לפחות 30 בני אדם</t>
  </si>
  <si>
    <t>ישראל הפציצה בית ספר של האו"ם בו שכנו אזרחים עקורים והרגה לפחות 30 בני אדם. ראש אונר"א אומר כי "4 בתי ספר נפגעו ב-4 ימים. מאז תחילת המלחמה, שני שלישים מבתי הספר של אונר"א נפגעו".</t>
  </si>
  <si>
    <t>תקיפה אווירית, אזרחים, מוות, בתי ספר, הריסות, ילדים, נשים</t>
  </si>
  <si>
    <t>https://x.com/SaulStaniforth/status/1831719802563432812</t>
  </si>
  <si>
    <t>ויקטוריה רוז, מנתחת פלסטית מבריטניה, מספרת על חוויית העבודה בעזה.</t>
  </si>
  <si>
    <t>ויקטוריה רוז, מנתחת פלסטית מבריטניה, מספרת על חוויית העבודה בעזה: "80% מכל מי שטיפלתי בו היה מתחת לגיל 16... כל הפציעות היו קשורות לפציעות שנגרמו עקב פיצוצים וכוויות... ראיתי הרבה פציעות טראומה בגפיים התחתונות, ילדים שאיבדו רגליים, ידיים... הרבה פציעות בפנים"</t>
  </si>
  <si>
    <t>September 5, 2024</t>
  </si>
  <si>
    <t>בריטניה, בית החולים נאסר, חאן יונס</t>
  </si>
  <si>
    <t>ילדים, כוויות, פגיעות נפץ, בית חולים</t>
  </si>
  <si>
    <t>https://x.com/SaulStaniforth/status/1845772144879280534</t>
  </si>
  <si>
    <t>מוחמד טאהיר, מנתח, מדבר על התקפות בתי החולים</t>
  </si>
  <si>
    <t>מוחמד טאהיר, מנתח, מדבר על התקפות בתי החולים: "זו לא הפעם הראשונה שבית החולים הותקף... ראינו אנשים נשרפים חיים, התמונות הללו חרוטות בתודעתם של האנשים כאן... אנשים בטראומה..."</t>
  </si>
  <si>
    <t>בית החולים אל אקצה, דיר אל בלאח</t>
  </si>
  <si>
    <t>התקפה מכוונת על עובדי בריאות, מצב בתי החולים, בית חולים, כוויות, טראומה נפשית</t>
  </si>
  <si>
    <t>https://x.com/SaulStaniforth/status/1882309013674787114</t>
  </si>
  <si>
    <t xml:space="preserve">ויקטוריה רוז, מנתחת פלסטית מבריטניה, מספרת על חוויית העבודה בעזה: "ניתחתי כל יום ורוב המטופלים ברשימה שלי היו ילדים... ראינו הרבה פציעות של צלפים, נראה היה שהילדים נפגעו במיוחד על ידי רחפנים... רבים מהם נורו בגב, בראש..."
</t>
  </si>
  <si>
    <t>January 23, 2025</t>
  </si>
  <si>
    <t>ילדים, רחפן / קוואדקופטר, כוויות, פגיעות נפץ, צלפים, אזרחים, עובדי בריאות</t>
  </si>
  <si>
    <t>https://x.com/SaulStaniforth/status/1922895821785252177</t>
  </si>
  <si>
    <t>המנתח האמריקאי ד"ר פרוז סידווה מספר על חוויית העבודה בעזה</t>
  </si>
  <si>
    <t>המנתח האמריקאי ד"ר פרוז סידווה מספר על חוויית העבודה בעזה: "אם השמדת חמאס דורשת הטלת 12 פצצות על בית חולים קטן אחד... ואז פרסום סרטון שלא מראה אפילו את הבניין שאתם מתיימרים להפציץ, אני חושב שזה מראה בבירור שאתם פשוט מפציצים את בית החולים כדי להפציץ את בית החולים."</t>
  </si>
  <si>
    <t>רצועת עזה, קליפורניה</t>
  </si>
  <si>
    <t>בית חולים, עובדי בריאות, התקפה מכוונת על עובדי בריאות, הפצצות</t>
  </si>
  <si>
    <t>https://x.com/SaulStaniforth/status/1924465487783563438</t>
  </si>
  <si>
    <t>כירורגית של שירות הבריאות הלאומי (NHS) ויקטוריה רוז מדברת מעזה</t>
  </si>
  <si>
    <t>כירורגית של שירות הבריאות הלאומי (NHS) ויקטוריה רוז מדברת מעזה: " 75% מהמטופלים הם ילדים... הילדים האלה זעירים, סובלים מתת משקל, מתת תזונה... יש להם פציעות משמעותיות שמשנות חיים... איבוד גפיים, פציעות בפנים מעוותות, והכוויות הן קטסטרופליות"</t>
  </si>
  <si>
    <t>עובדי בריאות, ילדים, כוויות, פגיעות נפץ, תת־תזונה</t>
  </si>
  <si>
    <t>https://x.com/SaulStaniforth/status/1935216106236424312</t>
  </si>
  <si>
    <t>הרופא הבריטי ג'יימס סמית' מספר על חוויית העבודה בעזה</t>
  </si>
  <si>
    <t>הרופא הבריטי ג'יימס סמית' מספר על חוויית העבודה בעזה: "זה הדבר הנורא ביותר שרובנו היינו עדים לו בחיינו... זהו רצח עם בשידור חי, אין גבול לזוועות שישראל מבצעת נגד העם הפלסטיני"</t>
  </si>
  <si>
    <t>June 18, 2025</t>
  </si>
  <si>
    <t>עובדי בריאות, אזרחים, רצח עם</t>
  </si>
  <si>
    <t>https://x.com/Save_GlobalNews/status/1862952420520669522</t>
  </si>
  <si>
    <t>ארגון "הצילו את הילדים" מגיב על מותו של איש צוות בארגון.</t>
  </si>
  <si>
    <t>ארגון "הצילו את הילדים" הרוסה וזועמת על הריגתו של חבר הצוות אחמד פייסל איסלאם אל-קאדי בתקיפה אווירית ישראלית בעזה, עמיתנו השני שנהרג בעזה. "אנו מגנים את התקיפה הזו במונחים הקשים ביותר ודורשים חקירה."</t>
  </si>
  <si>
    <t>Save the Children Global Media (@Save_GlobalNews)</t>
  </si>
  <si>
    <t>תקיפה אווירית, מוות, עובדי סיוע</t>
  </si>
  <si>
    <t>https://x.com/sharifkouddous/status/1835292186818056667</t>
  </si>
  <si>
    <t>משרד הבריאות בעזה פרסם פרטים אישיים של כל ההרוגים המוכרים בעזה בין ה-7 באוקטובר ל-31 באוגוסט.</t>
  </si>
  <si>
    <t>משרד הבריאות בעזה פרסם זה עתה מסמך בן 649 עמודים ובו שם, גיל, מין ומספר תעודת זהות של כל פלסטיני שידוע כי נהרג בעזה בין ה-7 באוקטובר ל-31 באוגוסט. ב-14 העמודים הראשונים הגיל רשום כ-0 (מתחת לשנה).</t>
  </si>
  <si>
    <t>Sharif Kouddous (@sharifkouddous)</t>
  </si>
  <si>
    <t>מוות, מניין ההרוגים בעזה</t>
  </si>
  <si>
    <t>https://x.com/SharonNadeem/status/1934766863504036074</t>
  </si>
  <si>
    <t>שרשור שעוקב אחר מספר האנשים שמתו באתרי הקרן ההומניטרית לעזה, מאז ה-27 במאי 2025</t>
  </si>
  <si>
    <t>שרשור שעוקב אחר מספר האנשים שמתו באתרי הקרן ההומניטרית לעזה, מאז ה-27 במאי 2025: מספר המתים המשוער עומד על 648 נכון ל-3 ביולי 2025</t>
  </si>
  <si>
    <t>Last post: Jul 4, 2025</t>
  </si>
  <si>
    <t>Sharon Nadeem (@SharonNadeem)</t>
  </si>
  <si>
    <t>Al Jazeera, הארץ, The Guardian, The New York Times, ABC News, NPR</t>
  </si>
  <si>
    <t>מוות, תקיפות על מרכזי סיוע, מניין ההרוגים בעזה, אזרחים, ילדים, ירי חסר הבחנה, ירי</t>
  </si>
  <si>
    <t>https://x.com/SMohyeddin/status/1873753025551962436</t>
  </si>
  <si>
    <t>רופאת חדר מיון אמריקאית, ד"ר מימי סייד, מדברת מעזה</t>
  </si>
  <si>
    <t>רופאת חדר מיון אמריקאית, ד"ר מימי סייד, מדברת מעזה: "ראיתי שוב ושוב פצעי ירי בילדים. היו לי 18 מקרים כאלה בביקור האחרון שלי לכאן (...) אני רואה את האנושות מסתיימת כאן"</t>
  </si>
  <si>
    <t>Samira Mohyeddin (@SMohyeddin)</t>
  </si>
  <si>
    <t>פצעי ירי, ילדים, אזרחים, עובדי בריאות, בית חולים</t>
  </si>
  <si>
    <t>https://x.com/SMohyeddin/status/1904159553878462936</t>
  </si>
  <si>
    <t>חוסאם שבאט, עיתונאי, נהרג על ידי צה"ל</t>
  </si>
  <si>
    <t>צה"ל הרג את העיתונאי חוסאם שבאט בתקיפה אווירית שפגעה במכוניתו.</t>
  </si>
  <si>
    <t>עיתונאים, הרג עיתונאים, תקיפה אווירית, תעמולה</t>
  </si>
  <si>
    <t>https://x.com/SuppressedNws/status/1783453264798765401</t>
  </si>
  <si>
    <t>הפלסטיני שנכפת ונדרס על ידי טנק צה"לי זוהה: ג'מאל חמדי חסן עשור</t>
  </si>
  <si>
    <t>הפלסטיני שנכפת ונדרס על ידי טנק צה"לי זוהה: ג'מאל חמדי חסן עשור (בן 62), המתגורר ליד מסגד 'סאק אללה' בשכונת זייתון.</t>
  </si>
  <si>
    <t>Suppressed News (@SuppressedNws)</t>
  </si>
  <si>
    <t>זייתון, העיר עזה</t>
  </si>
  <si>
    <t>דריסה, טנקים, מעצר, חילול גופות</t>
  </si>
  <si>
    <t>https://x.com/SuppressedNws/status/1919910151676363195</t>
  </si>
  <si>
    <t>חמאס ערך בדיקה פנימית שמצאה כי חוסאם שבאת העיתונאי, לא היה צלף, לא היה באל-קסאם ולא היה מזוהה עם חמאס.</t>
  </si>
  <si>
    <t>העיתונאי ג'רמי סקאהיל אמר ל-Breaking Points כי חמאס ערך בדיקה פנימית שכללה סקירת רישומי חטיבה וראיונות עם חברים, ומצאו כי חוסאם שבאת העיתונאי, לא היה צלף, לא היה באל-קסאם ולא היה מזוהה עם חמאס.</t>
  </si>
  <si>
    <t>May 7, 2025</t>
  </si>
  <si>
    <t>The interview: May 7, 2025 / The death of Hossam Shabat: March 24, 2025</t>
  </si>
  <si>
    <t>ארה"ב, צפון רצועת עזה</t>
  </si>
  <si>
    <t>הרג עיתונאים, עיתונאים</t>
  </si>
  <si>
    <t>https://x.com/SuppressedNws/status/1939328648407851075</t>
  </si>
  <si>
    <t>תיעוד המציג רחפן ישראלי שמכוון לעבר גבר פלסטיני הנושא שק קמח</t>
  </si>
  <si>
    <t>אל ג'זירה השיגה סרטון המציג רחפן ישראלי שמכוון לעבר גבר פלסטיני הנושא שק קמח על גבו בשכונת אל-שוג'עיה.</t>
  </si>
  <si>
    <t>June 29, 2025</t>
  </si>
  <si>
    <t>שכונת שג'עייה, העיר עזה</t>
  </si>
  <si>
    <t>מזון, אזרחים, רחפן / קוואדקופטר</t>
  </si>
  <si>
    <t>https://x.com/swilkinsonbc/status/1904288120943882559</t>
  </si>
  <si>
    <t>צה"ל נתן לעיתונאי חוסאם שבאת שתי אפשרויות</t>
  </si>
  <si>
    <t>צה"ל נתן לעיתונאי חוסאם שבת שתי אפשרויות: או לעזוב את בית חנון ואת עיסוקו בעיתונות או שביתו ייהרס. כשסירב, ביתו הופצץ.</t>
  </si>
  <si>
    <t>Sarah Wilkinson (@swilkinsonbc)</t>
  </si>
  <si>
    <t>הרג עיתונאים, עיתונאים, הרס</t>
  </si>
  <si>
    <t>https://x.com/swilkinsonbc/status/1925204663365738862</t>
  </si>
  <si>
    <t>המנתח הבריטי טום פוטוקר, מדבר מעזה</t>
  </si>
  <si>
    <t>המנתח הבריטי טום פוטוקר, שעובד בבית החולים אמל, מדבר מעזה: "תפסיקו לדבר ותעשו משהו (...) עזה הפכה לבית מטבחיים"</t>
  </si>
  <si>
    <t>חאן יונס, בית החולים אל-אמל</t>
  </si>
  <si>
    <t>עובדי בריאות, פנייה למנהיגי העולם, עובדי סיוע</t>
  </si>
  <si>
    <t>בית החולים אל-אמל, חאן יונס</t>
  </si>
  <si>
    <t>https://x.com/Timesofgaza/status/1884171483691495756</t>
  </si>
  <si>
    <t>שלדים של פלסטינים שנהרגו נמצאו במסדרון נצרים</t>
  </si>
  <si>
    <t>TIMES OF GAZA (@Timesofgaza)</t>
  </si>
  <si>
    <t>קברי אחים, קבורה, מוות</t>
  </si>
  <si>
    <t>https://x.com/Timesofgaza/status/1884982632317911339</t>
  </si>
  <si>
    <t>משפחה פלסטינית מצאה את שרידי בנה הנעדר חודשים לאחר היעלמותו.</t>
  </si>
  <si>
    <t>מוות, קבורה, קברי אחים</t>
  </si>
  <si>
    <t>https://x.com/tparsi/status/1905640088454803804</t>
  </si>
  <si>
    <t>סיפורו של אח אורטופדי שנורה ונעצר ע"י צה"ל</t>
  </si>
  <si>
    <t>מנתח אורתופדי, ד"ר מארק פרלמוטר, מספר ל-CNN את סיפורו של אח אורתופדי פלסטיני בשם תאמר: הוא נורה בברך על ידי חיילים ישראלים לאחר שסירב להפסיק לנתח פצוע. מאוחר יותר הוא נלקח לכלא על ידי הישראלים למשך 45 יום. כאשר הישראלים אישרו שהוא אינו שייך לחמאס, הם עקרו את עינו והשליכו אותו לצד השני של הגבול, מה שאילץ אותו לזחול 3 ק"מ (...)</t>
  </si>
  <si>
    <t>March 28, 2025</t>
  </si>
  <si>
    <t>עינויים, עצורים, מתקן כליאה, התקפה מכוונת על עובדי בריאות, עובדי בריאות, עובדי סיוע, פצעי ירי, רעב כבד</t>
  </si>
  <si>
    <t>https://x.com/translatingpal/status/1858200164223132103</t>
  </si>
  <si>
    <t>העיתונאי פאדי אל-וחידי משתף בייסוריו לאחר שנפצע על ידי צה"ל</t>
  </si>
  <si>
    <t>העיתונאי פאדי אל-וחידי משתף בייסוריו לאחר שנפצע על ידי צה"ל והסירוב המתמשך לאפשר את פינויו לטיפול רפואי דחוף. מצבו מחמיר בזמן שהוא ממתין לעזרה שנחסמת על ידי הצבא.</t>
  </si>
  <si>
    <t>Translating Falasteen (Palestine) (@translatingpal)</t>
  </si>
  <si>
    <t>חסימת סיוע, פציעה, עיתונאים</t>
  </si>
  <si>
    <t>https://x.com/translatingpal/status/1861400610362322983</t>
  </si>
  <si>
    <t>פלג גופו העליון של אדם שגופו נטרף על ידי כלבים</t>
  </si>
  <si>
    <t>צוותי ההגנה האזרחית ברפיח חילצו את פלג גופו העליון של אדם שגופתו נטרפה על ידי כלבים. אירוע טרגי זה התרחש משום שצה"ל מכוון לכל רכב או אדם המנסה להתקרב לאזורים מסוימים, ומונע חילוץ בזמן של גופות ופצועים למרות ניסיונות תיאום עם צוותי ההגנה האזרחית והאמבולנסים.</t>
  </si>
  <si>
    <t>חסימת סיוע, גופות, חילול גופות</t>
  </si>
  <si>
    <t>https://x.com/translatingpal/status/1862885853271355842</t>
  </si>
  <si>
    <t>גבר שזוהה מאוחר יותר כעיתונאי, נורה בראשו על ידי רחפן</t>
  </si>
  <si>
    <t>אדם שזוהה מאוחר יותר כעיתונאי ממדוח קניטה, נורה בראשו בתוך בית החולים הערבי אל-אהלי על ידי רחפן במתקפה ממוקדת וישירה.</t>
  </si>
  <si>
    <t>הרג עיתונאים, עיתונאים, תקיפות על מרכזי סיוע, בית חולים, רחפן / קוואדקופטר</t>
  </si>
  <si>
    <t>https://x.com/translatingpal/status/1863294227939217409</t>
  </si>
  <si>
    <t>כלבים אוכלים גופות ברפיח</t>
  </si>
  <si>
    <t>עובד ההגנה האזרחית הפלסטינית מוחמד חלבי, מזהיר משפחות מפני כניסה לרפיח, שם גופות נטרפות על ידי כלבים מורעבים. הוא מתאר כיצד רחפני צה"ל מכוונים לכל דבר שזז, מה שהופך את ההישרדות לכמעט בלתי אפשרית. חלבי מתחנן בפני התושבים לא לסכן את חייהם למען אספקה ​​בסיסית, וקורא להם לתעדף את ביטחונם למען משפחותיהם המחכות להם בבית.</t>
  </si>
  <si>
    <t>רחפן / קוואדקופטר, מוות, גופות, חילול גופות, קברי אחים</t>
  </si>
  <si>
    <t>https://x.com/translatingpal/status/1867607315811107198</t>
  </si>
  <si>
    <t>תוצאות נסיגת צה"ל מחאן יונס במרץ 2024</t>
  </si>
  <si>
    <t>תוצאות נסיגת צה"ל מחאן יונס במרץ 2024: גופות וחלקי גופות מפורקים פזורים ברחבי האזור ושכונות שלמות הפכו להריסות.</t>
  </si>
  <si>
    <t>December 13, 2024</t>
  </si>
  <si>
    <t>גופות, חילול גופות, הרס, קברי אחים, בעלי חיים</t>
  </si>
  <si>
    <t>https://x.com/translatingpal/status/1868289900812128313</t>
  </si>
  <si>
    <t>כלבים אוכלים גופות אדם</t>
  </si>
  <si>
    <t>בצפון עזה, כלבים אוכלים גופות שנותרו מונחות ברחובות לאחר שצה"ל שיתק את כל עובדי ההגנה האזרחית והאמבולנסים. איש אינו מסוגל לחלץ את הגופות עקב המצור וההפצצות המתמשכות.</t>
  </si>
  <si>
    <t>December 15, 2024</t>
  </si>
  <si>
    <t>גופות, חילול גופות, בעלי חיים</t>
  </si>
  <si>
    <t>https://x.com/translatingpal/status/1869781014933029241</t>
  </si>
  <si>
    <t>ראשו של אדם התגלה ליד בית הספר אל-כרמה שמשמש כמכנה עקורים</t>
  </si>
  <si>
    <t>ילדים מצאים ראש של אדם ליד בית הספר אל-כרמה שמשמש כמכנה עקורים</t>
  </si>
  <si>
    <t>בית הספר אל כראמה, עזה</t>
  </si>
  <si>
    <t>גופות, חילול גופות</t>
  </si>
  <si>
    <t>https://x.com/translatingpal/status/1874136519700570494</t>
  </si>
  <si>
    <t>אחמד עיד, ילד בן 6, שנפצע קשה</t>
  </si>
  <si>
    <t>אחמד עיד, ילד בן 6, נפצע ב-18 ביוני 2024, בעת ששיחק עם ילדים אחרים בחצר בית מחסה בערב עיד אל-אדחא. הוא סובל מטראומה פסיכולוגית ופיזית, כולל תלישת שיער, כסיסת ציפורניים ואובדן תיאבון. אחמד פיתח קיבעון למאוורר, מתוך אמונה שהאוויר שלו חיוני להרגעת כוויותיו, ובתחילה סירב לפיזיותרפיה או לאינטראקציה עם אנשים לא מוכרים. בעזרת הטיפול המתקדם של TechMed בבית החולים שוהדא אל-אקצא ותמיכתה של המומחית נורהאן, אחמד החל בהחלמתו. בפגישה הראשונה שלהם, נורהאן בנתה אמון והפחיתה בהדרגה את מהירות המאוורר. בפגישה השנייה, אחמד קיבל טיפול בעזרת מציאות מדומה והחל להוריד עוד יותר את מהירות המאוורר. בפגישה השלישית, הוא אימץ את הטיפול במלואו, והוריד את המאוורר למהירות 2 יום ולילה. TechMed ממשיכה לתמוך בהתקדמותו, ועוזרת לו להחזיר את הביטחון ולהסתגל למציאות חייו החדשה.</t>
  </si>
  <si>
    <t>December 31, 2024</t>
  </si>
  <si>
    <t>דיר אל בלאח, בית החולים אל אקצה</t>
  </si>
  <si>
    <t>ילדים, טראומה נפשית, כוויות, אזרחים</t>
  </si>
  <si>
    <t>דיר אל-בלח, בית החולים אל-אקצא</t>
  </si>
  <si>
    <t>https://x.com/translatingpal/status/1874447253001138669</t>
  </si>
  <si>
    <t>חסן חאלד אל-שרים, איבד את אשתו וארבעה מילדיהם בתקיפה של צה"ל</t>
  </si>
  <si>
    <t>חסן ח'אלד אל-שרים, אב פלסטיני ומורה באונר"א, איבד את אשתו וארבעה מילדיהם בתקיפה שבוצעה במכוון על ידי צה"ל, למרות תיאום מוקדם עם האו"ם ליציאתם הבטוחה ובעודם נושאים דגלים לבנים. הצבא לעג לו בטלפון על מותם של אישתו וילדיו. בזמן שניסה להורות לצוותי אמבולנס לאסוף את גופות בני משפחתו, כוחות ישראליים פתחו באש גם על הפרמדיקים.</t>
  </si>
  <si>
    <t>January 1, 2025</t>
  </si>
  <si>
    <t>אזרחים, משפחה, רחפן / קוואדקופטר, נשים</t>
  </si>
  <si>
    <t>https://x.com/translatingpal/status/1876685731143323761</t>
  </si>
  <si>
    <t>השימוש בטלאל אל-זאנין כמגן אנושי</t>
  </si>
  <si>
    <t>טלאל אל-זענין, שנלקח מצפון עזה ושימש כמגן אנושי על ידי כוחות צה"ל במשך 12 ימים, שוחרר היום. הוא שוחרר לאחר שנפצע ברגלו והחל לצלוע, עובדה שהפכה אותו ל"חסר תועלת" עבור חיילי צה"ל. טלאל קיבל טיפול ראשוני בית החולים הערבי אל-אהלי בעיר עזה עקב פציעות שנגרמו לו במהלך תקופה זו. הוא סיפר כי נאלץ ללכת עם דגל לבן מול טנקים ישראליים תוך כדי ירי שכוון אליו, שגם גרמו לו לפציעות בצווארו ובזרועו.</t>
  </si>
  <si>
    <t>בית החולים אל-אהלי, צפון עזה</t>
  </si>
  <si>
    <t>מגנים אנושיים, טנקים, אזרחים, פציעה, עצורים</t>
  </si>
  <si>
    <t>צפון רצועת עזה, בית החולים אל-אהלי הבפטיסטי, רצועת עזה</t>
  </si>
  <si>
    <t>https://x.com/translatingpal/status/1900912303647740247</t>
  </si>
  <si>
    <t>שישה מתנדבים מקרן אל-ח'יר נהרגו בתקיפת רחפנים</t>
  </si>
  <si>
    <t>שישה מתנדבים מקרן אל-ח'יר, ביניהם העיתונאים מחמוד אל-סראג', מחמוד איסלאם ובילאל אבו מטר, היו למטרה של צה"ל במהלך משימתם ההומניטרית בבית לאהיה. התקיפה הראשונה פגעה באחד מאנשי הצוות, מה שגרם להם להתרחק, אך רחפן עקב אחריהם ופגע ישירות ברכבם בפגיעה שנייה, והרג את כולם. הקורבנות: בילאל עקילה, מוחמד אל-ג'פיר, חאזם ע'ריב ושלושת העיתונאים שהיו בדרכם להגיש סיוע לפני שנפגעו במכוון.</t>
  </si>
  <si>
    <t>רחפן / קוואדקופטר, הרג עיתונאים, אזרחים, עובדי סיוע, מוות</t>
  </si>
  <si>
    <t>https://x.com/translatingpal/status/1901934013306007837</t>
  </si>
  <si>
    <t>ישנתי והתעוררתי לגלות שילדיי הרעבים ובעלי מתים.</t>
  </si>
  <si>
    <t>ישנתי והתעוררתי לגלות שילדיי ובעלי הרעבים מתים. אם אבלה באל-מוואסי בחאן יונס, התעוררה ומצאה כי ילדיה ובעלה מתו לאחר שתקיפות אוויריות ישראליות כוונו נגד אזורי מגורים במרכז הרצועה. במהלך הלילה, התקיפות האוויריות הישראליות ברחבי עזה, הביאו למותם של לפחות 326 קורבנות פלסטינים, כולל נשים וילדים, ובכך סיימו למעשה את הפסקת האש.</t>
  </si>
  <si>
    <t>אל מוואסי, חאן יונס</t>
  </si>
  <si>
    <t>תקיפה אווירית, משפחה, ילדים, מוות, הפסקת אש</t>
  </si>
  <si>
    <t>https://x.com/translatingpal/status/1902293436025467265</t>
  </si>
  <si>
    <t>פלסטינים בבית החולים נאצר מנסים לזהות תינוקות שראשיהם נערפו</t>
  </si>
  <si>
    <t>פלסטינים בבית החולים נאצר מנסים לזהות גופות של תינוקות שראשיהם נערפו בהפצצות צה"ל. עשרות גופות נותרו ללא זיהוי מכיוון שמשפחות שלמות נהרגו, ואף אחד לא יכול לזהות ולקבור אותן. מספר המתים הפך את הזיהוי לכמעט בלתי אפשרי, שכן חדרי המתים עמוסים בשרידיהם של אלו שנהרגו בתקיפות אוויריות ישראליות.</t>
  </si>
  <si>
    <t>בית החולים נאסר, ❌</t>
  </si>
  <si>
    <t>תינוקות, ילדים, תקיפה אווירית, חילול גופות, גופות, מוות, קברי אחים, אירוע רב נפגעים</t>
  </si>
  <si>
    <t>חאן יונס, בית החולים נאסר</t>
  </si>
  <si>
    <t>https://x.com/translatingpal/status/1902364849276891514</t>
  </si>
  <si>
    <t>גבר פלסטיני צפה באחיו ובמשפחתו נשרפים חיים</t>
  </si>
  <si>
    <t>גבר פלסטיני צפה באחיו ובמשפחתו נשרפים חיים, כולל ילד בן שנה, בן שנתיים ושלוש, לאחר שהפצצה ישראלית כוונה לעבר אוהלים ברחוב ח'מסה ליד כלא אסדא המרכזי בחאן יונס. ללא אזהרה, התקיפה האווירית הפכה את מקלטם לאש, והותירה אחריה רק ​​שרידים חרוכים ובשר מפוזר.</t>
  </si>
  <si>
    <t>ילדים, משפחה, הצתה, הפצצות, מוות</t>
  </si>
  <si>
    <t>https://x.com/translatingpal/status/1902727457246953849</t>
  </si>
  <si>
    <t>תענה לי, בני!</t>
  </si>
  <si>
    <t>אב מתחנן לגופתו חסרת החיים של בנו המת לאחר שמספר טילים ישראליים פגעו בעיירה עבאסאן, מזרחית לחאן יונס במרכז עזה, והותירו אחריהם המוני אזרחים שנפגעו.</t>
  </si>
  <si>
    <t>עבסאן</t>
  </si>
  <si>
    <t>ילדים, הפצצות, תקיפה אווירית, אזרחים, מוות, גופות</t>
  </si>
  <si>
    <t>https://x.com/translatingpal/status/1903793352367071390</t>
  </si>
  <si>
    <t>תינוק פצוע בכל חלקי גופו</t>
  </si>
  <si>
    <t>תינוק פצוע בכל חלקי גופו, מטופל על ידי רופא</t>
  </si>
  <si>
    <t>ילדים, פציעה, אזרחים</t>
  </si>
  <si>
    <t>https://x.com/translatingpal/status/1907480656973561927</t>
  </si>
  <si>
    <t>ילד צעיר נפצע קשה לאחר פיצוץ חפץ לא מזוהה שהותיר צה"ל</t>
  </si>
  <si>
    <t>מוחמד חיג'אזי, ילד צעיר נפצע קשה לאחר פיצוץ חפץ לא מזוהה שהותיר צה"ל. הוא איבד את עינו הימנית ועינו השמאלית זקוקה לטיפול רפואי מיידי מחוץ לעזה כדי להציל את ראייתו שנותרה. שתי ידיו גם הן ננזקו קשות. מוחמד מאושפז כעת בבית החולים האינדונזי, וממתין להעברה רפואית שטרם אושרה.</t>
  </si>
  <si>
    <t>ילדים, פגיעות נפץ, תרופות, ציוד רפואי מתכלה</t>
  </si>
  <si>
    <t>https://x.com/translatingpal/status/1907793531906732142</t>
  </si>
  <si>
    <t>צה"ל הניח מטען שהתפוצץ בתוך בניין בו התגוררו למעלה מ-75 בני אדם</t>
  </si>
  <si>
    <t>צה"ל הניח מטען בשעות הבוקר המוקדמות ליד בית משפחת אל-ג'נזיה, שהתפוצץ בתוך בניין בו התגוררו למעלה מ-75 בני אדם והפכה אותו להריסות. צוותי חילוץ שניסו להציל ניצולים ספגו אש ארטילרית ישירה ונאלצו לסגת לאחר הפגזות חוזרות ונשנות. האזור הוכרז כאזור אדום, וישראל פיזרה כרוזים המורים לתושבים להתפנות, והודיעה כי הוא יהפוך לאזור צבאי סגור תוך שעות.</t>
  </si>
  <si>
    <t>שג'עייה</t>
  </si>
  <si>
    <t>משפחה, אזרחים, חומרי נפץ</t>
  </si>
  <si>
    <t>https://x.com/translatingpal/status/1907851696606425125</t>
  </si>
  <si>
    <t>ילדה קטנה, שנחשבה למתה לאחר תקיפות אוויריות ישראליות, הונחה בין גופותיהם של ילדים מתים אחרים.</t>
  </si>
  <si>
    <t>ילדה קטנה, שנחשבה למתה לאחר תקיפה אווירית, הונחה בין גופותיהם של ילדים הרוגים אחרים, אך לאחר מכן נמצאה בחיים. התקיפה האווירית פגעה בבית הספר דאר אל-ארקאם הצפוף. גברים, נשים וילדים נהרגו וגופות הוזרמו לבית החולים אל-אהלי. הפצועים שכבו על הרצפה עקב מחסור גדול במיטות ובמקום. בית הספר שימש כמקלט לאזרחים עקורים.</t>
  </si>
  <si>
    <t>שכונת א-תופאח בעיר עזה</t>
  </si>
  <si>
    <t>נשים, ילדים, אזרחים, גופות, פציעה, פגיעות נפץ, הצתה, הרס, תקיפה אווירית, מוות</t>
  </si>
  <si>
    <t>עיר עזה, בית החולים אל-אהלי הבפטיסטי</t>
  </si>
  <si>
    <t>https://x.com/translatingpal/status/1907927205318918252</t>
  </si>
  <si>
    <t>עובדי ההגנה האזרחית הפלסטינית חילצו אדם מתחת להריסות לאחר תקיפה אווירית פתאומית. באמצע החילוץ, צה"ל פרסם אזהרה כי תקיפה נוספת תתקיים תוך כמה דקות.</t>
  </si>
  <si>
    <t>בית הספר דאר אל-ארקם, העיר עזה</t>
  </si>
  <si>
    <t>תקיפה אווירית, הרס, פציעה, אזרחים</t>
  </si>
  <si>
    <t>https://x.com/translatingpal/status/1908832531967082846</t>
  </si>
  <si>
    <t>ראיון עם נוח אל-שאע'נובי, עובד בהגנה האזרחית הפלסטינית</t>
  </si>
  <si>
    <t>נוח אל-שאע'נובי, עובד הגנה אזרחית פלסטיני בעזה, לא היסס כשנשאל אם יסכן את חייו שוב כדי להציל מישהו מתחת להריסות. בחילוץ שזכה כעת לוויראליות בבית הספר דאר אל-ארקאם, הוא וצוותו שהו עם אדם שנלכד לאחר תקיפה אווירית ישראלית, למרות שהוזהרו כי טיל שני בדרך. "מאז תחילת המלחמה, אלפי מצבים כאלה קרו", אמר, "אבל אף אחד לא צילם אותם". נוח אומר שלא ציפה לצאת בחיים באותו יום, אבל כל עוד אנשים יזדקקו להם, הם ימשיכו לסכן הכל.</t>
  </si>
  <si>
    <t>https://x.com/translatingpal/status/1908929872086315032</t>
  </si>
  <si>
    <t>מחמוד חסונה, מדבר על הרגע בו אנשי ההגנה האזרחית הפלסטינית חילצו אותו מתחת להריסות</t>
  </si>
  <si>
    <t>פתאום, כששמעתי את קולו של נוח, הרגשתי כאילו חיי ונשמתי חזרו לגופי. מחמוד חסונה, ניצול התקיפה האווירית בדאר אל-ארקאם, נזכר ברגע שבו אנשי ההגנה האזרחית הפלסטינים סירבו לנטוש אותו, אפילו לאחר שצה"ל פרסם אזהרה מפני מתקפה אווירית שנייה. הוא שכב מרוסק תחת הריסות, לאחר שאמר את תפילותיו האחרונות ונוח, עובד ההגנה האזרחית ושאר צוות ההגנה האזרחית חזרו וחילצו אותו דקות לפני שהבניין הופצץ שוב.</t>
  </si>
  <si>
    <t>תקיפה אווירית, הרס, פציעה, הריסות</t>
  </si>
  <si>
    <t>https://x.com/translatingpal/status/1909304661724782716</t>
  </si>
  <si>
    <t>העיתונאי איהאב אל-ברדיני נפצע קשה לאחר הפצצת אוהל העיתונאים בבית החולים נאצר.</t>
  </si>
  <si>
    <t>העיתונאי איהאב אל-ברדיני נפצע באורח קשה ומטופל בבית החולים האירופי לאחר שהופצץ על ידי צה"ל בשנתו בשעות הבוקר המוקדמות. איהאב הוא אחד מתשעה עיתונאים שנפגעו באורח בינוני עד קשה בעקבות הפצצת אוהל העיתונאים בבית החולים נאצר, שגבתה את חייו של העיתונאי חלמי אל-פקאוי.</t>
  </si>
  <si>
    <t>תקיפה אווירית, הרג עיתונאים, עיתונאים, אזרחים, פגיעות נפץ, פציעה</t>
  </si>
  <si>
    <t>https://x.com/translatingpal/status/1909640020505342319</t>
  </si>
  <si>
    <t>הטיל ששרף עיתונאי חי</t>
  </si>
  <si>
    <t>העיתונאי עלאם א-דין סאדק עומד בין שרידי אוהלי העיתונאים החרוכים ליד המרכז הרפואי נאצר בחאן יונס, כשהוא אוחז במה שנותר מהטיל הישראלי שפגע במאהל בזמן שישנו. הוא תיאר כיצד עמיתו אחמד מנסור נשרף חי, וחלמי אל-פקאווי נהרג במקום כשהוא שוכב במיטתו. קבוצת אוהלי עיתונאים מסודרים זה לצד זה, כולם מסומנים ומוכרים, נפגעו ע"י הטיל באותו אירוע.</t>
  </si>
  <si>
    <t>April 8, 2025</t>
  </si>
  <si>
    <t>תקיפה אווירית, עיתונאים, הרג עיתונאים, כוויות, הצתה, מוות, אזרחים</t>
  </si>
  <si>
    <t>https://x.com/translatingpal/status/1915708819071545444</t>
  </si>
  <si>
    <t>סרטון מהפצצת בית ספר 'יפו'</t>
  </si>
  <si>
    <t>קטעי וידאו של עובדי חילוץ לאחר הפצצת בית הספר יאפא, לוכדים את היקף ההרס כאשר צה"ל מפציץ מקלטים אזרחיים. כיתות לימוד ואוהלים שלמים שבהם היו משפחות עקורות נשרפו עד אפר. כוחות החילוץ הלכו בין ההריסות וצעקו "האם יש מישהו בחיים?" בעודם מחפשים נואשות אחר ניצולים. השריפה שפרצה לאחר ההפצצה הרגה לפחות 23 בני אדם, כולל ילדים. בין הקורבנות היו התאומים בני החמש, סאנה וסבא אבו סייף.</t>
  </si>
  <si>
    <t>April 22, 2025</t>
  </si>
  <si>
    <t>בית הספר יפו, שכונת א-תופאח, העיר עזה</t>
  </si>
  <si>
    <t>תקיפה אווירית, הצתה, מוות, אזרחים, ילדים, בתי ספר</t>
  </si>
  <si>
    <t>https://x.com/translatingpal/status/1922222854722011273</t>
  </si>
  <si>
    <t>העיתונאי חסן אסלאיה נהרג על ידי צה"ל</t>
  </si>
  <si>
    <t>העיתונאי חסן אסלאיה נהרג כאשר צה"ל הפציץ את בית החולים נאצר. בדיווח זה משנת 2020, תוכלו לשמוע את חסן במילותיו שלו, מתאר כיצד נשא את נטל התהילה הפתאומית שאפשרה לו להקשיב לדאגותיהם של אלו שאף אחד לא שומע. הוא היה עיתונאי בלתי נלאה מאז 2009, הוא תיעד את המציאות היומיומית של עזה למרות שסבל ממחלה כרונית נדירה. חסן אסלאיה הוא כעת אחד מ-215 עיתונאים שנהרגו על ידי ישראל בעזה מאז ה-7 באוקטובר 2023.</t>
  </si>
  <si>
    <t>תקיפה אווירית, בית חולים, עיתונאים, הרג עיתונאים, מוות, אזרחים</t>
  </si>
  <si>
    <t>https://x.com/translatingpal/status/1922326879068991623</t>
  </si>
  <si>
    <t>חגורות אש ממטוסי F-16 פגעו בחצר בית החולים האירופי בעזה ללא כל אזהרה מוקדמת.</t>
  </si>
  <si>
    <t>חגורות אש ממטוסי F-16 פגעו בחצר בית החולים האירופי בעזה ללא כל אזהרה מוקדמת, וטלטלו את כל המבנה בפיצוצים חזקים שגרמו לקרקע להיראות כאילו התהפכה.
בית החולים, הממוקם בחאן יונס בדרום רצועת עזה, הוא אחד ממרכזי הרפואה הגדולים והמתקדמים ביותר בעזה. אלפי פצועים, חולים ועקורים פלסטינים מסתמכים עליו כדי להישאר בחיים.
ההתקפה הותירה שטח הרוס בבית החולים בזמן שהתשתית הרפואית של עזה כבר נמצאת על סף קריסה מוחלטת, ללא מידע על האם בית החולים ימשיך להיות מטרה.</t>
  </si>
  <si>
    <t>תקיפה אווירית, בית חולים, הפצצות, אזרחים</t>
  </si>
  <si>
    <t>בית החולים האירופי, חאן יונס</t>
  </si>
  <si>
    <t>https://x.com/translatingpal/status/1922421186249818396</t>
  </si>
  <si>
    <t>הפיצוצים פגעו באזורים שבהם אושפזו ילדים שנועדו לפינוי רפואי.</t>
  </si>
  <si>
    <t>ההפצצות פגעו באזורים שבהם טופלו ילדים שנועדו לפינוי רפואי. ראש הצוות הבריטי של ה-ICRC, פרופ' ד"ר טום פוטוקר, המוצב כעת בבית החולים האירופי בחאן יונס, אישר כי הפצצת מטוסי F-16 גרמה נזק נרחב ברחבי המרכז הרפואי, כולל אזורים קריטיים שבהם אושפזו פצועים וילדים חולי סרטן לפינוי.
ההפצצות פגעו באזורים שטיפלו בפגיעים ביותר, ועיכבו עוד יותר את פינויים ואת הטיפול בהם. הנזק כה חמור עד שהצוות הרפואי אינו יכול עוד לפעול בחדר הניתוח, ומשתק את אחד ממרכזי הטיפול הנמרץ האחרונים שנותרו בעזה.</t>
  </si>
  <si>
    <t>תקיפה אווירית, ילדים, אזרחים, בית חולים, עובדי בריאות, הרס</t>
  </si>
  <si>
    <t>צה״ל, הוועד הבינלאומי של הצלב האדום</t>
  </si>
  <si>
    <t>https://x.com/translatingpal/status/1930634817374126475</t>
  </si>
  <si>
    <t>רחפן של צה"ל ירה בראשו של מייס עבד אל-על, ילדה בת עשר</t>
  </si>
  <si>
    <t>רחפן של צה"ל ירה בראשו של מייס עבד אל-על, ילדה בת עשר. הפציעה גרמה לה לאבד את ראייתה, לסבול מדימום מוחי, לעבור כריתה של חלק מגולגולתה והותירה אותה עם שיתוק חלקי. היא נותרה מחוסרת הכרה ואינה מסוגלת לאכול או לבלוע. דודתה פונה בדחיפות בבקשה להעבירה לחו"ל לטיפול, רצוי למצרים שם נמצאת כעת אמה.</t>
  </si>
  <si>
    <t>רחפן / קוואדקופטר, ילדים, פציעה, אזרחים</t>
  </si>
  <si>
    <t>https://x.com/trklou/status/1940170018911920454</t>
  </si>
  <si>
    <t>טארק לובאני, רופא שטיפל בתינוקת בת שנה וחצי שנורתה על ידי הצבא הישראלי סמוך לאתר חלוקת הסיוע של GHF, מסביר מדוע צילום הרנטגן של הילדה שפורסם על ידי Gila Project הוא אמיתי</t>
  </si>
  <si>
    <t>ארגון Gila Project פרסם צילום רנטגן של ילדה בת שנה וחצי שנפצעה מירי צה"ל כשהייתה בזרועות אמה, סמוך לאתר סיוע של GHF. בעקבות זאת, ארגון בשם GAZAWOOD פרסם סרטון שבו הוא מאשים את Gila Project בזיוף התמונה. טארק לובאני, הרופא שטיפל בילדה, מסביר מדוע צילום הרנטגן אמיתי.</t>
  </si>
  <si>
    <t>June 23, 2025</t>
  </si>
  <si>
    <t>Tarek Loubani (@trklou)</t>
  </si>
  <si>
    <t>https://x.com/Glia_Intl/status/1937196982923358532, https://x.com/GAZAWOOD1/status/1938279778303545699</t>
  </si>
  <si>
    <t>ירי, סיוע הומניטרי, נשים, תינוקות, ירי חסר הבחנה, עדויות רופאים</t>
  </si>
  <si>
    <t>צה״ל, הקרן ההומניטרית לעזה</t>
  </si>
  <si>
    <t>https://x.com/Villgecrazylady/status/1810014347172925620</t>
  </si>
  <si>
    <t>סרטון של אל ג'זירה ובו ראיון עם ד"ר אחמד יוסוף, רופא אמריקאי המתנדב בבית החולים אל אקצא בדיר אל בלח, על התמקדות הרשויות הישראליות בפגיעה בתפקוד בתי החולים ע"י מניעת אספקת ציוד רפואי — דבר שגורם לעלייה משמעותית במספר ההרוגים ולסבל מוגבר של המטופלים</t>
  </si>
  <si>
    <t>סרטון של אל ג'זירה ובו ראיון עם ד"ר אחמד יוסוף, רופא אמריקאי המתנדב בבית החולים אל-אקצא בדיר אל בלח, על התמקדות הרשויות הישראליות בפגיעה בתפקוד בתי החולים ע"י מניעת אספקת ציוד רפואי — דבר שמוביל לעלייה משמעותית במספר ההרוגים ולסבל של מטופלים ממחלות שניתן היה למנוע לחלוטין. ד"ר יוסוף מעיד כי הביא עמו מארצות הברית מספר משלוחים של ציוד רפואי שנתרם, אך צבא ישראל אסר עליו להכניס לעזה כל דבר מלבד מזוודה אחת של בגדים.</t>
  </si>
  <si>
    <t>July 7, 2024</t>
  </si>
  <si>
    <t>Mel (@Villgecrazylady)</t>
  </si>
  <si>
    <t>עדויות רופאים, ציוד רפואי מתכלה, ציוד רפואי, תרופות, אזרחים, נשים, ילדים, חסימת סיוע, משפט הומניטרי, מצב בתי החולים, בית חולים, מוות</t>
  </si>
  <si>
    <t>בית החולים אל-אקצא, דיר אל-בלח, רצועת עזה</t>
  </si>
  <si>
    <t>https://x.com/warfareanalysis/status/1909080959204327684</t>
  </si>
  <si>
    <t>שרשור של סרטונים המתעדים גופות של ילדים שנהרגו בהפצצות הצבא הישראלי - בסרטונים נראות גופות הילדים מבותרות, בחלקם ראשי ילדים כרותים ובחלקם גופות ללא ראש</t>
  </si>
  <si>
    <t>שרשור של סרטונים המתעדים גופות של ילדים שנהרגו בהפצצות הצבא הישראלי. בסרטונים נראות גופות הילדים מבותרות, בחלקם ראשי ילדים כרותים ובחלקם גופות ללא ראש. חלק מהסירטונים בשירשור אינם זמינים.</t>
  </si>
  <si>
    <t>Warfare Analysis (@warfareanalysis)</t>
  </si>
  <si>
    <t>https://threadreaderapp.com/thread/1909080959204327684.html?utm_campaign=topunroll</t>
  </si>
  <si>
    <t>הפצצות, תקיפה אווירית, גופות, תינוקות, ילדים, הריסה, הרס, תקיפות על מרכזי סיוע, רשתות חברתיות, תוכן מטריד</t>
  </si>
  <si>
    <t>דיר אל-בלח, מחנה הפליטים נוסייראת, ג'באליה, חאן יונס, בית החולים נאסר, שגא'עיה, שייח' רדואן, עיר עזה</t>
  </si>
  <si>
    <t>https://x.com/xIsraelExposedx/status/1907458237835747511</t>
  </si>
  <si>
    <t>צה"ל הפציץ מרפאה של אונר"א</t>
  </si>
  <si>
    <t>Israel Exposed (@xIsraelExposedx)</t>
  </si>
  <si>
    <t>תקיפות על מרכזי סיוע, אזרחים, ילדים, הצתה, תקיפה אווירית, מוות</t>
  </si>
  <si>
    <t>https://x.com/yipengGe/status/1830626014881362239</t>
  </si>
  <si>
    <t>היבא, מיילדת המתנדבת בעזה, מדברת על התקיפה הישראלית ב-8 ביוני 2024, בה חולצו 4 חטופים</t>
  </si>
  <si>
    <t>היבא, מיילדת המתנדבת בעזה, מדברת על התקיפה הישראלית ב-8 ביוני 2024, בה חולצו 4 חטופים: היא טיפלה ביולדת שילדה לאחר שבעלה וחמשת ילדיה נהרגו לנגד עיניה.</t>
  </si>
  <si>
    <t>Yipeng Ge (@yipengGe)</t>
  </si>
  <si>
    <t>מחנה הפליטים נוסייראת, ❌</t>
  </si>
  <si>
    <t>בית חולים, עובדי בריאות, מחנה פליטים, פליטים, ילדים, נשים, הריון, מוות, משפחה</t>
  </si>
  <si>
    <t>מחנה הפליטים נוסייראת, בית החולים אל-עודה</t>
  </si>
  <si>
    <t>https://x.com/ytirawi/status/1823350836304494725</t>
  </si>
  <si>
    <t>אב כותב על בנו המת</t>
  </si>
  <si>
    <t>באתי לחפש את שרידי גופת בני, שהגיע לתפילת השחר. מישהו נתן לי שק של 23 קילוגרמים ואמר, 'זה בנך; קבור אותו...'</t>
  </si>
  <si>
    <t>August 13, 2024</t>
  </si>
  <si>
    <t>מוות, משפחה</t>
  </si>
  <si>
    <t>https://x.com/ytirawi/status/1826673829110055347</t>
  </si>
  <si>
    <t>כלב אוכל גופה</t>
  </si>
  <si>
    <t>כלב אוכל גופה, החייל שמצלם את הסרטון הוסיף מוזיקת רקע מצחיקה</t>
  </si>
  <si>
    <t>מוות, גופות, דה־הומניזציה (שלילת אנושיות), סרטי חיילים ישראלים, חילול גופות</t>
  </si>
  <si>
    <t>https://x.com/ytirawi/status/1826691206920704432</t>
  </si>
  <si>
    <t>גופת אדם נדרסה במכוון על ידי רכב צבאי</t>
  </si>
  <si>
    <t>גופת אדם נדרסה במכוון על ידי רכב צבאי והצתה של מפעל עזתי</t>
  </si>
  <si>
    <t>גופות, חילול גופות, דריסה, הצתה</t>
  </si>
  <si>
    <t>https://x.com/ytirawi/status/1841182012704768515</t>
  </si>
  <si>
    <t>כוחות ישראליים פתחו באש מקלעים לעבר עשרות פלסטינים שניסו לחזור לבתיהם</t>
  </si>
  <si>
    <t>כוחות ישראליים פתחו באש מקלעים לעבר עשרות פלסטינים שניסו לחזור לבתיהם בצפון עזה. ישנם נפגעים רבים, אך התמונה המלאה נותרה לא ברורה, שכן כוחות ההצלה ראשוניים מתמודדים עם קשיים בגישה לאזור.</t>
  </si>
  <si>
    <t>אזרחים, אירוע רב נפגעים, חסימת סיוע</t>
  </si>
  <si>
    <t>https://x.com/ytirawi/status/1851217795893068006</t>
  </si>
  <si>
    <t>עדות של חובשת/פרמדיקית עזתית</t>
  </si>
  <si>
    <t>עדות של חובשת/פרמדיקית עזתית: היא מתארת כיצד אזרחים נדרסו ע"י D9 וכיצד הוציאו להורג גבר פצוע למול עינייה</t>
  </si>
  <si>
    <t>Dec 24 , 2023</t>
  </si>
  <si>
    <t>בית הספר פאטימה בינת אסד, ג'בליה</t>
  </si>
  <si>
    <t>בתי ספר, דריסה, אזרחים, עובדי בריאות, הוצאה להורג, פציעה</t>
  </si>
  <si>
    <t>https://x.com/ytirawi/status/1855246790011846947</t>
  </si>
  <si>
    <t>זוג אחים עיתונאים ואביהם נהרגו בתקיפה ישראלית</t>
  </si>
  <si>
    <t>זוג אחים עיתונאים ואביהם נהרגו בתקיפה ישראלית - אחמד וזהרה ואביהם מוחמד אבו סכיל</t>
  </si>
  <si>
    <t>שכונת א-תופאח, העיר עזה</t>
  </si>
  <si>
    <t>הרג עיתונאים, עיתונאים, אזרחים, משפחה, נשים, מוות</t>
  </si>
  <si>
    <t>https://x.com/ytirawi/status/1864361403991138768</t>
  </si>
  <si>
    <t>מתקפה גדולה על איזור אשר הוגדר ע"י ישראל כ-"הומניטרי"</t>
  </si>
  <si>
    <t>מתקפה גדולה על איזור אשר הוגדר ע"י ישראל כ-"הומניטרי" - לפחות 20 אנשים נהרגו</t>
  </si>
  <si>
    <t>מאוואסי, חאן יונס</t>
  </si>
  <si>
    <t>תקיפה אווירית, משפחה, הצתה, מוות, אזרחים, הרס</t>
  </si>
  <si>
    <t>https://x.com/ytirawi/status/1866801511424229747</t>
  </si>
  <si>
    <t>חבר של חייל שנהרג בעזה כותב עליו</t>
  </si>
  <si>
    <t>אברהם יצא למלחמה הזו מתוך רצון אדיר לרומם את עם ישראל. הוא ככ שמח להיכנס לעזה ולהוביל התקפות,צ רצה להספיק להרוג, לנקום ולהרוס כמה שיותר כדי שהעולם יבין מה קורה למי שמתעסק עם עם ישראל. הוא סיפר לי שבהתחלה הוא אמר לעצמו שהוא יספור כמה מחבלים הוא הרג. בהתחלה ספר גם את מי שהרג ע"י ירי, פגזים ודריסה, אבל בהמשך החליט שמה שהוא הורג עם פגזים לא נחשב (...) והוא לצוות שלו שהם מפסיקים לדרוס ורק הורים עם המאג כי נמאס לו לנקות ידיים ורגליים מהזחלים של הטנק. לאחר תקופה יחסית קצרה הגיע לבערך 30 שהרג והחליט שאין לו כוח להמשיך לספור..."</t>
  </si>
  <si>
    <t>December 11, 2024</t>
  </si>
  <si>
    <t>הרג המוני, החברה הישראלית, מניין ההרוגים בעזה, מוות, ירי, דריסה</t>
  </si>
  <si>
    <t>https://x.com/ytirawi/status/1872979346815893814</t>
  </si>
  <si>
    <t>מפקד בצה"ל: "כשאנחנו מזהים אנשים בצפון עזה, אנחנו יורים בהם"</t>
  </si>
  <si>
    <t>מפקד בצה"ל: "כאשר אנו מזהים אנשים בצפון עזה, אנו יורים בהם. כל מי שמסתובב שם נחשב למחבל ואנחנו פוגעים בו"</t>
  </si>
  <si>
    <t>ירי חסר הבחנה, מוות, ירי</t>
  </si>
  <si>
    <t>https://x.com/ytirawi/status/1904553781326491946</t>
  </si>
  <si>
    <t>מפעילי רחפנים של צה"ל הרגו אדם שכבר שכב פצוע</t>
  </si>
  <si>
    <t>מפעילי רחפנים של צה"ל הרגו אדם שכבר שכב פצוע ועוד מספר אנשים שניסו לעזור לו בעיר עזה</t>
  </si>
  <si>
    <t>רחפן / קוואדקופטר, מוות, פציעה, ירי חסר הבחנה</t>
  </si>
  <si>
    <t>https://x.com/ytirawi/status/1907791959206355078</t>
  </si>
  <si>
    <t>מזל"ט ישראלי משליך חומרי נפץ והורג תושבים</t>
  </si>
  <si>
    <t>מזל"ט ישראלי השליך חומרי נפץ והרג תושבים שהיו לכודים</t>
  </si>
  <si>
    <t>April 1, 2025</t>
  </si>
  <si>
    <t>כביש טהא חוסיין, רפיח</t>
  </si>
  <si>
    <t>סרטי חיילים ישראלים, רחפן / קוואדקופטר, ירי חסר הבחנה, מוות</t>
  </si>
  <si>
    <t>https://x.com/ytirawi/status/1940585244719304761</t>
  </si>
  <si>
    <t>צילום אוויר מראה כיצד צה"ל משליך רימונים מרחפן</t>
  </si>
  <si>
    <t>צילום אוויר מראה כיצד צה"ל משליך רימונים מרחפן: לפי הפוסט, האנשים שנפגעו כתוצאה מההפלה המכוונת של הרימונים מהרחפן הצה"לי הם אזרחים</t>
  </si>
  <si>
    <t>July 3, 2025</t>
  </si>
  <si>
    <t>רחפן / קוואדקופטר, אזרחים, מוות</t>
  </si>
  <si>
    <t>https://www.pewresearch.org/2024/03/21/emotions-news-and-knowledge-about-the-israel-hamas-war/</t>
  </si>
  <si>
    <t>רגשות, חדשות וידע על מלחמת ישראל-חמא</t>
  </si>
  <si>
    <t>מרכז פיו לחקר דעת קהל מדווח על התגובות הרגשיות והידע של האמריקאים בנוגע למלחמת ישראל-חמאס, תוך ניתוח הפערים ברמת המעורבות בין קבוצות אוכלוסייה שונות.</t>
  </si>
  <si>
    <t>Pew Research Center</t>
  </si>
  <si>
    <t>Laura Silver, Becka A. Alper, Scott Keeter, Jordan Lippert, Besheer Mohamed</t>
  </si>
  <si>
    <t>דעת קהל, ניתוח, חדשות, יחסי ארה״ב–ישראל</t>
  </si>
  <si>
    <t>https://www.nytimes.com/2024/03/25/world/middleeast/video-sexual-assault-israel-kibbutz-hamas.html</t>
  </si>
  <si>
    <t>סרטון של חייל ישראלי מערער את עדות החובש לגבי תקיפה מינית</t>
  </si>
  <si>
    <t>סרטון חדש מערער את גרסתו של חובש צבאי ישראלי בנוגע לתקיפה מינית של שתי נערות בקיבוץ בארי במהלך התקפת החמאס ב־7 באוקטובר.</t>
  </si>
  <si>
    <t>Adam Rasgon, Natan Odenheimer</t>
  </si>
  <si>
    <t>קיבוץ בארי</t>
  </si>
  <si>
    <t>אלימות מינית, דיווח עיתונאי, 7 באוקטובר 2023</t>
  </si>
  <si>
    <t>https://www.economist.com/the-economist-explains/2023/12/04/how-israel-is-using-drones-in-gaza</t>
  </si>
  <si>
    <t>באיזה אופן ישראל משתמשת ברחפנים בעזה</t>
  </si>
  <si>
    <t>המאמר דן באופן שבו ישראל עושה שימוש ברחפנים ברצועת עזה, במיוחד ברחפנים קטנים כגון Xtender ו-Wolverine, במטרה לצמצם את הסיכון לחייליה, תוך הדגשת הסכנות האפשריות שרחפנים אלה עלולים להוות לאזרחים.</t>
  </si>
  <si>
    <t>December 04, 2023</t>
  </si>
  <si>
    <t>The Economist</t>
  </si>
  <si>
    <t>אזרחים, רחפן / קוואדקופטר, חומרי נפץ</t>
  </si>
  <si>
    <t>Title (Hebrew)</t>
  </si>
  <si>
    <t>Description (Hebrew)</t>
  </si>
  <si>
    <t>Author (Hebrew)</t>
  </si>
  <si>
    <t>Location (Hebrew)</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</si>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</sst>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b/>
      <sz val="10"/>
      <color theme="1"/>
      <name val="Helvetica Neue"/>
      <family val="2"/>
    </font>
    <font>
      <sz val="10"/>
      <color theme="1"/>
      <name val="Arial"/>
      <family val="2"/>
    </font>
    <font>
      <sz val="10"/>
      <color theme="1"/>
      <name val="Helvetica Neue"/>
      <family val="2"/>
    </font>
    <font>
      <u/>
      <sz val="10"/>
      <color theme="1"/>
      <name val="Helvetica Neue"/>
      <family val="2"/>
    </font>
    <font>
      <u/>
      <sz val="10"/>
      <color theme="1"/>
      <name val="Arial"/>
      <family val="2"/>
    </font>
    <font>
      <sz val="10"/>
      <color theme="1"/>
      <name val="Roboto"/>
    </font>
    <font>
      <u/>
      <sz val="10"/>
      <color rgb="FF1155CC"/>
      <name val="Arial"/>
      <family val="2"/>
    </font>
    <font>
      <sz val="10"/>
      <color rgb="FF434343"/>
      <name val="Arial"/>
      <family val="2"/>
    </font>
    <font>
      <sz val="10"/>
      <color rgb="FF4A4A4A"/>
      <name val="Arial"/>
      <family val="2"/>
    </font>
    <font>
      <sz val="11"/>
      <color theme="1"/>
      <name val="Helvetica Neue"/>
      <family val="2"/>
    </font>
    <font>
      <u/>
      <sz val="11"/>
      <color rgb="FF1155CC"/>
      <name val="Helvetica Neue"/>
      <family val="2"/>
    </font>
    <font>
      <sz val="11"/>
      <color rgb="FF434343"/>
      <name val="Helvetica Neue"/>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3" fillId="0" borderId="0" applyNumberFormat="0" applyFill="0" applyBorder="0" applyAlignment="0" applyProtection="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 fontId="3" fillId="0" borderId="0" xfId="0" applyNumberFormat="1" applyFont="1"/>
    <xf numFmtId="0" fontId="13" fillId="0" borderId="0" xfId="1"/>
    <xf numFmtId="15" fontId="3" fillId="0" borderId="0" xfId="0" applyNumberFormat="1"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17" fontId="2" fillId="0" borderId="0" xfId="0" applyNumberFormat="1" applyFont="1"/>
    <xf numFmtId="15" fontId="2" fillId="0" borderId="0" xfId="0" applyNumberFormat="1" applyFont="1"/>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x.com/AnasAlSharif0/status/1847765118878208440" TargetMode="External"/><Relationship Id="rId21" Type="http://schemas.openxmlformats.org/officeDocument/2006/relationships/hyperlink" Target="https://twitter.com/ytirawi/status/1746696846817325288" TargetMode="External"/><Relationship Id="rId42" Type="http://schemas.openxmlformats.org/officeDocument/2006/relationships/hyperlink" Target="https://www.mako.co.il/news-politics/2023_q4/Article-9f47fed9563eb81027.htm" TargetMode="External"/><Relationship Id="rId47" Type="http://schemas.openxmlformats.org/officeDocument/2006/relationships/hyperlink" Target="https://www.haaretz.co.il/magazine/on-the-line/2024-03-13/ty-article/.highlight/0000018e-32df-d897-a58f-b7dfad0b0000" TargetMode="External"/><Relationship Id="rId63" Type="http://schemas.openxmlformats.org/officeDocument/2006/relationships/hyperlink" Target="https://www.un.org/unispal/document/anatomy-of-a-genocide-report-of-the-special-rapporteur-on-the-situation-of-human-rights-in-the-palestinian-territory-occupied-since-1967-to-human-rights-council-advance-unedited-version-a-hrc-55/" TargetMode="External"/><Relationship Id="rId68" Type="http://schemas.openxmlformats.org/officeDocument/2006/relationships/hyperlink" Target="https://www.mako.co.il/news-politics/2024_q4/Article-a9ff57a14538391027.htm" TargetMode="External"/><Relationship Id="rId84" Type="http://schemas.openxmlformats.org/officeDocument/2006/relationships/hyperlink" Target="https://x.com/haaretznewsvid/status/1772524621662658874" TargetMode="External"/><Relationship Id="rId89" Type="http://schemas.openxmlformats.org/officeDocument/2006/relationships/hyperlink" Target="https://x.com/Israel/status/1789381437440889252" TargetMode="External"/><Relationship Id="rId16" Type="http://schemas.openxmlformats.org/officeDocument/2006/relationships/hyperlink" Target="https://x.com/Use_Yandex/status/1793681516846788943" TargetMode="External"/><Relationship Id="rId11" Type="http://schemas.openxmlformats.org/officeDocument/2006/relationships/hyperlink" Target="https://x.com/PalinfoAr/status/1861393952328253760" TargetMode="External"/><Relationship Id="rId32" Type="http://schemas.openxmlformats.org/officeDocument/2006/relationships/hyperlink" Target="https://acleddata.com/2024/05/10/us-student-pro-palestine-demonstrations-remain-overwhelmingly-peaceful-acled-brief/" TargetMode="External"/><Relationship Id="rId37" Type="http://schemas.openxmlformats.org/officeDocument/2006/relationships/hyperlink" Target="https://ccrjustice.org/sites/default/files/attach/2024/01/91_1-31-24_Order-granting-MTD_w.pdf" TargetMode="External"/><Relationship Id="rId53" Type="http://schemas.openxmlformats.org/officeDocument/2006/relationships/hyperlink" Target="https://www.npr.org/2024/02/29/1234159514/gaza-death-toll-30000-palestinians-israel-hamas-war" TargetMode="External"/><Relationship Id="rId58" Type="http://schemas.openxmlformats.org/officeDocument/2006/relationships/hyperlink" Target="http://www.ipcinfo.org/fileadmin/user_upload/ipcinfo/docs/IPC_Gaza_Acute_Food_Insecurity_Nov2023_Feb2024.pdf" TargetMode="External"/><Relationship Id="rId74" Type="http://schemas.openxmlformats.org/officeDocument/2006/relationships/hyperlink" Target="http://haaretz.com/" TargetMode="External"/><Relationship Id="rId79" Type="http://schemas.openxmlformats.org/officeDocument/2006/relationships/hyperlink" Target="https://x.com/kann_news/status/1770812784973873438" TargetMode="External"/><Relationship Id="rId5" Type="http://schemas.openxmlformats.org/officeDocument/2006/relationships/hyperlink" Target="https://x.com/the7i/status/1799724456958706071" TargetMode="External"/><Relationship Id="rId90" Type="http://schemas.openxmlformats.org/officeDocument/2006/relationships/hyperlink" Target="https://www.middleeasteye.net/news/war-gaza-israeli-quadcopters-hi-tech-weapon-menacing-palestinian-civilians" TargetMode="External"/><Relationship Id="rId14" Type="http://schemas.openxmlformats.org/officeDocument/2006/relationships/hyperlink" Target="https://x.com/DropSiteNews/status/1854626313195438140" TargetMode="External"/><Relationship Id="rId22" Type="http://schemas.openxmlformats.org/officeDocument/2006/relationships/hyperlink" Target="https://x.com/MariamBarghouti/status/1747994969963389062" TargetMode="External"/><Relationship Id="rId27" Type="http://schemas.openxmlformats.org/officeDocument/2006/relationships/hyperlink" Target="https://x.com/of_darkness07/status/1819415810286158042" TargetMode="External"/><Relationship Id="rId30" Type="http://schemas.openxmlformats.org/officeDocument/2006/relationships/hyperlink" Target="https://www.kan.org.il/content/kan-news/defense/820691/" TargetMode="External"/><Relationship Id="rId35" Type="http://schemas.openxmlformats.org/officeDocument/2006/relationships/hyperlink" Target="https://www.washingtonpost.com/world/2024/10/21/gaza-israel-strike-jabalya-video/" TargetMode="External"/><Relationship Id="rId43" Type="http://schemas.openxmlformats.org/officeDocument/2006/relationships/hyperlink" Target="https://www.ohchr.org/sites/default/files/documents/countries/opt/20241106-Gaza-Update-Report-OPT.pdf" TargetMode="External"/><Relationship Id="rId48" Type="http://schemas.openxmlformats.org/officeDocument/2006/relationships/hyperlink" Target="https://x.com/ireallyhateyou/status/1764657311769866272?s=20" TargetMode="External"/><Relationship Id="rId56" Type="http://schemas.openxmlformats.org/officeDocument/2006/relationships/hyperlink" Target="https://www.ynet.co.il/health/article/h17117hua6" TargetMode="External"/><Relationship Id="rId64" Type="http://schemas.openxmlformats.org/officeDocument/2006/relationships/hyperlink" Target="https://apnews.com/article/israel-palestinians-gaza-hamas-famine-0056ceecdb4ae3bee5f64c54ab034c7e" TargetMode="External"/><Relationship Id="rId69" Type="http://schemas.openxmlformats.org/officeDocument/2006/relationships/hyperlink" Target="https://www.hrw.org/sites/default/files/media_2024/08/israel_palestine0724web.pdf" TargetMode="External"/><Relationship Id="rId77" Type="http://schemas.openxmlformats.org/officeDocument/2006/relationships/hyperlink" Target="https://www.inss.org.il/he/wp-content/uploads/sites/2/2024/07/%D7%A1%D7%A7%D7%A8-18_%D7%A0%D7%99%D7%AA%D7%95%D7%97-%D7%9C%D7%A4%D7%99-%D7%9E%D7%A9%D7%AA%D7%A0%D7%99-%D7%A8%D7%A7%D7%A2.xlsx" TargetMode="External"/><Relationship Id="rId8" Type="http://schemas.openxmlformats.org/officeDocument/2006/relationships/hyperlink" Target="https://x.com/AbujomaaGaza/status/1858833972425273645" TargetMode="External"/><Relationship Id="rId51" Type="http://schemas.openxmlformats.org/officeDocument/2006/relationships/hyperlink" Target="https://www.hidabroot.org/article/1187840" TargetMode="External"/><Relationship Id="rId72" Type="http://schemas.openxmlformats.org/officeDocument/2006/relationships/hyperlink" Target="https://www.inss.org.il/he/wp-content/uploads/sites/2/2024/09/INSS-%D7%A1%D7%A4%D7%98-24-%D7%A0%D7%99%D7%AA%D7%95%D7%97.xlsx" TargetMode="External"/><Relationship Id="rId80" Type="http://schemas.openxmlformats.org/officeDocument/2006/relationships/hyperlink" Target="https://www.haaretz.com/israel-news/2024-04-04/ty-article/.premium/doctor-at-idf-field-hospital-for-detained-gazans-we-are-all-complicit-in-breaking-law/0000018e-a59c-dfed-ad9f-afdfb5ce0000" TargetMode="External"/><Relationship Id="rId85" Type="http://schemas.openxmlformats.org/officeDocument/2006/relationships/hyperlink" Target="https://www.un.org/sites/un2.un.org/files/2024/04/unrwa_independent_review_on_neutrality.pdf" TargetMode="External"/><Relationship Id="rId3" Type="http://schemas.openxmlformats.org/officeDocument/2006/relationships/hyperlink" Target="https://x.com/AbujomaaGaza/status/1853847622236418257" TargetMode="External"/><Relationship Id="rId12" Type="http://schemas.openxmlformats.org/officeDocument/2006/relationships/hyperlink" Target="https://x.com/qudsn/status/1861667943991439635" TargetMode="External"/><Relationship Id="rId17" Type="http://schemas.openxmlformats.org/officeDocument/2006/relationships/hyperlink" Target="https://x.com/Use_Yandex/status/1793684246512746500" TargetMode="External"/><Relationship Id="rId25" Type="http://schemas.openxmlformats.org/officeDocument/2006/relationships/hyperlink" Target="https://x.com/NewpressPs/status/1856203876283597053" TargetMode="External"/><Relationship Id="rId33" Type="http://schemas.openxmlformats.org/officeDocument/2006/relationships/hyperlink" Target="https://www.israelhayom.co.il/health/article/14391915" TargetMode="External"/><Relationship Id="rId38" Type="http://schemas.openxmlformats.org/officeDocument/2006/relationships/hyperlink" Target="https://criticalissues.umd.edu/sites/criticalissues.umd.edu/files/Spring%202024%20MESB%20Results.pdf" TargetMode="External"/><Relationship Id="rId46" Type="http://schemas.openxmlformats.org/officeDocument/2006/relationships/hyperlink" Target="https://www.un.org/unispal/wp-content/uploads/2024/04/unrwa_independent_review_on_neutrality.pdf" TargetMode="External"/><Relationship Id="rId59" Type="http://schemas.openxmlformats.org/officeDocument/2006/relationships/hyperlink" Target="https://www.wsj.com/world/middle-east/gaza-destruction-bombing-israel-aa528542?st=foif5bwf54tc98h&amp;reflink=desktopwebshare_permalink" TargetMode="External"/><Relationship Id="rId67" Type="http://schemas.openxmlformats.org/officeDocument/2006/relationships/hyperlink" Target="https://reliefweb.int/attachments/bfd1c983-5268-455a-80ab-9f60438777bf/Flash-Analysis-Over-Two-Months-of-Attacks-on-Food-Security-in-Gaza.pdf" TargetMode="External"/><Relationship Id="rId20" Type="http://schemas.openxmlformats.org/officeDocument/2006/relationships/hyperlink" Target="https://x.com/skoopit/status/1799396360296550500" TargetMode="External"/><Relationship Id="rId41" Type="http://schemas.openxmlformats.org/officeDocument/2006/relationships/hyperlink" Target="https://www.ohchr.org/en/press-releases/2024/06/israeli-authorities-palestinian-armed-groups-are-responsible-war-crimes" TargetMode="External"/><Relationship Id="rId54" Type="http://schemas.openxmlformats.org/officeDocument/2006/relationships/hyperlink" Target="https://www.ipcinfo.org/fileadmin/user_upload/ipcinfo/docs/IPC_Gaza_Strip_Acute_Food_Insecurity_Feb_July2024_Special_Brief.pdf" TargetMode="External"/><Relationship Id="rId62" Type="http://schemas.openxmlformats.org/officeDocument/2006/relationships/hyperlink" Target="https://www.defense.gov/News/Releases/Release/Article/3564874/statement-from-secretary-of-defense-lloyd-j-austin-iii-on-steps-to-increase-for/" TargetMode="External"/><Relationship Id="rId70" Type="http://schemas.openxmlformats.org/officeDocument/2006/relationships/hyperlink" Target="https://www.inss.org.il/he/wp-content/uploads/sites/2/2024/07/%D7%A1%D7%A7%D7%A8-19-%D7%97%D7%A8%D7%91%D7%95%D7%AA-%D7%91%D7%A8%D7%96%D7%9C-21.07.24.xlsx" TargetMode="External"/><Relationship Id="rId75" Type="http://schemas.openxmlformats.org/officeDocument/2006/relationships/hyperlink" Target="https://www.politico.eu/article/ron-prosor-israel-evoy-hamas-animals-must-be-destroyed" TargetMode="External"/><Relationship Id="rId83" Type="http://schemas.openxmlformats.org/officeDocument/2006/relationships/hyperlink" Target="https://twitter.com/IDF/status/1716462311370633484" TargetMode="External"/><Relationship Id="rId88" Type="http://schemas.openxmlformats.org/officeDocument/2006/relationships/hyperlink" Target="https://www.kan.org.il/content/kan-news/defense/820691/" TargetMode="External"/><Relationship Id="rId91" Type="http://schemas.openxmlformats.org/officeDocument/2006/relationships/hyperlink" Target="https://mondoweiss.net/2024/05/israels-extortion-leaflets-and-namecheap-how-to-do-corporate-accountability-during-a-genocide/" TargetMode="External"/><Relationship Id="rId1" Type="http://schemas.openxmlformats.org/officeDocument/2006/relationships/hyperlink" Target="https://www.wfp.org/news/famine-imminent-northern-gaza-new-report-warns" TargetMode="External"/><Relationship Id="rId6" Type="http://schemas.openxmlformats.org/officeDocument/2006/relationships/hyperlink" Target="https://www.jdn.co.il/news/2111450/?source=sendToWhatsapp" TargetMode="External"/><Relationship Id="rId15" Type="http://schemas.openxmlformats.org/officeDocument/2006/relationships/hyperlink" Target="https://x.com/HossamShabat/status/1859034111714750788" TargetMode="External"/><Relationship Id="rId23" Type="http://schemas.openxmlformats.org/officeDocument/2006/relationships/hyperlink" Target="https://x.com/ytirawi/status/1848035650072711417" TargetMode="External"/><Relationship Id="rId28" Type="http://schemas.openxmlformats.org/officeDocument/2006/relationships/hyperlink" Target="https://twitter.com/ytirawi/status/1761363322182516924" TargetMode="External"/><Relationship Id="rId36" Type="http://schemas.openxmlformats.org/officeDocument/2006/relationships/hyperlink" Target="https://euromedmonitor.org/en/article/6259/New-Report:-Killing-starving-Palestinians" TargetMode="External"/><Relationship Id="rId49" Type="http://schemas.openxmlformats.org/officeDocument/2006/relationships/hyperlink" Target="https://theintercept.com/2024/01/04/cnn-israel-gaza-idf-reporting/" TargetMode="External"/><Relationship Id="rId57" Type="http://schemas.openxmlformats.org/officeDocument/2006/relationships/hyperlink" Target="http://haaretz.com/" TargetMode="External"/><Relationship Id="rId10" Type="http://schemas.openxmlformats.org/officeDocument/2006/relationships/hyperlink" Target="https://x.com/AbuLocation/status/1861431831444226331" TargetMode="External"/><Relationship Id="rId31" Type="http://schemas.openxmlformats.org/officeDocument/2006/relationships/hyperlink" Target="https://www.haaretz.co.il/news/politics/2024-10-30/ty-article/.premium/00000192-dc99-dbce-a7be-ff99f45a0000" TargetMode="External"/><Relationship Id="rId44" Type="http://schemas.openxmlformats.org/officeDocument/2006/relationships/hyperlink" Target="https://www.democracynow.org/2024/4/11/surgeons_in_gaza" TargetMode="External"/><Relationship Id="rId52" Type="http://schemas.openxmlformats.org/officeDocument/2006/relationships/hyperlink" Target="https://x.com/GalitDistel/status/1719689095230730656" TargetMode="External"/><Relationship Id="rId60" Type="http://schemas.openxmlformats.org/officeDocument/2006/relationships/hyperlink" Target="https://x.com/HShaqrah/status/1747726827991240715" TargetMode="External"/><Relationship Id="rId65" Type="http://schemas.openxmlformats.org/officeDocument/2006/relationships/hyperlink" Target="https://www.ipcinfo.org/fileadmin/user_upload/ipcinfo/docs/documents/IPC_Famine_Review_Committee_Report_FEWS_NET_Gaza_4June2024.pdf" TargetMode="External"/><Relationship Id="rId73" Type="http://schemas.openxmlformats.org/officeDocument/2006/relationships/hyperlink" Target="https://www.theguardian.com/world/2024/mar/31/israel-plan-un-dismantle-palestinian-relief-agency-unwra" TargetMode="External"/><Relationship Id="rId78" Type="http://schemas.openxmlformats.org/officeDocument/2006/relationships/hyperlink" Target="https://www.inss.org.il/he/wp-content/uploads/sites/2/2024/08/%D7%93%D7%90%D7%98%D7%94-%D7%9E%D7%90%D7%95%D7%97%D7%93-%D7%99%D7%94%D7%95%D7%93%D7%99%D7%9D-%D7%A2%D7%A8%D7%91%D7%99%D7%9D-%D7%9E%D7%A2%D7%95%D7%93%D7%9B%D7%9F-.xlsx" TargetMode="External"/><Relationship Id="rId81" Type="http://schemas.openxmlformats.org/officeDocument/2006/relationships/hyperlink" Target="https://www.planet.com/stories/khan-yunis-gaza-strip-OQ_61fzNR" TargetMode="External"/><Relationship Id="rId86" Type="http://schemas.openxmlformats.org/officeDocument/2006/relationships/hyperlink" Target="https://x.com/MosabAbuToha/status/1864284704867856422" TargetMode="External"/><Relationship Id="rId4" Type="http://schemas.openxmlformats.org/officeDocument/2006/relationships/hyperlink" Target="https://www.kan.org.il/content/kan-news/defense/739774/" TargetMode="External"/><Relationship Id="rId9" Type="http://schemas.openxmlformats.org/officeDocument/2006/relationships/hyperlink" Target="https://x.com/PalinfoAr/status/1859483002822168743" TargetMode="External"/><Relationship Id="rId13" Type="http://schemas.openxmlformats.org/officeDocument/2006/relationships/hyperlink" Target="https://www.reuters.com/world/middle-east/palestinian-woman-says-she-was-mistreated-after-israel-detained-her-gaza-2024-02-09/" TargetMode="External"/><Relationship Id="rId18" Type="http://schemas.openxmlformats.org/officeDocument/2006/relationships/hyperlink" Target="https://x.com/a_shorshan/status/1794764612115828958" TargetMode="External"/><Relationship Id="rId39" Type="http://schemas.openxmlformats.org/officeDocument/2006/relationships/hyperlink" Target="https://reliefweb.int/attachments/c675d704-7e81-4328-a07a-aad92dd3af90/MSF-GazaSilentKillings-Full%20Report_ENG_April%202023.pdf" TargetMode="External"/><Relationship Id="rId34" Type="http://schemas.openxmlformats.org/officeDocument/2006/relationships/hyperlink" Target="https://www.idi.org.il/articles/57041" TargetMode="External"/><Relationship Id="rId50" Type="http://schemas.openxmlformats.org/officeDocument/2006/relationships/hyperlink" Target="https://tribunemag.co.uk/2024/11/if-this-is-not-genocide-what-is-francesca-albanese-palestine" TargetMode="External"/><Relationship Id="rId55" Type="http://schemas.openxmlformats.org/officeDocument/2006/relationships/hyperlink" Target="https://www.israelhayom.co.il/news/local/article/15767757" TargetMode="External"/><Relationship Id="rId76" Type="http://schemas.openxmlformats.org/officeDocument/2006/relationships/hyperlink" Target="https://www.un.org/unispal/wp-content/uploads/2024/06/a-hrc-56-26-auv.pdf" TargetMode="External"/><Relationship Id="rId7" Type="http://schemas.openxmlformats.org/officeDocument/2006/relationships/hyperlink" Target="https://x.com/AbuLocation/status/1858843252469772678" TargetMode="External"/><Relationship Id="rId71" Type="http://schemas.openxmlformats.org/officeDocument/2006/relationships/hyperlink" Target="https://www.inss.org.il/he/wp-content/uploads/sites/2/2024/10/%D7%93%D7%90%D7%98%D7%94-%D7%A1%D7%A7%D7%A8-%D7%97%D7%A8%D7%91%D7%95%D7%AA-%D7%91%D7%A8%D7%96%D7%9C-%D7%90%D7%95%D7%A7%D7%98%D7%95%D7%91%D7%A8-24-%D7%9B%D7%95%D7%9C%D7%9C-%D7%A0%D7%99%D7%AA%D7%95%D7%97.xlsx" TargetMode="External"/><Relationship Id="rId92" Type="http://schemas.openxmlformats.org/officeDocument/2006/relationships/hyperlink" Target="https://x.com/ytirawi/status/1791817289899164073?ref_src=twsrc%5Etfw%7Ctwcamp%5Etweetembed%7Ctwterm%5E1791817289899164073%7Ctwgr%5E7a604e5480feaf9705a015acce29c42f714af924%7Ctwcon%5Es1_&amp;ref_url=https%3A%2F%2Fmondoweiss.net%2F2024%2F05%2Fisraels-extortion-leaflets-and-namecheap-how-to-do-corporate-accountability-during-a-genocide%2F" TargetMode="External"/><Relationship Id="rId2" Type="http://schemas.openxmlformats.org/officeDocument/2006/relationships/hyperlink" Target="https://x.com/rafaelshimunov/status/1795813951940202938" TargetMode="External"/><Relationship Id="rId29" Type="http://schemas.openxmlformats.org/officeDocument/2006/relationships/hyperlink" Target="https://euromedmonitor.org/en/article/6108/Israel-kills-dozens-of-academics,-destroys-every-university-in-the-Gaza-Strip" TargetMode="External"/><Relationship Id="rId24" Type="http://schemas.openxmlformats.org/officeDocument/2006/relationships/hyperlink" Target="https://x.com/AlQastalps/status/1852831566340428232" TargetMode="External"/><Relationship Id="rId40" Type="http://schemas.openxmlformats.org/officeDocument/2006/relationships/hyperlink" Target="http://palestine.beehiiv.com/" TargetMode="External"/><Relationship Id="rId45" Type="http://schemas.openxmlformats.org/officeDocument/2006/relationships/hyperlink" Target="https://www.commondreams.org/opinion/surgeons-cruelty-israel-gaza" TargetMode="External"/><Relationship Id="rId66" Type="http://schemas.openxmlformats.org/officeDocument/2006/relationships/hyperlink" Target="https://x.com/ytirawi/status/1774252052417257831" TargetMode="External"/><Relationship Id="rId87" Type="http://schemas.openxmlformats.org/officeDocument/2006/relationships/hyperlink" Target="https://reliefweb.int/attachments/210fefe4-0d9f-4f5f-8514-faa87449b34a/SitRep%235%20Israel-Gaza%20Conflict%201.3.2024.pdf" TargetMode="External"/><Relationship Id="rId61" Type="http://schemas.openxmlformats.org/officeDocument/2006/relationships/hyperlink" Target="https://www.haaretz.co.il/news/politics/2024-02-06/ty-article-static/0000018c-edee-d0b4-a7ce-ffef76e60000?utm_source=dlvr.it&amp;utm_medium=twitter&amp;utm_campaign=haaretz" TargetMode="External"/><Relationship Id="rId82" Type="http://schemas.openxmlformats.org/officeDocument/2006/relationships/hyperlink" Target="https://x.com/Rovio/status/1713978698787876920?s=20" TargetMode="External"/><Relationship Id="rId19" Type="http://schemas.openxmlformats.org/officeDocument/2006/relationships/hyperlink" Target="https://www.972mag.com/israeli-soldiers-looting-gaz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reuters.com/world/middle-east/palestinian-woman-says-she-was-mistreated-after-israel-detained-her-gaza-2024-02-09/" TargetMode="External"/><Relationship Id="rId18" Type="http://schemas.openxmlformats.org/officeDocument/2006/relationships/hyperlink" Target="https://x.com/a_shorshan/status/1794764612115828958" TargetMode="External"/><Relationship Id="rId26" Type="http://schemas.openxmlformats.org/officeDocument/2006/relationships/hyperlink" Target="https://x.com/AnasAlSharif0/status/1847765118878208440" TargetMode="External"/><Relationship Id="rId39" Type="http://schemas.openxmlformats.org/officeDocument/2006/relationships/hyperlink" Target="https://reliefweb.int/attachments/c675d704-7e81-4328-a07a-aad92dd3af90/MSF-GazaSilentKillings-Full%20Report_ENG_April%202023.pdf" TargetMode="External"/><Relationship Id="rId21" Type="http://schemas.openxmlformats.org/officeDocument/2006/relationships/hyperlink" Target="https://twitter.com/ytirawi/status/1746696846817325288" TargetMode="External"/><Relationship Id="rId34" Type="http://schemas.openxmlformats.org/officeDocument/2006/relationships/hyperlink" Target="https://www.idi.org.il/articles/57041" TargetMode="External"/><Relationship Id="rId42" Type="http://schemas.openxmlformats.org/officeDocument/2006/relationships/hyperlink" Target="https://www.mako.co.il/news-politics/2023_q4/Article-9f47fed9563eb81027.htm" TargetMode="External"/><Relationship Id="rId47" Type="http://schemas.openxmlformats.org/officeDocument/2006/relationships/hyperlink" Target="https://www.haaretz.co.il/magazine/on-the-line/2024-03-13/ty-article/.highlight/0000018e-32df-d897-a58f-b7dfad0b0000" TargetMode="External"/><Relationship Id="rId50" Type="http://schemas.openxmlformats.org/officeDocument/2006/relationships/hyperlink" Target="https://www.hidabroot.org/article/1187840" TargetMode="External"/><Relationship Id="rId55" Type="http://schemas.openxmlformats.org/officeDocument/2006/relationships/hyperlink" Target="https://www.ynet.co.il/health/article/h17117hua6" TargetMode="External"/><Relationship Id="rId7" Type="http://schemas.openxmlformats.org/officeDocument/2006/relationships/hyperlink" Target="https://x.com/AbuLocation/status/1858843252469772678" TargetMode="External"/><Relationship Id="rId2" Type="http://schemas.openxmlformats.org/officeDocument/2006/relationships/hyperlink" Target="https://x.com/rafaelshimunov/status/1795813951940202938" TargetMode="External"/><Relationship Id="rId16" Type="http://schemas.openxmlformats.org/officeDocument/2006/relationships/hyperlink" Target="https://x.com/Use_Yandex/status/1793681516846788943" TargetMode="External"/><Relationship Id="rId29" Type="http://schemas.openxmlformats.org/officeDocument/2006/relationships/hyperlink" Target="https://euromedmonitor.org/en/article/6108/Israel-kills-dozens-of-academics,-destroys-every-university-in-the-Gaza-Strip" TargetMode="External"/><Relationship Id="rId11" Type="http://schemas.openxmlformats.org/officeDocument/2006/relationships/hyperlink" Target="https://x.com/PalinfoAr/status/1861393952328253760" TargetMode="External"/><Relationship Id="rId24" Type="http://schemas.openxmlformats.org/officeDocument/2006/relationships/hyperlink" Target="https://x.com/AlQastalps/status/1852831566340428232" TargetMode="External"/><Relationship Id="rId32" Type="http://schemas.openxmlformats.org/officeDocument/2006/relationships/hyperlink" Target="https://acleddata.com/2024/05/10/us-student-pro-palestine-demonstrations-remain-overwhelmingly-peaceful-acled-brief/" TargetMode="External"/><Relationship Id="rId37" Type="http://schemas.openxmlformats.org/officeDocument/2006/relationships/hyperlink" Target="https://ccrjustice.org/sites/default/files/attach/2024/01/91_1-31-24_Order-granting-MTD_w.pdf" TargetMode="External"/><Relationship Id="rId40" Type="http://schemas.openxmlformats.org/officeDocument/2006/relationships/hyperlink" Target="http://palestine.beehiiv.com/" TargetMode="External"/><Relationship Id="rId45" Type="http://schemas.openxmlformats.org/officeDocument/2006/relationships/hyperlink" Target="https://www.commondreams.org/opinion/surgeons-cruelty-israel-gaza" TargetMode="External"/><Relationship Id="rId53" Type="http://schemas.openxmlformats.org/officeDocument/2006/relationships/hyperlink" Target="https://www.ipcinfo.org/fileadmin/user_upload/ipcinfo/docs/IPC_Gaza_Strip_Acute_Food_Insecurity_Feb_July2024_Special_Brief.pdf" TargetMode="External"/><Relationship Id="rId5" Type="http://schemas.openxmlformats.org/officeDocument/2006/relationships/hyperlink" Target="https://x.com/the7i/status/1799724456958706071" TargetMode="External"/><Relationship Id="rId19" Type="http://schemas.openxmlformats.org/officeDocument/2006/relationships/hyperlink" Target="https://www.972mag.com/israeli-soldiers-looting-gaza/" TargetMode="External"/><Relationship Id="rId4" Type="http://schemas.openxmlformats.org/officeDocument/2006/relationships/hyperlink" Target="https://www.kan.org.il/content/kan-news/defense/739774/" TargetMode="External"/><Relationship Id="rId9" Type="http://schemas.openxmlformats.org/officeDocument/2006/relationships/hyperlink" Target="https://x.com/PalinfoAr/status/1859483002822168743" TargetMode="External"/><Relationship Id="rId14" Type="http://schemas.openxmlformats.org/officeDocument/2006/relationships/hyperlink" Target="https://x.com/DropSiteNews/status/1854626313195438140" TargetMode="External"/><Relationship Id="rId22" Type="http://schemas.openxmlformats.org/officeDocument/2006/relationships/hyperlink" Target="https://x.com/MariamBarghouti/status/1747994969963389062" TargetMode="External"/><Relationship Id="rId27" Type="http://schemas.openxmlformats.org/officeDocument/2006/relationships/hyperlink" Target="https://x.com/of_darkness07/status/1819415810286158042" TargetMode="External"/><Relationship Id="rId30" Type="http://schemas.openxmlformats.org/officeDocument/2006/relationships/hyperlink" Target="https://www.kan.org.il/content/kan-news/defense/820691/" TargetMode="External"/><Relationship Id="rId35" Type="http://schemas.openxmlformats.org/officeDocument/2006/relationships/hyperlink" Target="https://www.washingtonpost.com/world/2024/10/21/gaza-israel-strike-jabalya-video/" TargetMode="External"/><Relationship Id="rId43" Type="http://schemas.openxmlformats.org/officeDocument/2006/relationships/hyperlink" Target="https://www.ohchr.org/sites/default/files/documents/countries/opt/20241106-Gaza-Update-Report-OPT.pdf" TargetMode="External"/><Relationship Id="rId48" Type="http://schemas.openxmlformats.org/officeDocument/2006/relationships/hyperlink" Target="https://theintercept.com/2024/01/04/cnn-israel-gaza-idf-reporting/" TargetMode="External"/><Relationship Id="rId56" Type="http://schemas.openxmlformats.org/officeDocument/2006/relationships/hyperlink" Target="http://haaretz.com/" TargetMode="External"/><Relationship Id="rId8" Type="http://schemas.openxmlformats.org/officeDocument/2006/relationships/hyperlink" Target="https://x.com/AbujomaaGaza/status/1858833972425273645" TargetMode="External"/><Relationship Id="rId51" Type="http://schemas.openxmlformats.org/officeDocument/2006/relationships/hyperlink" Target="https://x.com/GalitDistel/status/1719689095230730656" TargetMode="External"/><Relationship Id="rId3" Type="http://schemas.openxmlformats.org/officeDocument/2006/relationships/hyperlink" Target="https://x.com/AbujomaaGaza/status/1853847622236418257" TargetMode="External"/><Relationship Id="rId12" Type="http://schemas.openxmlformats.org/officeDocument/2006/relationships/hyperlink" Target="https://x.com/qudsn/status/1861667943991439635" TargetMode="External"/><Relationship Id="rId17" Type="http://schemas.openxmlformats.org/officeDocument/2006/relationships/hyperlink" Target="https://x.com/Use_Yandex/status/1793684246512746500" TargetMode="External"/><Relationship Id="rId25" Type="http://schemas.openxmlformats.org/officeDocument/2006/relationships/hyperlink" Target="https://x.com/NewpressPs/status/1856203876283597053" TargetMode="External"/><Relationship Id="rId33" Type="http://schemas.openxmlformats.org/officeDocument/2006/relationships/hyperlink" Target="https://www.israelhayom.co.il/health/article/14391915" TargetMode="External"/><Relationship Id="rId38" Type="http://schemas.openxmlformats.org/officeDocument/2006/relationships/hyperlink" Target="https://criticalissues.umd.edu/sites/criticalissues.umd.edu/files/Spring%202024%20MESB%20Results.pdf" TargetMode="External"/><Relationship Id="rId46" Type="http://schemas.openxmlformats.org/officeDocument/2006/relationships/hyperlink" Target="https://www.un.org/unispal/wp-content/uploads/2024/04/unrwa_independent_review_on_neutrality.pdf" TargetMode="External"/><Relationship Id="rId20" Type="http://schemas.openxmlformats.org/officeDocument/2006/relationships/hyperlink" Target="https://x.com/skoopit/status/1799396360296550500" TargetMode="External"/><Relationship Id="rId41" Type="http://schemas.openxmlformats.org/officeDocument/2006/relationships/hyperlink" Target="https://www.ohchr.org/en/press-releases/2024/06/israeli-authorities-palestinian-armed-groups-are-responsible-war-crimes" TargetMode="External"/><Relationship Id="rId54" Type="http://schemas.openxmlformats.org/officeDocument/2006/relationships/hyperlink" Target="https://www.israelhayom.co.il/news/local/article/15767757" TargetMode="External"/><Relationship Id="rId1" Type="http://schemas.openxmlformats.org/officeDocument/2006/relationships/hyperlink" Target="https://www.wfp.org/news/famine-imminent-northern-gaza-new-report-warns" TargetMode="External"/><Relationship Id="rId6" Type="http://schemas.openxmlformats.org/officeDocument/2006/relationships/hyperlink" Target="https://www.jdn.co.il/news/2111450/?source=sendToWhatsapp" TargetMode="External"/><Relationship Id="rId15" Type="http://schemas.openxmlformats.org/officeDocument/2006/relationships/hyperlink" Target="https://x.com/HossamShabat/status/1859034111714750788" TargetMode="External"/><Relationship Id="rId23" Type="http://schemas.openxmlformats.org/officeDocument/2006/relationships/hyperlink" Target="https://x.com/ytirawi/status/1848035650072711417" TargetMode="External"/><Relationship Id="rId28" Type="http://schemas.openxmlformats.org/officeDocument/2006/relationships/hyperlink" Target="https://twitter.com/ytirawi/status/1761363322182516924" TargetMode="External"/><Relationship Id="rId36" Type="http://schemas.openxmlformats.org/officeDocument/2006/relationships/hyperlink" Target="https://euromedmonitor.org/en/article/6259/New-Report:-Killing-starving-Palestinians" TargetMode="External"/><Relationship Id="rId49" Type="http://schemas.openxmlformats.org/officeDocument/2006/relationships/hyperlink" Target="https://tribunemag.co.uk/2024/11/if-this-is-not-genocide-what-is-francesca-albanese-palestine" TargetMode="External"/><Relationship Id="rId57" Type="http://schemas.openxmlformats.org/officeDocument/2006/relationships/hyperlink" Target="http://www.ipcinfo.org/fileadmin/user_upload/ipcinfo/docs/IPC_Gaza_Acute_Food_Insecurity_Nov2023_Feb2024.pdf" TargetMode="External"/><Relationship Id="rId10" Type="http://schemas.openxmlformats.org/officeDocument/2006/relationships/hyperlink" Target="https://x.com/AbuLocation/status/1861431831444226331" TargetMode="External"/><Relationship Id="rId31" Type="http://schemas.openxmlformats.org/officeDocument/2006/relationships/hyperlink" Target="https://www.haaretz.co.il/news/politics/2024-10-30/ty-article/.premium/00000192-dc99-dbce-a7be-ff99f45a0000" TargetMode="External"/><Relationship Id="rId44" Type="http://schemas.openxmlformats.org/officeDocument/2006/relationships/hyperlink" Target="https://www.democracynow.org/2024/4/11/surgeons_in_gaza" TargetMode="External"/><Relationship Id="rId52" Type="http://schemas.openxmlformats.org/officeDocument/2006/relationships/hyperlink" Target="https://www.npr.org/2024/02/29/1234159514/gaza-death-toll-30000-palestinians-israel-hamas-war"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x.com/the7i/status/1799724456958706071" TargetMode="External"/><Relationship Id="rId671" Type="http://schemas.openxmlformats.org/officeDocument/2006/relationships/hyperlink" Target="https://twitter.com/PHRIsrael/status/1771499307478229244" TargetMode="External"/><Relationship Id="rId769" Type="http://schemas.openxmlformats.org/officeDocument/2006/relationships/hyperlink" Target="https://x.com/gazanotice/status/1912387722875895829" TargetMode="External"/><Relationship Id="rId21" Type="http://schemas.openxmlformats.org/officeDocument/2006/relationships/hyperlink" Target="https://www.mekomit.co.il/ps/141796/" TargetMode="External"/><Relationship Id="rId324" Type="http://schemas.openxmlformats.org/officeDocument/2006/relationships/hyperlink" Target="https://twitter.com/ytirawi/status/1761472312908320798" TargetMode="External"/><Relationship Id="rId531" Type="http://schemas.openxmlformats.org/officeDocument/2006/relationships/hyperlink" Target="https://forward.com/opinion/608479/ucla-violence-campus-protests/" TargetMode="External"/><Relationship Id="rId629" Type="http://schemas.openxmlformats.org/officeDocument/2006/relationships/hyperlink" Target="https://twitter.com/ireallyhateyou/status/1775564585329729787" TargetMode="External"/><Relationship Id="rId170" Type="http://schemas.openxmlformats.org/officeDocument/2006/relationships/hyperlink" Target="https://x.com/AbuLocation/status/1861431831444226331" TargetMode="External"/><Relationship Id="rId836" Type="http://schemas.openxmlformats.org/officeDocument/2006/relationships/hyperlink" Target="https://x.com/OnlinePalEng/status/1844059508601126946" TargetMode="External"/><Relationship Id="rId268" Type="http://schemas.openxmlformats.org/officeDocument/2006/relationships/hyperlink" Target="https://twitter.com/AssalRad/status/1763254348942037335" TargetMode="External"/><Relationship Id="rId475" Type="http://schemas.openxmlformats.org/officeDocument/2006/relationships/hyperlink" Target="https://www.haaretz.co.il/gallery/gallery-news/2024-06-08/ty-article/.premium/0000018f-f899-df2e-a5df-fefd24c30000" TargetMode="External"/><Relationship Id="rId682" Type="http://schemas.openxmlformats.org/officeDocument/2006/relationships/hyperlink" Target="https://twitter.com/SkyNews/status/1776958103109664881" TargetMode="External"/><Relationship Id="rId903" Type="http://schemas.openxmlformats.org/officeDocument/2006/relationships/hyperlink" Target="https://x.com/ytirawi/status/1841182012704768515" TargetMode="External"/><Relationship Id="rId32" Type="http://schemas.openxmlformats.org/officeDocument/2006/relationships/hyperlink" Target="https://www.haaretz.co.il/news/politics/2024-10-30/ty-article/.premium/00000192-d9c2-d605-a3b2-dfc702430000" TargetMode="External"/><Relationship Id="rId128" Type="http://schemas.openxmlformats.org/officeDocument/2006/relationships/hyperlink" Target="https://twitter.com/QudsNen/status/1747273886264443173" TargetMode="External"/><Relationship Id="rId335" Type="http://schemas.openxmlformats.org/officeDocument/2006/relationships/hyperlink" Target="https://x.com/ytirawi/status/1793628894245118205" TargetMode="External"/><Relationship Id="rId542" Type="http://schemas.openxmlformats.org/officeDocument/2006/relationships/hyperlink" Target="https://www.theguardian.com/politics/2024/mar/21/david-cameron-accuses-israel-of-blocking-key-aid-crossing-in-gaza" TargetMode="External"/><Relationship Id="rId181" Type="http://schemas.openxmlformats.org/officeDocument/2006/relationships/hyperlink" Target="https://x.com/ytirawi/status/1797962472399532407" TargetMode="External"/><Relationship Id="rId402" Type="http://schemas.openxmlformats.org/officeDocument/2006/relationships/hyperlink" Target="https://x.com/TomerPersico/status/1855858123602309152" TargetMode="External"/><Relationship Id="rId847" Type="http://schemas.openxmlformats.org/officeDocument/2006/relationships/hyperlink" Target="https://x.com/SaulStaniforth/status/1845772144879280534" TargetMode="External"/><Relationship Id="rId279" Type="http://schemas.openxmlformats.org/officeDocument/2006/relationships/hyperlink" Target="https://x.com/_NicoleNonya/status/1793681516846788943" TargetMode="External"/><Relationship Id="rId486" Type="http://schemas.openxmlformats.org/officeDocument/2006/relationships/hyperlink" Target="https://www.haaretz.co.il/magazine/on-the-line/2024-03-13/ty-article/.highlight/0000018e-32df-d897-a58f-b7dfad0b0000" TargetMode="External"/><Relationship Id="rId693" Type="http://schemas.openxmlformats.org/officeDocument/2006/relationships/hyperlink" Target="https://x.com/gershonbaskin/status/1879604797361246584" TargetMode="External"/><Relationship Id="rId707" Type="http://schemas.openxmlformats.org/officeDocument/2006/relationships/hyperlink" Target="https://x.com/AbubakerAbedW/status/1929837290454409481" TargetMode="External"/><Relationship Id="rId914" Type="http://schemas.openxmlformats.org/officeDocument/2006/relationships/hyperlink" Target="https://www.economist.com/the-economist-explains/2023/12/04/how-israel-is-using-drones-in-gaza" TargetMode="External"/><Relationship Id="rId43" Type="http://schemas.openxmlformats.org/officeDocument/2006/relationships/hyperlink" Target="https://www.israelhayom.com/2025/01/02/knesset-committee-pushes-for-controversial-generals-plan-in-gaza/" TargetMode="External"/><Relationship Id="rId139" Type="http://schemas.openxmlformats.org/officeDocument/2006/relationships/hyperlink" Target="https://twitter.com/loffredojeremy/status/1762480372963508266" TargetMode="External"/><Relationship Id="rId346" Type="http://schemas.openxmlformats.org/officeDocument/2006/relationships/hyperlink" Target="https://twitter.com/ytirawi/status/1764778057364042167" TargetMode="External"/><Relationship Id="rId553" Type="http://schemas.openxmlformats.org/officeDocument/2006/relationships/hyperlink" Target="https://www.zman.co.il/481871/" TargetMode="External"/><Relationship Id="rId760" Type="http://schemas.openxmlformats.org/officeDocument/2006/relationships/hyperlink" Target="https://x.com/gazanotice/status/1903708204003098808" TargetMode="External"/><Relationship Id="rId192" Type="http://schemas.openxmlformats.org/officeDocument/2006/relationships/hyperlink" Target="https://x.com/Dr_Muneer1/status/1860773982770716878" TargetMode="External"/><Relationship Id="rId206" Type="http://schemas.openxmlformats.org/officeDocument/2006/relationships/hyperlink" Target="https://x.com/HossamShabat/status/1854229496401932557" TargetMode="External"/><Relationship Id="rId413" Type="http://schemas.openxmlformats.org/officeDocument/2006/relationships/hyperlink" Target="https://twitter.com/ytirawi/status/1788897079642689855" TargetMode="External"/><Relationship Id="rId858" Type="http://schemas.openxmlformats.org/officeDocument/2006/relationships/hyperlink" Target="https://x.com/SuppressedNws/status/1919910151676363195" TargetMode="External"/><Relationship Id="rId497" Type="http://schemas.openxmlformats.org/officeDocument/2006/relationships/hyperlink" Target="https://www.salon.com/2024/01/05/cnn-admits-it-runs-all-gaza-coverage-through-bureau-monitored-by-israeli-military-censor_partner/" TargetMode="External"/><Relationship Id="rId620" Type="http://schemas.openxmlformats.org/officeDocument/2006/relationships/hyperlink" Target="https://twitter.com/ireallyhateyou/status/1762543392997703956" TargetMode="External"/><Relationship Id="rId718" Type="http://schemas.openxmlformats.org/officeDocument/2006/relationships/hyperlink" Target="https://x.com/BilalKareem/status/1909159594540122449" TargetMode="External"/><Relationship Id="rId357" Type="http://schemas.openxmlformats.org/officeDocument/2006/relationships/hyperlink" Target="https://x.com/ytirawi/status/1801747288328479222" TargetMode="External"/><Relationship Id="rId54" Type="http://schemas.openxmlformats.org/officeDocument/2006/relationships/hyperlink" Target="https://x.com/YehudaShaul/status/1737112308672016760" TargetMode="External"/><Relationship Id="rId217" Type="http://schemas.openxmlformats.org/officeDocument/2006/relationships/hyperlink" Target="https://www.ynet.co.il/news/article/hym4dpy0t" TargetMode="External"/><Relationship Id="rId564" Type="http://schemas.openxmlformats.org/officeDocument/2006/relationships/hyperlink" Target="https://www.nytimes.com/2024/02/09/world/middleeast/israel-gaza-settlers.html" TargetMode="External"/><Relationship Id="rId771" Type="http://schemas.openxmlformats.org/officeDocument/2006/relationships/hyperlink" Target="https://x.com/gazanotice/status/1912571502190358541" TargetMode="External"/><Relationship Id="rId869" Type="http://schemas.openxmlformats.org/officeDocument/2006/relationships/hyperlink" Target="https://x.com/translatingpal/status/1867607315811107198" TargetMode="External"/><Relationship Id="rId424" Type="http://schemas.openxmlformats.org/officeDocument/2006/relationships/hyperlink" Target="https://www.middleeasteye.net/news/israel-can-monitor-every-telephone-call-west-bank-and-gaza-intelligence-source" TargetMode="External"/><Relationship Id="rId631" Type="http://schemas.openxmlformats.org/officeDocument/2006/relationships/hyperlink" Target="https://x.com/ytirawi/status/1801700803251695684" TargetMode="External"/><Relationship Id="rId729" Type="http://schemas.openxmlformats.org/officeDocument/2006/relationships/hyperlink" Target="https://x.com/Dr_Muneer1/status/1871650256984981857" TargetMode="External"/><Relationship Id="rId270" Type="http://schemas.openxmlformats.org/officeDocument/2006/relationships/hyperlink" Target="https://x.com/KhaledYousry22/status/1795879315155910854" TargetMode="External"/><Relationship Id="rId65" Type="http://schemas.openxmlformats.org/officeDocument/2006/relationships/hyperlink" Target="https://twitter.com/tomashinyu3/status/1747651031737979233" TargetMode="External"/><Relationship Id="rId130" Type="http://schemas.openxmlformats.org/officeDocument/2006/relationships/hyperlink" Target="https://twitter.com/QudsNen/status/1761815084081246331" TargetMode="External"/><Relationship Id="rId368" Type="http://schemas.openxmlformats.org/officeDocument/2006/relationships/hyperlink" Target="https://x.com/HossamShabat/status/1862458598909002041" TargetMode="External"/><Relationship Id="rId575" Type="http://schemas.openxmlformats.org/officeDocument/2006/relationships/hyperlink" Target="https://x.com/SkyNews/status/1797909777286090998" TargetMode="External"/><Relationship Id="rId782" Type="http://schemas.openxmlformats.org/officeDocument/2006/relationships/hyperlink" Target="https://x.com/gazanotice/status/1941097819101700137" TargetMode="External"/><Relationship Id="rId228" Type="http://schemas.openxmlformats.org/officeDocument/2006/relationships/hyperlink" Target="https://x.com/ytirawi/status/1800455049296191612" TargetMode="External"/><Relationship Id="rId435" Type="http://schemas.openxmlformats.org/officeDocument/2006/relationships/hyperlink" Target="https://www.ynet.co.il/news/article/rknemalejg" TargetMode="External"/><Relationship Id="rId642" Type="http://schemas.openxmlformats.org/officeDocument/2006/relationships/hyperlink" Target="https://twitter.com/origivati/status/1767806214254002619" TargetMode="External"/><Relationship Id="rId281" Type="http://schemas.openxmlformats.org/officeDocument/2006/relationships/hyperlink" Target="https://x.com/arixegal/status/1793722854346990066" TargetMode="External"/><Relationship Id="rId502" Type="http://schemas.openxmlformats.org/officeDocument/2006/relationships/hyperlink" Target="https://www.theguardian.com/world/2024/apr/02/gaza-palestinian-children-killed-idf-israel-war" TargetMode="External"/><Relationship Id="rId76" Type="http://schemas.openxmlformats.org/officeDocument/2006/relationships/hyperlink" Target="https://twitter.com/ytirawi/status/1774836624280473643" TargetMode="External"/><Relationship Id="rId141" Type="http://schemas.openxmlformats.org/officeDocument/2006/relationships/hyperlink" Target="https://twitter.com/mekomit/status/1768220704833446359" TargetMode="External"/><Relationship Id="rId379" Type="http://schemas.openxmlformats.org/officeDocument/2006/relationships/hyperlink" Target="https://x.com/Israel_katz/status/1841422324890812763" TargetMode="External"/><Relationship Id="rId586" Type="http://schemas.openxmlformats.org/officeDocument/2006/relationships/hyperlink" Target="https://twitter.com/abierkhatib/status/1776475339595628838" TargetMode="External"/><Relationship Id="rId793" Type="http://schemas.openxmlformats.org/officeDocument/2006/relationships/hyperlink" Target="https://x.com/jeremyscahill/status/1909227466524078508" TargetMode="External"/><Relationship Id="rId807" Type="http://schemas.openxmlformats.org/officeDocument/2006/relationships/hyperlink" Target="https://x.com/MiddleEastEye/status/1930260790612820193" TargetMode="External"/><Relationship Id="rId7" Type="http://schemas.openxmlformats.org/officeDocument/2006/relationships/hyperlink" Target="https://zeteo.com/p/the-myth-of-human-shields-israel-gaza" TargetMode="External"/><Relationship Id="rId239" Type="http://schemas.openxmlformats.org/officeDocument/2006/relationships/hyperlink" Target="https://x.com/ireallyhateyou/status/1794102771026723277" TargetMode="External"/><Relationship Id="rId446" Type="http://schemas.openxmlformats.org/officeDocument/2006/relationships/hyperlink" Target="https://hazmanhazeh.org.il/hunger/" TargetMode="External"/><Relationship Id="rId653" Type="http://schemas.openxmlformats.org/officeDocument/2006/relationships/hyperlink" Target="https://x.com/Issaamro/status/1796595059259044284" TargetMode="External"/><Relationship Id="rId292" Type="http://schemas.openxmlformats.org/officeDocument/2006/relationships/hyperlink" Target="https://x.com/ytirawi/status/1798073737893511506" TargetMode="External"/><Relationship Id="rId306" Type="http://schemas.openxmlformats.org/officeDocument/2006/relationships/hyperlink" Target="https://x.com/AbuLocation/status/1858819672201691574" TargetMode="External"/><Relationship Id="rId860" Type="http://schemas.openxmlformats.org/officeDocument/2006/relationships/hyperlink" Target="https://x.com/swilkinsonbc/status/1904288120943882559" TargetMode="External"/><Relationship Id="rId87" Type="http://schemas.openxmlformats.org/officeDocument/2006/relationships/hyperlink" Target="https://twitter.com/RamAbdu/status/1749971465422745729" TargetMode="External"/><Relationship Id="rId513" Type="http://schemas.openxmlformats.org/officeDocument/2006/relationships/hyperlink" Target="https://www.ynet.co.il/news/article/bjebbohyc" TargetMode="External"/><Relationship Id="rId597" Type="http://schemas.openxmlformats.org/officeDocument/2006/relationships/hyperlink" Target="https://twitter.com/ireallyhateyou/status/1713533460290076817" TargetMode="External"/><Relationship Id="rId720" Type="http://schemas.openxmlformats.org/officeDocument/2006/relationships/hyperlink" Target="https://x.com/C14_news/status/1909995167303553391" TargetMode="External"/><Relationship Id="rId818" Type="http://schemas.openxmlformats.org/officeDocument/2006/relationships/hyperlink" Target="https://x.com/MosabAbuToha/status/1915420072178291167" TargetMode="External"/><Relationship Id="rId152" Type="http://schemas.openxmlformats.org/officeDocument/2006/relationships/hyperlink" Target="https://twitter.com/ytirawi/status/1749272544975229438" TargetMode="External"/><Relationship Id="rId457" Type="http://schemas.openxmlformats.org/officeDocument/2006/relationships/hyperlink" Target="https://cepr.net/press-release/poll-majority-of-americans-say-biden-should-halt-weapons-shipments-to-israel/" TargetMode="External"/><Relationship Id="rId664" Type="http://schemas.openxmlformats.org/officeDocument/2006/relationships/hyperlink" Target="https://twitter.com/mehdirhasan/status/1787503022299332951" TargetMode="External"/><Relationship Id="rId871" Type="http://schemas.openxmlformats.org/officeDocument/2006/relationships/hyperlink" Target="https://x.com/translatingpal/status/1869781014933029241" TargetMode="External"/><Relationship Id="rId14" Type="http://schemas.openxmlformats.org/officeDocument/2006/relationships/hyperlink" Target="https://thebaffler.com/latest/running-amok-turfah" TargetMode="External"/><Relationship Id="rId317" Type="http://schemas.openxmlformats.org/officeDocument/2006/relationships/hyperlink" Target="https://www.cnn.com/2024/01/20/middleeast/israel-gaza-cemeteries-desecrated-investigation-intl-cmd/index.html" TargetMode="External"/><Relationship Id="rId524" Type="http://schemas.openxmlformats.org/officeDocument/2006/relationships/hyperlink" Target="https://edition.cnn.com/audio/podcasts/tug-of-war/episodes/0e6112dc-ae58-11ee-8bd1-6f9c6607fa1d" TargetMode="External"/><Relationship Id="rId731" Type="http://schemas.openxmlformats.org/officeDocument/2006/relationships/hyperlink" Target="https://x.com/Dr_Muneer1/status/1911891755441463353" TargetMode="External"/><Relationship Id="rId98" Type="http://schemas.openxmlformats.org/officeDocument/2006/relationships/hyperlink" Target="https://twitter.com/N12News/status/1780977153166688378" TargetMode="External"/><Relationship Id="rId163" Type="http://schemas.openxmlformats.org/officeDocument/2006/relationships/hyperlink" Target="https://twitter.com/ytirawi/status/1753536576791970148" TargetMode="External"/><Relationship Id="rId370" Type="http://schemas.openxmlformats.org/officeDocument/2006/relationships/hyperlink" Target="https://x.com/ireallyhateyou/status/1794698212206653773" TargetMode="External"/><Relationship Id="rId829" Type="http://schemas.openxmlformats.org/officeDocument/2006/relationships/hyperlink" Target="https://x.com/NemoAnno/status/1940518785481605187" TargetMode="External"/><Relationship Id="rId230" Type="http://schemas.openxmlformats.org/officeDocument/2006/relationships/hyperlink" Target="https://x.com/ytirawi/status/1800841913349894346" TargetMode="External"/><Relationship Id="rId468" Type="http://schemas.openxmlformats.org/officeDocument/2006/relationships/hyperlink" Target="https://twitter.com/Mistaclim/status/1777360030380986803" TargetMode="External"/><Relationship Id="rId675" Type="http://schemas.openxmlformats.org/officeDocument/2006/relationships/hyperlink" Target="https://twitter.com/RamAbdu/status/1777299876885241930" TargetMode="External"/><Relationship Id="rId882" Type="http://schemas.openxmlformats.org/officeDocument/2006/relationships/hyperlink" Target="https://x.com/translatingpal/status/1907793531906732142" TargetMode="External"/><Relationship Id="rId25" Type="http://schemas.openxmlformats.org/officeDocument/2006/relationships/hyperlink" Target="https://www.ha-makom.co.il/idf-droppings/" TargetMode="External"/><Relationship Id="rId328" Type="http://schemas.openxmlformats.org/officeDocument/2006/relationships/hyperlink" Target="https://x.com/ytirawi/status/1801379681423245664" TargetMode="External"/><Relationship Id="rId535" Type="http://schemas.openxmlformats.org/officeDocument/2006/relationships/hyperlink" Target="https://www.haaretz.co.il/news/politics/2024-05-27/ty-article/.premium/0000018f-ba6b-dfb0-a7af-fb7b4c150000" TargetMode="External"/><Relationship Id="rId742" Type="http://schemas.openxmlformats.org/officeDocument/2006/relationships/hyperlink" Target="https://x.com/DropSiteNews/status/1926093098402136114" TargetMode="External"/><Relationship Id="rId174" Type="http://schemas.openxmlformats.org/officeDocument/2006/relationships/hyperlink" Target="https://www.ynet.co.il/news/election2022/article/s1ar9pebi" TargetMode="External"/><Relationship Id="rId381" Type="http://schemas.openxmlformats.org/officeDocument/2006/relationships/hyperlink" Target="https://twitter.com/RamAbdu/status/1771195504883339683" TargetMode="External"/><Relationship Id="rId602" Type="http://schemas.openxmlformats.org/officeDocument/2006/relationships/hyperlink" Target="https://twitter.com/ireallyhateyou/status/1749956154975744455" TargetMode="External"/><Relationship Id="rId241" Type="http://schemas.openxmlformats.org/officeDocument/2006/relationships/hyperlink" Target="https://x.com/ytirawi/status/1794346305571184910" TargetMode="External"/><Relationship Id="rId479" Type="http://schemas.openxmlformats.org/officeDocument/2006/relationships/hyperlink" Target="https://www.amnesty.org/en/latest/news/2023/12/israel-opt-us-made-munitions-killed-43-civilians-in-two-documented-israeli-air-strikes-in-gaza-new-investigation/" TargetMode="External"/><Relationship Id="rId686" Type="http://schemas.openxmlformats.org/officeDocument/2006/relationships/hyperlink" Target="https://x.com/BenzionSanders/status/1785681768349118750" TargetMode="External"/><Relationship Id="rId893" Type="http://schemas.openxmlformats.org/officeDocument/2006/relationships/hyperlink" Target="https://x.com/translatingpal/status/1930634817374126475" TargetMode="External"/><Relationship Id="rId907" Type="http://schemas.openxmlformats.org/officeDocument/2006/relationships/hyperlink" Target="https://x.com/ytirawi/status/1866801511424229747" TargetMode="External"/><Relationship Id="rId36" Type="http://schemas.openxmlformats.org/officeDocument/2006/relationships/hyperlink" Target="https://www.nytimes.com/2024/07/25/us/politics/harris-biden-netanyahu-meeting-israel.html?campaign_id=9&amp;emc=edit_nn_20240726&amp;instance_id=129819&amp;nl=the-morning&amp;regi_id=70279552&amp;segment_id=173210&amp;smid=url-share&amp;te=1&amp;user_id=2e28080c4831073bd853a843a6df3aec" TargetMode="External"/><Relationship Id="rId339" Type="http://schemas.openxmlformats.org/officeDocument/2006/relationships/hyperlink" Target="https://twitter.com/ytirawi/status/1762221066372485260" TargetMode="External"/><Relationship Id="rId546" Type="http://schemas.openxmlformats.org/officeDocument/2006/relationships/hyperlink" Target="https://www.dw.com/en/greta-thunberg-faces-backlash-for-pro-palestinian-post/a-67172344" TargetMode="External"/><Relationship Id="rId753" Type="http://schemas.openxmlformats.org/officeDocument/2006/relationships/hyperlink" Target="https://www.instagram.com/reel/DHRf5beNsYz/" TargetMode="External"/><Relationship Id="rId101" Type="http://schemas.openxmlformats.org/officeDocument/2006/relationships/hyperlink" Target="https://twitter.com/NourNaim88/status/1743626241104543942" TargetMode="External"/><Relationship Id="rId185" Type="http://schemas.openxmlformats.org/officeDocument/2006/relationships/hyperlink" Target="https://twitter.com/ytirawi/status/1756754492790349978" TargetMode="External"/><Relationship Id="rId406" Type="http://schemas.openxmlformats.org/officeDocument/2006/relationships/hyperlink" Target="https://x.com/_selftitled_/status/1851698751733404138" TargetMode="External"/><Relationship Id="rId392" Type="http://schemas.openxmlformats.org/officeDocument/2006/relationships/hyperlink" Target="https://x.com/GhassanAbuSitt1/status/1788570484981858793" TargetMode="External"/><Relationship Id="rId613" Type="http://schemas.openxmlformats.org/officeDocument/2006/relationships/hyperlink" Target="https://twitter.com/ireallyhateyou/status/1757920440155242710" TargetMode="External"/><Relationship Id="rId697" Type="http://schemas.openxmlformats.org/officeDocument/2006/relationships/hyperlink" Target="https://x.com/NimerSultany/status/1830157780499435693" TargetMode="External"/><Relationship Id="rId820" Type="http://schemas.openxmlformats.org/officeDocument/2006/relationships/hyperlink" Target="https://x.com/MosabAbuToha/status/1928279365562794120" TargetMode="External"/><Relationship Id="rId252" Type="http://schemas.openxmlformats.org/officeDocument/2006/relationships/hyperlink" Target="https://twitter.com/AlonLeeGreen/status/1746855797328433438" TargetMode="External"/><Relationship Id="rId47" Type="http://schemas.openxmlformats.org/officeDocument/2006/relationships/hyperlink" Target="https://13tv.co.il/item/news/domestic/crime-and-justice/c8nmb-904430163/" TargetMode="External"/><Relationship Id="rId112" Type="http://schemas.openxmlformats.org/officeDocument/2006/relationships/hyperlink" Target="https://twitter.com/MiddleEastEye/status/1762502752184467495" TargetMode="External"/><Relationship Id="rId557" Type="http://schemas.openxmlformats.org/officeDocument/2006/relationships/hyperlink" Target="https://www.haaretz.com/israel-news/2024-10-31/ty-article/.premium/haaretz-publisher-clarifies-hamas-remarks-as-netanyahu-govt-threatens-sanctions/00000192-e326-df50-a1bf-fbeef3fc0000" TargetMode="External"/><Relationship Id="rId764" Type="http://schemas.openxmlformats.org/officeDocument/2006/relationships/hyperlink" Target="https://x.com/gazanotice/status/1904216731452571851" TargetMode="External"/><Relationship Id="rId196" Type="http://schemas.openxmlformats.org/officeDocument/2006/relationships/hyperlink" Target="https://x.com/DropSiteNews/status/1853830231259263091" TargetMode="External"/><Relationship Id="rId417" Type="http://schemas.openxmlformats.org/officeDocument/2006/relationships/hyperlink" Target="https://www.ynet.co.il/news/article/sjnzepogr" TargetMode="External"/><Relationship Id="rId624" Type="http://schemas.openxmlformats.org/officeDocument/2006/relationships/hyperlink" Target="https://twitter.com/ireallyhateyou/status/1768045698350465445" TargetMode="External"/><Relationship Id="rId831" Type="http://schemas.openxmlformats.org/officeDocument/2006/relationships/hyperlink" Target="https://x.com/nirhasson/status/1876547809987715541" TargetMode="External"/><Relationship Id="rId263" Type="http://schemas.openxmlformats.org/officeDocument/2006/relationships/hyperlink" Target="https://apnews.com/video/europe-gaza-european-union-war-and-unrest-josep-borrell-63eebfe7f71f4ed881580913c51b7036" TargetMode="External"/><Relationship Id="rId470" Type="http://schemas.openxmlformats.org/officeDocument/2006/relationships/hyperlink" Target="https://www.theguardian.com/global-development/2024/nov/08/gaza-unparalleled-suffering-jan-egeland-norwegian-refugee-council-aid-ceasefire-hostages-peace-process" TargetMode="External"/><Relationship Id="rId58" Type="http://schemas.openxmlformats.org/officeDocument/2006/relationships/hyperlink" Target="https://x.com/ytirawi/status/1794113236708573451" TargetMode="External"/><Relationship Id="rId123" Type="http://schemas.openxmlformats.org/officeDocument/2006/relationships/hyperlink" Target="https://twitter.com/MustafaBarghou1/status/1761325667252092984" TargetMode="External"/><Relationship Id="rId330" Type="http://schemas.openxmlformats.org/officeDocument/2006/relationships/hyperlink" Target="https://x.com/ytirawi/status/1801560741138350491" TargetMode="External"/><Relationship Id="rId568" Type="http://schemas.openxmlformats.org/officeDocument/2006/relationships/hyperlink" Target="https://twitter.com/EmekShavehHeb/status/1749030636529008651" TargetMode="External"/><Relationship Id="rId775" Type="http://schemas.openxmlformats.org/officeDocument/2006/relationships/hyperlink" Target="https://x.com/gazanotice/status/1915403166885020042" TargetMode="External"/><Relationship Id="rId428" Type="http://schemas.openxmlformats.org/officeDocument/2006/relationships/hyperlink" Target="https://www.idi.org.il/articles/55008" TargetMode="External"/><Relationship Id="rId635" Type="http://schemas.openxmlformats.org/officeDocument/2006/relationships/hyperlink" Target="https://twitter.com/adinitay/status/1771990979333026009" TargetMode="External"/><Relationship Id="rId842" Type="http://schemas.openxmlformats.org/officeDocument/2006/relationships/hyperlink" Target="https://x.com/sahatenglish/status/1904174899842760801" TargetMode="External"/><Relationship Id="rId274" Type="http://schemas.openxmlformats.org/officeDocument/2006/relationships/hyperlink" Target="https://x.com/QudsNen/status/1802266606564675886" TargetMode="External"/><Relationship Id="rId481" Type="http://schemas.openxmlformats.org/officeDocument/2006/relationships/hyperlink" Target="https://www.latimes.com/opinion/story/2024-02-16/rafah-gaza-hospitals-surgery-israel-bombing-ground-offensive-children" TargetMode="External"/><Relationship Id="rId702" Type="http://schemas.openxmlformats.org/officeDocument/2006/relationships/hyperlink" Target="https://x.com/Abdullah_Om3r03/status/1902399315617648817" TargetMode="External"/><Relationship Id="rId69" Type="http://schemas.openxmlformats.org/officeDocument/2006/relationships/hyperlink" Target="https://twitter.com/petersavodnik/status/1778620648551829969" TargetMode="External"/><Relationship Id="rId134" Type="http://schemas.openxmlformats.org/officeDocument/2006/relationships/hyperlink" Target="https://x.com/ytirawi/status/1796232276818424251" TargetMode="External"/><Relationship Id="rId579" Type="http://schemas.openxmlformats.org/officeDocument/2006/relationships/hyperlink" Target="https://twitter.com/AmirHetsroni/status/1743063371551822292" TargetMode="External"/><Relationship Id="rId786" Type="http://schemas.openxmlformats.org/officeDocument/2006/relationships/hyperlink" Target="https://x.com/History__Speaks/status/1935078326642819396" TargetMode="External"/><Relationship Id="rId341" Type="http://schemas.openxmlformats.org/officeDocument/2006/relationships/hyperlink" Target="https://twitter.com/ytirawi/status/1763708173905506449" TargetMode="External"/><Relationship Id="rId439" Type="http://schemas.openxmlformats.org/officeDocument/2006/relationships/hyperlink" Target="https://www.theguardian.com/world/2024/feb/01/genocide-gaza-israel-california-court" TargetMode="External"/><Relationship Id="rId646" Type="http://schemas.openxmlformats.org/officeDocument/2006/relationships/hyperlink" Target="https://twitter.com/ytirawi/status/1780354741882474980" TargetMode="External"/><Relationship Id="rId201" Type="http://schemas.openxmlformats.org/officeDocument/2006/relationships/hyperlink" Target="https://x.com/ForensicArchi/status/1860005331897622954" TargetMode="External"/><Relationship Id="rId285" Type="http://schemas.openxmlformats.org/officeDocument/2006/relationships/hyperlink" Target="https://twitter.com/ytirawi/status/1760407071747719357" TargetMode="External"/><Relationship Id="rId506" Type="http://schemas.openxmlformats.org/officeDocument/2006/relationships/hyperlink" Target="https://apnews.com/article/israel-palestinians-campus-protests-50d754675b710c9b983faf9ec9164d81" TargetMode="External"/><Relationship Id="rId853" Type="http://schemas.openxmlformats.org/officeDocument/2006/relationships/hyperlink" Target="https://x.com/sharifkouddous/status/1835292186818056667" TargetMode="External"/><Relationship Id="rId492" Type="http://schemas.openxmlformats.org/officeDocument/2006/relationships/hyperlink" Target="https://www.npr.org/transcripts/1247670359" TargetMode="External"/><Relationship Id="rId713" Type="http://schemas.openxmlformats.org/officeDocument/2006/relationships/hyperlink" Target="https://x.com/AbujomaaGaza/status/1907766898311238064" TargetMode="External"/><Relationship Id="rId797" Type="http://schemas.openxmlformats.org/officeDocument/2006/relationships/hyperlink" Target="https://x.com/Lowkey0nline/status/1824014560858149051" TargetMode="External"/><Relationship Id="rId145" Type="http://schemas.openxmlformats.org/officeDocument/2006/relationships/hyperlink" Target="https://twitter.com/ytirawi/status/1742346460559995063" TargetMode="External"/><Relationship Id="rId352" Type="http://schemas.openxmlformats.org/officeDocument/2006/relationships/hyperlink" Target="https://twitter.com/ytirawi/status/1766016416371630284" TargetMode="External"/><Relationship Id="rId212" Type="http://schemas.openxmlformats.org/officeDocument/2006/relationships/hyperlink" Target="https://x.com/NimerSultany/status/1857404113794802128" TargetMode="External"/><Relationship Id="rId657" Type="http://schemas.openxmlformats.org/officeDocument/2006/relationships/hyperlink" Target="https://x.com/QudsNen/status/1801743540436771252" TargetMode="External"/><Relationship Id="rId864" Type="http://schemas.openxmlformats.org/officeDocument/2006/relationships/hyperlink" Target="https://x.com/tparsi/status/1905640088454803804" TargetMode="External"/><Relationship Id="rId296" Type="http://schemas.openxmlformats.org/officeDocument/2006/relationships/hyperlink" Target="https://twitter.com/ytirawi/status/1745491460525375587" TargetMode="External"/><Relationship Id="rId517" Type="http://schemas.openxmlformats.org/officeDocument/2006/relationships/hyperlink" Target="https://www.theguardian.com/world/2024/oct/31/un-should-consider-suspending-israel-over-genocide-against-palestinians-says-special-rapporteur" TargetMode="External"/><Relationship Id="rId724" Type="http://schemas.openxmlformats.org/officeDocument/2006/relationships/hyperlink" Target="https://x.com/dn_osama_rabee/status/1897140589185110370" TargetMode="External"/><Relationship Id="rId60" Type="http://schemas.openxmlformats.org/officeDocument/2006/relationships/hyperlink" Target="https://twitter.com/Bar_ShemUr/status/1757852992215056477" TargetMode="External"/><Relationship Id="rId156" Type="http://schemas.openxmlformats.org/officeDocument/2006/relationships/hyperlink" Target="https://twitter.com/ytirawi/status/1750627849948532763" TargetMode="External"/><Relationship Id="rId363" Type="http://schemas.openxmlformats.org/officeDocument/2006/relationships/hyperlink" Target="https://twitter.com/RamAbdu/status/1766458940118769799" TargetMode="External"/><Relationship Id="rId570" Type="http://schemas.openxmlformats.org/officeDocument/2006/relationships/hyperlink" Target="https://twitter.com/NBCNightlyNews/status/1784001112124932600" TargetMode="External"/><Relationship Id="rId223" Type="http://schemas.openxmlformats.org/officeDocument/2006/relationships/hyperlink" Target="https://x.com/ytirawi/status/1798393141021553018" TargetMode="External"/><Relationship Id="rId430" Type="http://schemas.openxmlformats.org/officeDocument/2006/relationships/hyperlink" Target="https://news.gallup.com/poll/642695/majority-disapprove-israeli-action-gaza.aspx" TargetMode="External"/><Relationship Id="rId668" Type="http://schemas.openxmlformats.org/officeDocument/2006/relationships/hyperlink" Target="https://twitter.com/DrTedros/status/1771276290315653372" TargetMode="External"/><Relationship Id="rId875" Type="http://schemas.openxmlformats.org/officeDocument/2006/relationships/hyperlink" Target="https://x.com/translatingpal/status/1900912303647740247" TargetMode="External"/><Relationship Id="rId18" Type="http://schemas.openxmlformats.org/officeDocument/2006/relationships/hyperlink" Target="https://www.nytimes.com/2024/10/14/world/middleeast/israel-gaza-military-human-shields.html" TargetMode="External"/><Relationship Id="rId528" Type="http://schemas.openxmlformats.org/officeDocument/2006/relationships/hyperlink" Target="https://www.nytimes.com/2024/03/18/world/middleeast/gaza-famine-report-starvation.html" TargetMode="External"/><Relationship Id="rId735" Type="http://schemas.openxmlformats.org/officeDocument/2006/relationships/hyperlink" Target="https://x.com/DropSiteNews/status/1915629462202318956" TargetMode="External"/><Relationship Id="rId167" Type="http://schemas.openxmlformats.org/officeDocument/2006/relationships/hyperlink" Target="https://x.com/BeckyCNN/status/1832069899780325818" TargetMode="External"/><Relationship Id="rId374" Type="http://schemas.openxmlformats.org/officeDocument/2006/relationships/hyperlink" Target="https://twitter.com/ytirawi/status/1760758994350588388" TargetMode="External"/><Relationship Id="rId581" Type="http://schemas.openxmlformats.org/officeDocument/2006/relationships/hyperlink" Target="https://twitter.com/RamAbdu/status/1789930610783408368" TargetMode="External"/><Relationship Id="rId71" Type="http://schemas.openxmlformats.org/officeDocument/2006/relationships/hyperlink" Target="https://twitter.com/EmilioMorenatti/status/1759669676810904020" TargetMode="External"/><Relationship Id="rId234" Type="http://schemas.openxmlformats.org/officeDocument/2006/relationships/hyperlink" Target="https://twitter.com/ytirawi/status/1790108960927719626" TargetMode="External"/><Relationship Id="rId679" Type="http://schemas.openxmlformats.org/officeDocument/2006/relationships/hyperlink" Target="https://twitter.com/RamAbdu/status/1779859676827431399" TargetMode="External"/><Relationship Id="rId802" Type="http://schemas.openxmlformats.org/officeDocument/2006/relationships/hyperlink" Target="https://x.com/MiddleEastEye/status/1771054562658427147" TargetMode="External"/><Relationship Id="rId886" Type="http://schemas.openxmlformats.org/officeDocument/2006/relationships/hyperlink" Target="https://x.com/translatingpal/status/1908929872086315032" TargetMode="External"/><Relationship Id="rId2" Type="http://schemas.openxmlformats.org/officeDocument/2006/relationships/hyperlink" Target="https://www.haaretz.co.il/opinions/2024-12-22/ty-article-opinion/.premium/00000193-ea47-d35c-a79f-fae7bf390000" TargetMode="External"/><Relationship Id="rId29" Type="http://schemas.openxmlformats.org/officeDocument/2006/relationships/hyperlink" Target="https://www.haaretz.co.il/magazine/2024-10-10/ty-article-magazine/.highlight/00000192-70ab-d292-a392-78bfa8210000?utm_source=App_Share&amp;utm_medium=Android_Native&amp;utm_campaign=Share" TargetMode="External"/><Relationship Id="rId441" Type="http://schemas.openxmlformats.org/officeDocument/2006/relationships/hyperlink" Target="https://www.brookings.edu/articles/gloom-about-the-day-after-the-gaza-war-pervasive-among-mideast-scholars/" TargetMode="External"/><Relationship Id="rId539" Type="http://schemas.openxmlformats.org/officeDocument/2006/relationships/hyperlink" Target="https://www.haaretz.co.il/news/politics/2024-03-19/ty-article/0000018e-584f-d88e-a39e-7dffc4580000" TargetMode="External"/><Relationship Id="rId746" Type="http://schemas.openxmlformats.org/officeDocument/2006/relationships/hyperlink" Target="https://x.com/FerozeSidhwa/status/1925965283522396359" TargetMode="External"/><Relationship Id="rId178" Type="http://schemas.openxmlformats.org/officeDocument/2006/relationships/hyperlink" Target="https://x.com/ytirawi/status/1796637726835446048" TargetMode="External"/><Relationship Id="rId301" Type="http://schemas.openxmlformats.org/officeDocument/2006/relationships/hyperlink" Target="https://twitter.com/ytirawi/status/1755342772670804416" TargetMode="External"/><Relationship Id="rId82" Type="http://schemas.openxmlformats.org/officeDocument/2006/relationships/hyperlink" Target="https://x.com/AbujomaaGaza/status/1849732808333287510" TargetMode="External"/><Relationship Id="rId385" Type="http://schemas.openxmlformats.org/officeDocument/2006/relationships/hyperlink" Target="https://twitter.com/ireallyhateyou/status/1744195835577921772" TargetMode="External"/><Relationship Id="rId592" Type="http://schemas.openxmlformats.org/officeDocument/2006/relationships/hyperlink" Target="https://twitter.com/bernstein_ariel/status/1761809205147717664" TargetMode="External"/><Relationship Id="rId606" Type="http://schemas.openxmlformats.org/officeDocument/2006/relationships/hyperlink" Target="https://twitter.com/ireallyhateyou/status/1754458148276990180" TargetMode="External"/><Relationship Id="rId813" Type="http://schemas.openxmlformats.org/officeDocument/2006/relationships/hyperlink" Target="https://x.com/MosabAbuToha/status/1908032444327969005" TargetMode="External"/><Relationship Id="rId245" Type="http://schemas.openxmlformats.org/officeDocument/2006/relationships/hyperlink" Target="https://x.com/ytirawi/status/1795042539084345829/" TargetMode="External"/><Relationship Id="rId452" Type="http://schemas.openxmlformats.org/officeDocument/2006/relationships/hyperlink" Target="https://palestine.beehiiv.com/p/surviving-genocide-people" TargetMode="External"/><Relationship Id="rId897" Type="http://schemas.openxmlformats.org/officeDocument/2006/relationships/hyperlink" Target="https://threadreaderapp.com/thread/1909080959204327684.html?utm_campaign=topunroll" TargetMode="External"/><Relationship Id="rId105" Type="http://schemas.openxmlformats.org/officeDocument/2006/relationships/hyperlink" Target="https://twitter.com/GolanMay/status/1759675501424042329" TargetMode="External"/><Relationship Id="rId312" Type="http://schemas.openxmlformats.org/officeDocument/2006/relationships/hyperlink" Target="https://x.com/DropSiteNews/status/1848819280730853559" TargetMode="External"/><Relationship Id="rId757" Type="http://schemas.openxmlformats.org/officeDocument/2006/relationships/hyperlink" Target="https://x.com/gazanotice/status/1902054591744893156" TargetMode="External"/><Relationship Id="rId93" Type="http://schemas.openxmlformats.org/officeDocument/2006/relationships/hyperlink" Target="https://twitter.com/AlonLeeGreen/status/1787892635186712737" TargetMode="External"/><Relationship Id="rId189" Type="http://schemas.openxmlformats.org/officeDocument/2006/relationships/hyperlink" Target="https://twitter.com/ytirawi/status/1759307381169701366" TargetMode="External"/><Relationship Id="rId396" Type="http://schemas.openxmlformats.org/officeDocument/2006/relationships/hyperlink" Target="https://x.com/tparsi/status/1796984162169086156" TargetMode="External"/><Relationship Id="rId617" Type="http://schemas.openxmlformats.org/officeDocument/2006/relationships/hyperlink" Target="https://twitter.com/ireallyhateyou/status/1760599708857237838" TargetMode="External"/><Relationship Id="rId824" Type="http://schemas.openxmlformats.org/officeDocument/2006/relationships/hyperlink" Target="https://x.com/MSF_canada/status/1850998473597891051" TargetMode="External"/><Relationship Id="rId256" Type="http://schemas.openxmlformats.org/officeDocument/2006/relationships/hyperlink" Target="https://x.com/IsraeliPM/status/1859607527412904186" TargetMode="External"/><Relationship Id="rId463" Type="http://schemas.openxmlformats.org/officeDocument/2006/relationships/hyperlink" Target="https://www.idi.org.il/articles/53443" TargetMode="External"/><Relationship Id="rId670" Type="http://schemas.openxmlformats.org/officeDocument/2006/relationships/hyperlink" Target="https://twitter.com/NourNaim88/status/1772757426887926144" TargetMode="External"/><Relationship Id="rId116" Type="http://schemas.openxmlformats.org/officeDocument/2006/relationships/hyperlink" Target="https://x.com/nirhasson/status/1796567421412938129" TargetMode="External"/><Relationship Id="rId323" Type="http://schemas.openxmlformats.org/officeDocument/2006/relationships/hyperlink" Target="https://twitter.com/ytirawi/status/1761463006720926062" TargetMode="External"/><Relationship Id="rId530" Type="http://schemas.openxmlformats.org/officeDocument/2006/relationships/hyperlink" Target="https://ononews.co.il/news-ganei-tikva/%D7%92%D7%A0%D7%99-%D7%AA%D7%A7%D7%95%D7%95%D7%94-%D7%9E%D7%95%D7%A8%D7%94-%D7%9C%D7%A2%D7%A8%D7%91%D7%99%D7%AA-%D7%AA%D7%95%D7%A2%D7%93%D7%94-%D7%91%D7%94%D7%A4%D7%92%D7%A0%D7%94-%D7%A2%D7%9D-%D7%93/" TargetMode="External"/><Relationship Id="rId768" Type="http://schemas.openxmlformats.org/officeDocument/2006/relationships/hyperlink" Target="https://x.com/gazanotice/status/1908233830336536588" TargetMode="External"/><Relationship Id="rId20" Type="http://schemas.openxmlformats.org/officeDocument/2006/relationships/hyperlink" Target="https://www.haaretz.co.il/news/politics/2024-10-16/ty-article/.premium/00000192-94aa-d9c2-a7f3-9cae337a0000" TargetMode="External"/><Relationship Id="rId628" Type="http://schemas.openxmlformats.org/officeDocument/2006/relationships/hyperlink" Target="https://twitter.com/ireallyhateyou/status/1775162156792631334" TargetMode="External"/><Relationship Id="rId835" Type="http://schemas.openxmlformats.org/officeDocument/2006/relationships/hyperlink" Target="https://x.com/NourNaim88/status/1865722988202459555" TargetMode="External"/><Relationship Id="rId267" Type="http://schemas.openxmlformats.org/officeDocument/2006/relationships/hyperlink" Target="https://x.com/ytirawi/status/1792656511510143472" TargetMode="External"/><Relationship Id="rId474" Type="http://schemas.openxmlformats.org/officeDocument/2006/relationships/hyperlink" Target="https://mondoweiss.net/2023/11/israeli-doctors-urge-the-bombing-of-gaza-hospitals/" TargetMode="External"/><Relationship Id="rId127" Type="http://schemas.openxmlformats.org/officeDocument/2006/relationships/hyperlink" Target="https://twitter.com/PHR_IL/status/1770877688539988234" TargetMode="External"/><Relationship Id="rId681" Type="http://schemas.openxmlformats.org/officeDocument/2006/relationships/hyperlink" Target="https://twitter.com/SaulStaniforth/status/1774816428916412574" TargetMode="External"/><Relationship Id="rId779" Type="http://schemas.openxmlformats.org/officeDocument/2006/relationships/hyperlink" Target="https://x.com/gazanotice/status/1925181402582008006" TargetMode="External"/><Relationship Id="rId902" Type="http://schemas.openxmlformats.org/officeDocument/2006/relationships/hyperlink" Target="https://x.com/ytirawi/status/1826691206920704432" TargetMode="External"/><Relationship Id="rId31" Type="http://schemas.openxmlformats.org/officeDocument/2006/relationships/hyperlink" Target="https://www.haaretz.co.il/news/politics/2025-01-09/ty-article/.premium/00000194-45b1-db19-abdd-6db7c86d0000" TargetMode="External"/><Relationship Id="rId334" Type="http://schemas.openxmlformats.org/officeDocument/2006/relationships/hyperlink" Target="https://x.com/ytirawi/status/1793047312115040450" TargetMode="External"/><Relationship Id="rId541" Type="http://schemas.openxmlformats.org/officeDocument/2006/relationships/hyperlink" Target="https://www.bbc.com/news/uk-68546268" TargetMode="External"/><Relationship Id="rId639" Type="http://schemas.openxmlformats.org/officeDocument/2006/relationships/hyperlink" Target="https://twitter.com/itamarbengvir/status/1767860298432528673" TargetMode="External"/><Relationship Id="rId180" Type="http://schemas.openxmlformats.org/officeDocument/2006/relationships/hyperlink" Target="https://x.com/ytirawi/status/1796999248841453615" TargetMode="External"/><Relationship Id="rId278" Type="http://schemas.openxmlformats.org/officeDocument/2006/relationships/hyperlink" Target="https://x.com/YousefMunayyer/status/1791807669797347571" TargetMode="External"/><Relationship Id="rId401" Type="http://schemas.openxmlformats.org/officeDocument/2006/relationships/hyperlink" Target="https://x.com/TomerPersico/status/1854403910305505520" TargetMode="External"/><Relationship Id="rId846" Type="http://schemas.openxmlformats.org/officeDocument/2006/relationships/hyperlink" Target="https://x.com/SaulStaniforth/status/1831719802563432812" TargetMode="External"/><Relationship Id="rId485" Type="http://schemas.openxmlformats.org/officeDocument/2006/relationships/hyperlink" Target="https://www.theguardian.com/world/2024/apr/22/israel-unrwa-staff-terrorist-links-yet-to-provide-evidence-colonna-report" TargetMode="External"/><Relationship Id="rId692" Type="http://schemas.openxmlformats.org/officeDocument/2006/relationships/hyperlink" Target="https://x.com/eranetzion/status/1830514863132586170" TargetMode="External"/><Relationship Id="rId706" Type="http://schemas.openxmlformats.org/officeDocument/2006/relationships/hyperlink" Target="https://x.com/Abu_Salah9/status/1859689522071732563" TargetMode="External"/><Relationship Id="rId913" Type="http://schemas.openxmlformats.org/officeDocument/2006/relationships/hyperlink" Target="https://www.nytimes.com/2024/03/25/world/middleeast/video-sexual-assault-israel-kibbutz-hamas.html" TargetMode="External"/><Relationship Id="rId42" Type="http://schemas.openxmlformats.org/officeDocument/2006/relationships/hyperlink" Target="https://www.haaretz.co.il/news/politics/2024-12-24/ty-article/00000193-f900-d10a-a797-fb6bab660000" TargetMode="External"/><Relationship Id="rId138" Type="http://schemas.openxmlformats.org/officeDocument/2006/relationships/hyperlink" Target="https://twitter.com/itamar_green/status/1741504115874627765" TargetMode="External"/><Relationship Id="rId345" Type="http://schemas.openxmlformats.org/officeDocument/2006/relationships/hyperlink" Target="https://twitter.com/ytirawi/status/1764773062908547579" TargetMode="External"/><Relationship Id="rId552" Type="http://schemas.openxmlformats.org/officeDocument/2006/relationships/hyperlink" Target="https://www.ochaopt.org/content/about-4000-palestinians-displaced-west-bank-2023" TargetMode="External"/><Relationship Id="rId191" Type="http://schemas.openxmlformats.org/officeDocument/2006/relationships/hyperlink" Target="https://x.com/Dr_Muneer1/status/1860727752267063532" TargetMode="External"/><Relationship Id="rId205" Type="http://schemas.openxmlformats.org/officeDocument/2006/relationships/hyperlink" Target="https://x.com/HossamShabat/status/1851452023117660582" TargetMode="External"/><Relationship Id="rId412" Type="http://schemas.openxmlformats.org/officeDocument/2006/relationships/hyperlink" Target="https://x.com/ytirawi/status/1798801765845897336" TargetMode="External"/><Relationship Id="rId857" Type="http://schemas.openxmlformats.org/officeDocument/2006/relationships/hyperlink" Target="https://x.com/SuppressedNws/status/1783453264798765401" TargetMode="External"/><Relationship Id="rId289" Type="http://schemas.openxmlformats.org/officeDocument/2006/relationships/hyperlink" Target="https://x.com/AlonLeeGreen/status/1791788316943106366" TargetMode="External"/><Relationship Id="rId496" Type="http://schemas.openxmlformats.org/officeDocument/2006/relationships/hyperlink" Target="https://theintercept.com/2024/03/01/cnn-christiane-amanpour-israel-gaza-coverage/" TargetMode="External"/><Relationship Id="rId717" Type="http://schemas.openxmlformats.org/officeDocument/2006/relationships/hyperlink" Target="https://x.com/AssalRad/status/1844793940358361520" TargetMode="External"/><Relationship Id="rId53" Type="http://schemas.openxmlformats.org/officeDocument/2006/relationships/hyperlink" Target="https://x.com/N12News/status/1798769743119167566" TargetMode="External"/><Relationship Id="rId149" Type="http://schemas.openxmlformats.org/officeDocument/2006/relationships/hyperlink" Target="https://twitter.com/ytirawi/status/1746581304999542901" TargetMode="External"/><Relationship Id="rId356" Type="http://schemas.openxmlformats.org/officeDocument/2006/relationships/hyperlink" Target="https://x.com/ytirawi/status/1801743066497212733" TargetMode="External"/><Relationship Id="rId563" Type="http://schemas.openxmlformats.org/officeDocument/2006/relationships/hyperlink" Target="https://www.ochaopt.org/content/hostilities-gaza-strip-and-israel-reported-impact-day-175" TargetMode="External"/><Relationship Id="rId770" Type="http://schemas.openxmlformats.org/officeDocument/2006/relationships/hyperlink" Target="https://x.com/gazanotice/status/1912388258853487020" TargetMode="External"/><Relationship Id="rId216" Type="http://schemas.openxmlformats.org/officeDocument/2006/relationships/hyperlink" Target="https://x.com/yoavgallant/status/1859656508193030496" TargetMode="External"/><Relationship Id="rId423" Type="http://schemas.openxmlformats.org/officeDocument/2006/relationships/hyperlink" Target="https://www.idi.org.il/articles/55806" TargetMode="External"/><Relationship Id="rId868" Type="http://schemas.openxmlformats.org/officeDocument/2006/relationships/hyperlink" Target="https://x.com/translatingpal/status/1863294227939217409" TargetMode="External"/><Relationship Id="rId630" Type="http://schemas.openxmlformats.org/officeDocument/2006/relationships/hyperlink" Target="https://twitter.com/ytirawi/status/1760038133872095300" TargetMode="External"/><Relationship Id="rId728" Type="http://schemas.openxmlformats.org/officeDocument/2006/relationships/hyperlink" Target="https://x.com/dn_osama_rabee/status/1913599368478773639" TargetMode="External"/><Relationship Id="rId64" Type="http://schemas.openxmlformats.org/officeDocument/2006/relationships/hyperlink" Target="https://x.com/ytirawi/status/1798462630736396472" TargetMode="External"/><Relationship Id="rId367" Type="http://schemas.openxmlformats.org/officeDocument/2006/relationships/hyperlink" Target="https://twitter.com/T_Nachala/status/1786806755374084274" TargetMode="External"/><Relationship Id="rId574" Type="http://schemas.openxmlformats.org/officeDocument/2006/relationships/hyperlink" Target="https://x.com/RamAbdu/status/1800824868453089426" TargetMode="External"/><Relationship Id="rId227" Type="http://schemas.openxmlformats.org/officeDocument/2006/relationships/hyperlink" Target="https://x.com/ytirawi/status/1799879016436093021" TargetMode="External"/><Relationship Id="rId781" Type="http://schemas.openxmlformats.org/officeDocument/2006/relationships/hyperlink" Target="https://x.com/gazanotice/status/1937924878708937023" TargetMode="External"/><Relationship Id="rId879" Type="http://schemas.openxmlformats.org/officeDocument/2006/relationships/hyperlink" Target="https://x.com/translatingpal/status/1902727457246953849" TargetMode="External"/><Relationship Id="rId434" Type="http://schemas.openxmlformats.org/officeDocument/2006/relationships/hyperlink" Target="https://www.itv.com/news/2024-03-01/he-didnt-understand-disabled-man-shot-dead-in-gaza-hospital-by-idf" TargetMode="External"/><Relationship Id="rId641" Type="http://schemas.openxmlformats.org/officeDocument/2006/relationships/hyperlink" Target="https://www.silwanic.net/" TargetMode="External"/><Relationship Id="rId739" Type="http://schemas.openxmlformats.org/officeDocument/2006/relationships/hyperlink" Target="https://x.com/DropSiteNews/status/1925219161757692246" TargetMode="External"/><Relationship Id="rId280" Type="http://schemas.openxmlformats.org/officeDocument/2006/relationships/hyperlink" Target="https://x.com/_NicoleNonya/status/1793684246512746500" TargetMode="External"/><Relationship Id="rId501" Type="http://schemas.openxmlformats.org/officeDocument/2006/relationships/hyperlink" Target="https://www.cnn.com/business/live-news/columbia-antisemitism-house-testimony/index.html" TargetMode="External"/><Relationship Id="rId75" Type="http://schemas.openxmlformats.org/officeDocument/2006/relationships/hyperlink" Target="https://twitter.com/MacaesBruno/status/1787573947690819907" TargetMode="External"/><Relationship Id="rId140" Type="http://schemas.openxmlformats.org/officeDocument/2006/relationships/hyperlink" Target="https://twitter.com/marwasf/status/1762590590737207562" TargetMode="External"/><Relationship Id="rId378" Type="http://schemas.openxmlformats.org/officeDocument/2006/relationships/hyperlink" Target="https://twitter.com/ytirawi/status/1758376261628436523" TargetMode="External"/><Relationship Id="rId585" Type="http://schemas.openxmlformats.org/officeDocument/2006/relationships/hyperlink" Target="https://twitter.com/YinonMagal/status/1754505872753979498" TargetMode="External"/><Relationship Id="rId792" Type="http://schemas.openxmlformats.org/officeDocument/2006/relationships/hyperlink" Target="https://x.com/idfonline/status/1763174751042695313" TargetMode="External"/><Relationship Id="rId806" Type="http://schemas.openxmlformats.org/officeDocument/2006/relationships/hyperlink" Target="https://x.com/MiddleEastEye/status/1926096243370889278" TargetMode="External"/><Relationship Id="rId6" Type="http://schemas.openxmlformats.org/officeDocument/2006/relationships/hyperlink" Target="https://www.haaretz.co.il/news/magazine/2024-06-25/ty-article-magazine/.premium/00000190-4ac5-da42-a1ba-7fef27c50000" TargetMode="External"/><Relationship Id="rId238" Type="http://schemas.openxmlformats.org/officeDocument/2006/relationships/hyperlink" Target="https://x.com/ihcentoo/status/1797391918172659737" TargetMode="External"/><Relationship Id="rId445" Type="http://schemas.openxmlformats.org/officeDocument/2006/relationships/hyperlink" Target="https://reliefweb.int/report/occupied-palestinian-territory/gazas-silent-killings-destruction-healthcare-system-rafah" TargetMode="External"/><Relationship Id="rId652" Type="http://schemas.openxmlformats.org/officeDocument/2006/relationships/hyperlink" Target="https://twitter.com/ytirawi/status/1790921496421937522" TargetMode="External"/><Relationship Id="rId291" Type="http://schemas.openxmlformats.org/officeDocument/2006/relationships/hyperlink" Target="https://x.com/ytirawi/status/1798797098801824165" TargetMode="External"/><Relationship Id="rId305" Type="http://schemas.openxmlformats.org/officeDocument/2006/relationships/hyperlink" Target="https://x.com/AbuLocation/status/1856250030912344560" TargetMode="External"/><Relationship Id="rId512" Type="http://schemas.openxmlformats.org/officeDocument/2006/relationships/hyperlink" Target="https://time.com/6334409/is-whats-happening-gaza-genocide-experts/" TargetMode="External"/><Relationship Id="rId86" Type="http://schemas.openxmlformats.org/officeDocument/2006/relationships/hyperlink" Target="https://x.com/AbujomaaGaza/status/1859190079702405379" TargetMode="External"/><Relationship Id="rId151" Type="http://schemas.openxmlformats.org/officeDocument/2006/relationships/hyperlink" Target="https://twitter.com/ytirawi/status/1748130778737729911" TargetMode="External"/><Relationship Id="rId389" Type="http://schemas.openxmlformats.org/officeDocument/2006/relationships/hyperlink" Target="https://x.com/z_00pIz/status/1802321259188920411" TargetMode="External"/><Relationship Id="rId596" Type="http://schemas.openxmlformats.org/officeDocument/2006/relationships/hyperlink" Target="https://twitter.com/grapesofwhat/status/1761332020402118799" TargetMode="External"/><Relationship Id="rId817" Type="http://schemas.openxmlformats.org/officeDocument/2006/relationships/hyperlink" Target="https://x.com/MosabAbuToha/status/1912671978386837960" TargetMode="External"/><Relationship Id="rId249" Type="http://schemas.openxmlformats.org/officeDocument/2006/relationships/hyperlink" Target="https://x.com/ytirawi/status/1796122820683891010" TargetMode="External"/><Relationship Id="rId456" Type="http://schemas.openxmlformats.org/officeDocument/2006/relationships/hyperlink" Target="https://www.idi.org.il/articles/56143" TargetMode="External"/><Relationship Id="rId663" Type="http://schemas.openxmlformats.org/officeDocument/2006/relationships/hyperlink" Target="https://twitter.com/amanpour/status/1773415507732947348" TargetMode="External"/><Relationship Id="rId870" Type="http://schemas.openxmlformats.org/officeDocument/2006/relationships/hyperlink" Target="https://x.com/translatingpal/status/1868289900812128313" TargetMode="External"/><Relationship Id="rId13" Type="http://schemas.openxmlformats.org/officeDocument/2006/relationships/hyperlink" Target="https://amp.cnn.com/cnn/2024/11/29/middleeast/gaza-bakery-crush-palestinians-killed-intl-latam" TargetMode="External"/><Relationship Id="rId109" Type="http://schemas.openxmlformats.org/officeDocument/2006/relationships/hyperlink" Target="https://twitter.com/KhalilAsslan/status/1741926482463633866" TargetMode="External"/><Relationship Id="rId316" Type="http://schemas.openxmlformats.org/officeDocument/2006/relationships/hyperlink" Target="https://www.cnn.com/videos/world/2024/02/23/gaza-atrocities-investigation-warehouse-attack-karadsheh-pkg-vpx.cnn" TargetMode="External"/><Relationship Id="rId523" Type="http://schemas.openxmlformats.org/officeDocument/2006/relationships/hyperlink" Target="https://www.calcalist.co.il/local_news/article/hjnoxpf0a" TargetMode="External"/><Relationship Id="rId97" Type="http://schemas.openxmlformats.org/officeDocument/2006/relationships/hyperlink" Target="https://x.com/AssalRad/status/1850360530730709105" TargetMode="External"/><Relationship Id="rId730" Type="http://schemas.openxmlformats.org/officeDocument/2006/relationships/hyperlink" Target="https://x.com/Dr_Muneer1/status/1873072731790462993" TargetMode="External"/><Relationship Id="rId828" Type="http://schemas.openxmlformats.org/officeDocument/2006/relationships/hyperlink" Target="https://x.com/Nadav_Eyal/status/1729751699475013921" TargetMode="External"/><Relationship Id="rId162" Type="http://schemas.openxmlformats.org/officeDocument/2006/relationships/hyperlink" Target="https://twitter.com/ytirawi/status/1753536164085010674" TargetMode="External"/><Relationship Id="rId467" Type="http://schemas.openxmlformats.org/officeDocument/2006/relationships/hyperlink" Target="https://twitter.com/Mistaclim/status/1746854844818681861" TargetMode="External"/><Relationship Id="rId674" Type="http://schemas.openxmlformats.org/officeDocument/2006/relationships/hyperlink" Target="https://twitter.com/RamAbdu/status/1772039795662889006" TargetMode="External"/><Relationship Id="rId881" Type="http://schemas.openxmlformats.org/officeDocument/2006/relationships/hyperlink" Target="https://x.com/translatingpal/status/1907480656973561927" TargetMode="External"/><Relationship Id="rId24" Type="http://schemas.openxmlformats.org/officeDocument/2006/relationships/hyperlink" Target="https://www.nytimes.com/2024/11/19/world/middleeast/israel-5-million-dollars-hostage.html" TargetMode="External"/><Relationship Id="rId327" Type="http://schemas.openxmlformats.org/officeDocument/2006/relationships/hyperlink" Target="https://x.com/ytirawi/status/1801359465419055210" TargetMode="External"/><Relationship Id="rId534" Type="http://schemas.openxmlformats.org/officeDocument/2006/relationships/hyperlink" Target="https://www.haaretz.co.il/news/politics/2024-02-01/ty-article/.premium/0000018d-5f18-d0af-a3af-7fbcea840000" TargetMode="External"/><Relationship Id="rId741" Type="http://schemas.openxmlformats.org/officeDocument/2006/relationships/hyperlink" Target="https://x.com/DropSiteNews/status/1925887119475532125" TargetMode="External"/><Relationship Id="rId839" Type="http://schemas.openxmlformats.org/officeDocument/2006/relationships/hyperlink" Target="https://x.com/orfialkov/status/1914414487244783696" TargetMode="External"/><Relationship Id="rId173" Type="http://schemas.openxmlformats.org/officeDocument/2006/relationships/hyperlink" Target="https://www.calcalist.co.il/local_news/article/s1lxz6uvs" TargetMode="External"/><Relationship Id="rId380" Type="http://schemas.openxmlformats.org/officeDocument/2006/relationships/hyperlink" Target="https://twitter.com/Doron_Kadosh/status/1762434310831796618" TargetMode="External"/><Relationship Id="rId601" Type="http://schemas.openxmlformats.org/officeDocument/2006/relationships/hyperlink" Target="https://twitter.com/ireallyhateyou/status/1748075046294163757" TargetMode="External"/><Relationship Id="rId240" Type="http://schemas.openxmlformats.org/officeDocument/2006/relationships/hyperlink" Target="https://x.com/ytirawi/status/1794012735228825939" TargetMode="External"/><Relationship Id="rId478" Type="http://schemas.openxmlformats.org/officeDocument/2006/relationships/hyperlink" Target="https://www.amnesty.org/en/latest/news/2024/02/israel-opt-new-evidence-of-unlawful-israeli-attacks-in-gaza-causing-mass-civilian-casualties-amid-real-risk-of-genocide/" TargetMode="External"/><Relationship Id="rId685" Type="http://schemas.openxmlformats.org/officeDocument/2006/relationships/hyperlink" Target="https://twitter.com/JoshuaPHilll/status/1785443970237317351" TargetMode="External"/><Relationship Id="rId892" Type="http://schemas.openxmlformats.org/officeDocument/2006/relationships/hyperlink" Target="https://x.com/translatingpal/status/1922421186249818396" TargetMode="External"/><Relationship Id="rId906" Type="http://schemas.openxmlformats.org/officeDocument/2006/relationships/hyperlink" Target="https://x.com/ytirawi/status/1864361403991138768" TargetMode="External"/><Relationship Id="rId35" Type="http://schemas.openxmlformats.org/officeDocument/2006/relationships/hyperlink" Target="https://www.haaretz.co.il/news/law/2024-12-17/ty-article/00000193-d466-d4ec-a5d3-f57f62f00000" TargetMode="External"/><Relationship Id="rId100" Type="http://schemas.openxmlformats.org/officeDocument/2006/relationships/hyperlink" Target="https://twitter.com/NourNaim88/status/1742273606699106542" TargetMode="External"/><Relationship Id="rId338" Type="http://schemas.openxmlformats.org/officeDocument/2006/relationships/hyperlink" Target="https://twitter.com/ytirawi/status/1762212629576069120" TargetMode="External"/><Relationship Id="rId545" Type="http://schemas.openxmlformats.org/officeDocument/2006/relationships/hyperlink" Target="https://www.mako.co.il/news-politics/2024_q1/Article-7ce65d03aa05d81027.htm" TargetMode="External"/><Relationship Id="rId752" Type="http://schemas.openxmlformats.org/officeDocument/2006/relationships/hyperlink" Target="https://x.com/gazanotice/status/1901600001047842940" TargetMode="External"/><Relationship Id="rId184" Type="http://schemas.openxmlformats.org/officeDocument/2006/relationships/hyperlink" Target="https://x.com/HossamShabat/status/1857096991961985095" TargetMode="External"/><Relationship Id="rId391" Type="http://schemas.openxmlformats.org/officeDocument/2006/relationships/hyperlink" Target="https://twitter.com/ytirawi/status/1790893499115606334" TargetMode="External"/><Relationship Id="rId405" Type="http://schemas.openxmlformats.org/officeDocument/2006/relationships/hyperlink" Target="https://x.com/UNOCHA/status/1849072683725525242" TargetMode="External"/><Relationship Id="rId612" Type="http://schemas.openxmlformats.org/officeDocument/2006/relationships/hyperlink" Target="https://twitter.com/ireallyhateyou/status/1757837275830907052" TargetMode="External"/><Relationship Id="rId251" Type="http://schemas.openxmlformats.org/officeDocument/2006/relationships/hyperlink" Target="https://x.com/ytirawi/status/1796228939251343652" TargetMode="External"/><Relationship Id="rId489" Type="http://schemas.openxmlformats.org/officeDocument/2006/relationships/hyperlink" Target="https://www.middleeasteye.net/live-blog/live-blog-update/66-killed-attack-near-kamal-adwan-hospital" TargetMode="External"/><Relationship Id="rId696" Type="http://schemas.openxmlformats.org/officeDocument/2006/relationships/hyperlink" Target="https://x.com/ireallyhateyou/status/1889703204868460726" TargetMode="External"/><Relationship Id="rId46" Type="http://schemas.openxmlformats.org/officeDocument/2006/relationships/hyperlink" Target="https://www.makorrishon.co.il/news/808697/" TargetMode="External"/><Relationship Id="rId349" Type="http://schemas.openxmlformats.org/officeDocument/2006/relationships/hyperlink" Target="https://twitter.com/ytirawi/status/1765297033093538206" TargetMode="External"/><Relationship Id="rId556" Type="http://schemas.openxmlformats.org/officeDocument/2006/relationships/hyperlink" Target="https://www.ynet.co.il/health/article/h17117hua6" TargetMode="External"/><Relationship Id="rId763" Type="http://schemas.openxmlformats.org/officeDocument/2006/relationships/hyperlink" Target="https://x.com/gazanotice/status/1904188138697986262" TargetMode="External"/><Relationship Id="rId111" Type="http://schemas.openxmlformats.org/officeDocument/2006/relationships/hyperlink" Target="https://twitter.com/Lowkey0nline/status/1757326323712774650" TargetMode="External"/><Relationship Id="rId195" Type="http://schemas.openxmlformats.org/officeDocument/2006/relationships/hyperlink" Target="https://x.com/DropSiteNews/status/1852547862036455896" TargetMode="External"/><Relationship Id="rId209" Type="http://schemas.openxmlformats.org/officeDocument/2006/relationships/hyperlink" Target="https://x.com/HossamShabat/status/1854598342333944270" TargetMode="External"/><Relationship Id="rId416" Type="http://schemas.openxmlformats.org/officeDocument/2006/relationships/hyperlink" Target="https://twitter.com/HCWWatch/status/1767666330252009517" TargetMode="External"/><Relationship Id="rId623" Type="http://schemas.openxmlformats.org/officeDocument/2006/relationships/hyperlink" Target="https://twitter.com/ireallyhateyou/status/1766193632661447085" TargetMode="External"/><Relationship Id="rId830" Type="http://schemas.openxmlformats.org/officeDocument/2006/relationships/hyperlink" Target="https://x.com/NimerSultany/status/1806730484006662419" TargetMode="External"/><Relationship Id="rId57" Type="http://schemas.openxmlformats.org/officeDocument/2006/relationships/hyperlink" Target="https://x.com/moshebs11/status/1766830282219372906" TargetMode="External"/><Relationship Id="rId262" Type="http://schemas.openxmlformats.org/officeDocument/2006/relationships/hyperlink" Target="https://apnews.com/article/israel-hamas-war-hunger-un-07afb7fe4a1654f54b81b944a0dab535" TargetMode="External"/><Relationship Id="rId567" Type="http://schemas.openxmlformats.org/officeDocument/2006/relationships/hyperlink" Target="https://www.nytimes.com/2024/06/06/world/middleeast/israel-gaza-detention-base.html" TargetMode="External"/><Relationship Id="rId122" Type="http://schemas.openxmlformats.org/officeDocument/2006/relationships/hyperlink" Target="https://x.com/AdHaque110/status/1843382278371848291" TargetMode="External"/><Relationship Id="rId774" Type="http://schemas.openxmlformats.org/officeDocument/2006/relationships/hyperlink" Target="https://x.com/gazanotice/status/1913517575008330206" TargetMode="External"/><Relationship Id="rId427" Type="http://schemas.openxmlformats.org/officeDocument/2006/relationships/hyperlink" Target="https://www.theguardian.com/world/ng-interactive/2024/jan/30/how-war-destroyed-gazas-neighbourhoods-visual-investigation" TargetMode="External"/><Relationship Id="rId634" Type="http://schemas.openxmlformats.org/officeDocument/2006/relationships/hyperlink" Target="https://twitter.com/Yesh_Din/status/1779501559379849229" TargetMode="External"/><Relationship Id="rId841" Type="http://schemas.openxmlformats.org/officeDocument/2006/relationships/hyperlink" Target="https://x.com/RamAbdu/status/1871926114555437270" TargetMode="External"/><Relationship Id="rId273" Type="http://schemas.openxmlformats.org/officeDocument/2006/relationships/hyperlink" Target="https://x.com/MaxBlumenthal/status/1801745356289622225" TargetMode="External"/><Relationship Id="rId480" Type="http://schemas.openxmlformats.org/officeDocument/2006/relationships/hyperlink" Target="https://www.middleeasteye.net/news/israel-palestine-war-sara-netanyahu-advisor-torture-gazans-rant" TargetMode="External"/><Relationship Id="rId701" Type="http://schemas.openxmlformats.org/officeDocument/2006/relationships/hyperlink" Target="https://x.com/talschneider/status/1825832401030807846" TargetMode="External"/><Relationship Id="rId68" Type="http://schemas.openxmlformats.org/officeDocument/2006/relationships/hyperlink" Target="https://twitter.com/ofercass/status/1783896320933036133" TargetMode="External"/><Relationship Id="rId133" Type="http://schemas.openxmlformats.org/officeDocument/2006/relationships/hyperlink" Target="https://twitter.com/RamAbdu/status/1743665392722059344" TargetMode="External"/><Relationship Id="rId340" Type="http://schemas.openxmlformats.org/officeDocument/2006/relationships/hyperlink" Target="https://twitter.com/ytirawi/status/1763563991387746557" TargetMode="External"/><Relationship Id="rId578" Type="http://schemas.openxmlformats.org/officeDocument/2006/relationships/hyperlink" Target="https://twitter.com/BChutzpah19416/status/1750186862579269867" TargetMode="External"/><Relationship Id="rId785" Type="http://schemas.openxmlformats.org/officeDocument/2006/relationships/hyperlink" Target="https://x.com/Hind_Gaza/status/1922238532355006518" TargetMode="External"/><Relationship Id="rId200" Type="http://schemas.openxmlformats.org/officeDocument/2006/relationships/hyperlink" Target="https://x.com/EuroMedHR/status/1850132619066855815" TargetMode="External"/><Relationship Id="rId438" Type="http://schemas.openxmlformats.org/officeDocument/2006/relationships/hyperlink" Target="https://www.idi.org.il/articles/53276" TargetMode="External"/><Relationship Id="rId645" Type="http://schemas.openxmlformats.org/officeDocument/2006/relationships/hyperlink" Target="https://twitter.com/ytirawi/status/1770743445969064360" TargetMode="External"/><Relationship Id="rId852" Type="http://schemas.openxmlformats.org/officeDocument/2006/relationships/hyperlink" Target="https://x.com/Save_GlobalNews/status/1862952420520669522" TargetMode="External"/><Relationship Id="rId284" Type="http://schemas.openxmlformats.org/officeDocument/2006/relationships/hyperlink" Target="https://twitter.com/ytirawi/status/1760359033095991623" TargetMode="External"/><Relationship Id="rId491" Type="http://schemas.openxmlformats.org/officeDocument/2006/relationships/hyperlink" Target="https://www.theguardian.com/world/2024/apr/21/us-poised-impose-sanctions-israel-defense-force-netzah-yehuda-battalion" TargetMode="External"/><Relationship Id="rId505" Type="http://schemas.openxmlformats.org/officeDocument/2006/relationships/hyperlink" Target="https://www.itv.com/news/2024-04-24/i-operated-without-anaesthetic-british-surgeons-harrowing-gaza-account" TargetMode="External"/><Relationship Id="rId712" Type="http://schemas.openxmlformats.org/officeDocument/2006/relationships/hyperlink" Target="https://x.com/AbujomaaGaza/status/1891166694137122899" TargetMode="External"/><Relationship Id="rId79" Type="http://schemas.openxmlformats.org/officeDocument/2006/relationships/hyperlink" Target="https://x.com/rafaelshimunov/status/1795813951940202938" TargetMode="External"/><Relationship Id="rId144" Type="http://schemas.openxmlformats.org/officeDocument/2006/relationships/hyperlink" Target="https://twitter.com/shilofreid/status/1742919348401135788" TargetMode="External"/><Relationship Id="rId589" Type="http://schemas.openxmlformats.org/officeDocument/2006/relationships/hyperlink" Target="https://twitter.com/amanpour/status/1758204651927744784" TargetMode="External"/><Relationship Id="rId796" Type="http://schemas.openxmlformats.org/officeDocument/2006/relationships/hyperlink" Target="https://x.com/KhaledYousry22/status/1870090150849523769" TargetMode="External"/><Relationship Id="rId90" Type="http://schemas.openxmlformats.org/officeDocument/2006/relationships/hyperlink" Target="https://twitter.com/RamAbdu/status/1781018819961454697" TargetMode="External"/><Relationship Id="rId186" Type="http://schemas.openxmlformats.org/officeDocument/2006/relationships/hyperlink" Target="https://twitter.com/ytirawi/status/1757094979460067773" TargetMode="External"/><Relationship Id="rId351" Type="http://schemas.openxmlformats.org/officeDocument/2006/relationships/hyperlink" Target="https://twitter.com/ytirawi/status/1765447101100785887" TargetMode="External"/><Relationship Id="rId393" Type="http://schemas.openxmlformats.org/officeDocument/2006/relationships/hyperlink" Target="https://x.com/HossamShabat/status/1796550174111645766" TargetMode="External"/><Relationship Id="rId407" Type="http://schemas.openxmlformats.org/officeDocument/2006/relationships/hyperlink" Target="https://x.com/HossamShabat/status/1856413482129748306" TargetMode="External"/><Relationship Id="rId449" Type="http://schemas.openxmlformats.org/officeDocument/2006/relationships/hyperlink" Target="https://www.undp.org/press-releases/new-un-report-impacts-war-have-set-back-development-gaza-much-69-years" TargetMode="External"/><Relationship Id="rId614" Type="http://schemas.openxmlformats.org/officeDocument/2006/relationships/hyperlink" Target="https://twitter.com/ireallyhateyou/status/1758914324150538698" TargetMode="External"/><Relationship Id="rId656" Type="http://schemas.openxmlformats.org/officeDocument/2006/relationships/hyperlink" Target="https://x.com/QudsNen/status/1801295354840629385" TargetMode="External"/><Relationship Id="rId821" Type="http://schemas.openxmlformats.org/officeDocument/2006/relationships/hyperlink" Target="https://x.com/MosabAbuToha/status/1928463573921173736" TargetMode="External"/><Relationship Id="rId863" Type="http://schemas.openxmlformats.org/officeDocument/2006/relationships/hyperlink" Target="https://x.com/Timesofgaza/status/1884982632317911339" TargetMode="External"/><Relationship Id="rId211" Type="http://schemas.openxmlformats.org/officeDocument/2006/relationships/hyperlink" Target="https://x.com/HossamShabat/status/1856157430503145907" TargetMode="External"/><Relationship Id="rId253" Type="http://schemas.openxmlformats.org/officeDocument/2006/relationships/hyperlink" Target="https://twitter.com/Eliyahu_a/status/1772645094295830643" TargetMode="External"/><Relationship Id="rId295" Type="http://schemas.openxmlformats.org/officeDocument/2006/relationships/hyperlink" Target="https://twitter.com/wattheactualfuq/status/1760775215418634685" TargetMode="External"/><Relationship Id="rId309" Type="http://schemas.openxmlformats.org/officeDocument/2006/relationships/hyperlink" Target="https://twitter.com/1james_elder/status/1770440852717912117" TargetMode="External"/><Relationship Id="rId460" Type="http://schemas.openxmlformats.org/officeDocument/2006/relationships/hyperlink" Target="https://www.washingtonpost.com/world/2024/04/22/unrwa-israel-hamas-report-palestinians/" TargetMode="External"/><Relationship Id="rId516" Type="http://schemas.openxmlformats.org/officeDocument/2006/relationships/hyperlink" Target="https://tribunemag.co.uk/2024/11/if-this-is-not-genocide-what-is-francesca-albanese-palestine" TargetMode="External"/><Relationship Id="rId698" Type="http://schemas.openxmlformats.org/officeDocument/2006/relationships/hyperlink" Target="https://x.com/restart_israel/status/1893342160738533869" TargetMode="External"/><Relationship Id="rId48" Type="http://schemas.openxmlformats.org/officeDocument/2006/relationships/hyperlink" Target="https://www.insidehighered.com/news/faculty-issues/academic-freedom/2025/01/05/aha-convention-attendees-oppose-scholasticide-gaza" TargetMode="External"/><Relationship Id="rId113" Type="http://schemas.openxmlformats.org/officeDocument/2006/relationships/hyperlink" Target="https://twitter.com/MiddleEastEye/status/1773318803075531136" TargetMode="External"/><Relationship Id="rId320" Type="http://schemas.openxmlformats.org/officeDocument/2006/relationships/hyperlink" Target="https://x.com/martinshawx/status/1820389008880361676" TargetMode="External"/><Relationship Id="rId558" Type="http://schemas.openxmlformats.org/officeDocument/2006/relationships/hyperlink" Target="https://www.politico.eu/article/israel-calls-amnesty-international-antisemitic-and-biased-after-it-criticized-war-crimes-by-all-parties/" TargetMode="External"/><Relationship Id="rId723" Type="http://schemas.openxmlformats.org/officeDocument/2006/relationships/hyperlink" Target="https://x.com/dn_osama_rabee/status/1887065238991692129" TargetMode="External"/><Relationship Id="rId765" Type="http://schemas.openxmlformats.org/officeDocument/2006/relationships/hyperlink" Target="https://x.com/gazanotice/status/1904822580076253630" TargetMode="External"/><Relationship Id="rId155" Type="http://schemas.openxmlformats.org/officeDocument/2006/relationships/hyperlink" Target="https://twitter.com/ytirawi/status/1750540763413287350" TargetMode="External"/><Relationship Id="rId197" Type="http://schemas.openxmlformats.org/officeDocument/2006/relationships/hyperlink" Target="https://x.com/DropSiteNews/status/1854626313195438140" TargetMode="External"/><Relationship Id="rId362" Type="http://schemas.openxmlformats.org/officeDocument/2006/relationships/hyperlink" Target="https://twitter.com/RamAbdu/status/1759474743189660011" TargetMode="External"/><Relationship Id="rId418" Type="http://schemas.openxmlformats.org/officeDocument/2006/relationships/hyperlink" Target="https://www.theguardian.com/us-news/article/2024/may/10/peaceful-pro-palestinian-campus-protests" TargetMode="External"/><Relationship Id="rId625" Type="http://schemas.openxmlformats.org/officeDocument/2006/relationships/hyperlink" Target="https://twitter.com/ireallyhateyou/status/1768989430084227090" TargetMode="External"/><Relationship Id="rId832" Type="http://schemas.openxmlformats.org/officeDocument/2006/relationships/hyperlink" Target="https://x.com/NourNaim88/status/1827071101538623794" TargetMode="External"/><Relationship Id="rId222" Type="http://schemas.openxmlformats.org/officeDocument/2006/relationships/hyperlink" Target="https://x.com/ytirawi/status/1798325368023384423" TargetMode="External"/><Relationship Id="rId264" Type="http://schemas.openxmlformats.org/officeDocument/2006/relationships/hyperlink" Target="https://x.com/ireallyhateyou/status/1794351306028839298" TargetMode="External"/><Relationship Id="rId471" Type="http://schemas.openxmlformats.org/officeDocument/2006/relationships/hyperlink" Target="https://news.un.org/en/story/2024/11/1156466" TargetMode="External"/><Relationship Id="rId667" Type="http://schemas.openxmlformats.org/officeDocument/2006/relationships/hyperlink" Target="https://x.com/KamalaHarris/status/1764409522553082344" TargetMode="External"/><Relationship Id="rId874" Type="http://schemas.openxmlformats.org/officeDocument/2006/relationships/hyperlink" Target="https://x.com/translatingpal/status/1876685731143323761" TargetMode="External"/><Relationship Id="rId17" Type="http://schemas.openxmlformats.org/officeDocument/2006/relationships/hyperlink" Target="https://www.haaretz.co.il/news/law/2024-09-23/ty-article/.premium/00000192-1b6b-d342-ab9f-df6b2b790000" TargetMode="External"/><Relationship Id="rId59" Type="http://schemas.openxmlformats.org/officeDocument/2006/relationships/hyperlink" Target="https://x.com/ytirawi/status/1795129920902873557" TargetMode="External"/><Relationship Id="rId124" Type="http://schemas.openxmlformats.org/officeDocument/2006/relationships/hyperlink" Target="https://twitter.com/NourNaim88/status/1753044873974849578" TargetMode="External"/><Relationship Id="rId527" Type="http://schemas.openxmlformats.org/officeDocument/2006/relationships/hyperlink" Target="https://inews.co.uk/news/world/israel-gaza-superhighway-watchtower-post-war-plans-3090909" TargetMode="External"/><Relationship Id="rId569" Type="http://schemas.openxmlformats.org/officeDocument/2006/relationships/hyperlink" Target="https://twitter.com/KhaledYousry22/status/1771974813491360211" TargetMode="External"/><Relationship Id="rId734" Type="http://schemas.openxmlformats.org/officeDocument/2006/relationships/hyperlink" Target="https://x.com/DropSiteNews/status/1912717471817085128" TargetMode="External"/><Relationship Id="rId776" Type="http://schemas.openxmlformats.org/officeDocument/2006/relationships/hyperlink" Target="https://x.com/gazanotice/status/1916863660149874741" TargetMode="External"/><Relationship Id="rId70" Type="http://schemas.openxmlformats.org/officeDocument/2006/relationships/hyperlink" Target="https://twitter.com/CensoredMen/status/1765773664325075354" TargetMode="External"/><Relationship Id="rId166" Type="http://schemas.openxmlformats.org/officeDocument/2006/relationships/hyperlink" Target="https://twitter.com/ytirawi/status/1756458915473105113" TargetMode="External"/><Relationship Id="rId331" Type="http://schemas.openxmlformats.org/officeDocument/2006/relationships/hyperlink" Target="https://x.com/ytirawi/status/1801625890633159060" TargetMode="External"/><Relationship Id="rId373" Type="http://schemas.openxmlformats.org/officeDocument/2006/relationships/hyperlink" Target="https://twitter.com/ytirawi/status/1781809245312180237" TargetMode="External"/><Relationship Id="rId429" Type="http://schemas.openxmlformats.org/officeDocument/2006/relationships/hyperlink" Target="https://www.haaretz.co.il/news/politics/2024-01-21/ty-article/.premium/0000018d-2bb4-daf5-a1bf-aff41ac80000" TargetMode="External"/><Relationship Id="rId580" Type="http://schemas.openxmlformats.org/officeDocument/2006/relationships/hyperlink" Target="https://twitter.com/NaksBilal/status/1761825956950421858" TargetMode="External"/><Relationship Id="rId636" Type="http://schemas.openxmlformats.org/officeDocument/2006/relationships/hyperlink" Target="https://twitter.com/adinitay/status/1781214747104252184" TargetMode="External"/><Relationship Id="rId801" Type="http://schemas.openxmlformats.org/officeDocument/2006/relationships/hyperlink" Target="https://x.com/Michael_Spagat/status/1937516288860991768" TargetMode="External"/><Relationship Id="rId1" Type="http://schemas.openxmlformats.org/officeDocument/2006/relationships/hyperlink" Target="https://www.undp.org/press-releases/new-un-report-impacts-war-have-set-back-development-gaza-much-69-years" TargetMode="External"/><Relationship Id="rId233" Type="http://schemas.openxmlformats.org/officeDocument/2006/relationships/hyperlink" Target="https://twitter.com/ytirawi/status/1790031034408394798" TargetMode="External"/><Relationship Id="rId440" Type="http://schemas.openxmlformats.org/officeDocument/2006/relationships/hyperlink" Target="https://www.idi.org.il/articles/55472" TargetMode="External"/><Relationship Id="rId678" Type="http://schemas.openxmlformats.org/officeDocument/2006/relationships/hyperlink" Target="https://twitter.com/RamAbdu/status/1777339018453058024" TargetMode="External"/><Relationship Id="rId843" Type="http://schemas.openxmlformats.org/officeDocument/2006/relationships/hyperlink" Target="https://x.com/sahatenglish/status/1907346090862551438" TargetMode="External"/><Relationship Id="rId885" Type="http://schemas.openxmlformats.org/officeDocument/2006/relationships/hyperlink" Target="https://x.com/translatingpal/status/1908832531967082846" TargetMode="External"/><Relationship Id="rId28" Type="http://schemas.openxmlformats.org/officeDocument/2006/relationships/hyperlink" Target="https://www.haaretz.co.il/gallery/media/2024-08-19/ty-article/.premium/00000191-69da-d12a-a3b5-7dff33f80000" TargetMode="External"/><Relationship Id="rId275" Type="http://schemas.openxmlformats.org/officeDocument/2006/relationships/hyperlink" Target="https://x.com/RamAbdu/status/1766132416899420637" TargetMode="External"/><Relationship Id="rId300" Type="http://schemas.openxmlformats.org/officeDocument/2006/relationships/hyperlink" Target="https://twitter.com/ytirawi/status/1749593678861984045" TargetMode="External"/><Relationship Id="rId482" Type="http://schemas.openxmlformats.org/officeDocument/2006/relationships/hyperlink" Target="https://apnews.com/article/israel-palestinians-hamas-war-casualties-toll-65e18f3362674245356c539e4bc0b67a" TargetMode="External"/><Relationship Id="rId538" Type="http://schemas.openxmlformats.org/officeDocument/2006/relationships/hyperlink" Target="https://www.washingtonpost.com/nation/2024/05/16/business-leaders-chat-group-eric-adams-columbia-protesters/" TargetMode="External"/><Relationship Id="rId703" Type="http://schemas.openxmlformats.org/officeDocument/2006/relationships/hyperlink" Target="https://x.com/abierkhatib/status/1807631823331041619" TargetMode="External"/><Relationship Id="rId745" Type="http://schemas.openxmlformats.org/officeDocument/2006/relationships/hyperlink" Target="https://x.com/DropSiteNews/status/1937910424336216254" TargetMode="External"/><Relationship Id="rId910" Type="http://schemas.openxmlformats.org/officeDocument/2006/relationships/hyperlink" Target="https://x.com/ytirawi/status/1907791959206355078" TargetMode="External"/><Relationship Id="rId81" Type="http://schemas.openxmlformats.org/officeDocument/2006/relationships/hyperlink" Target="https://x.com/AbujomaaGaza/status/1846483876014703073" TargetMode="External"/><Relationship Id="rId135" Type="http://schemas.openxmlformats.org/officeDocument/2006/relationships/hyperlink" Target="https://twitter.com/Aboujahjah/status/1769867124103598146" TargetMode="External"/><Relationship Id="rId177" Type="http://schemas.openxmlformats.org/officeDocument/2006/relationships/hyperlink" Target="https://x.com/ytirawi/status/1796239229779062919" TargetMode="External"/><Relationship Id="rId342" Type="http://schemas.openxmlformats.org/officeDocument/2006/relationships/hyperlink" Target="https://twitter.com/ytirawi/status/1763708246227865971" TargetMode="External"/><Relationship Id="rId384" Type="http://schemas.openxmlformats.org/officeDocument/2006/relationships/hyperlink" Target="https://twitter.com/VerminusM/status/1774080556701245486" TargetMode="External"/><Relationship Id="rId591" Type="http://schemas.openxmlformats.org/officeDocument/2006/relationships/hyperlink" Target="https://twitter.com/arixegal/status/1759978751524212926" TargetMode="External"/><Relationship Id="rId605" Type="http://schemas.openxmlformats.org/officeDocument/2006/relationships/hyperlink" Target="https://twitter.com/ireallyhateyou/status/1754091912040968444" TargetMode="External"/><Relationship Id="rId787" Type="http://schemas.openxmlformats.org/officeDocument/2006/relationships/hyperlink" Target="https://x.com/History__Speaks/status/1940821175296577632" TargetMode="External"/><Relationship Id="rId812" Type="http://schemas.openxmlformats.org/officeDocument/2006/relationships/hyperlink" Target="https://x.com/MosabAbuToha/status/1906511122716361070" TargetMode="External"/><Relationship Id="rId202" Type="http://schemas.openxmlformats.org/officeDocument/2006/relationships/hyperlink" Target="https://x.com/HossamShabat/status/1848810576828305645" TargetMode="External"/><Relationship Id="rId244" Type="http://schemas.openxmlformats.org/officeDocument/2006/relationships/hyperlink" Target="https://x.com/ytirawi/status/1794826941209702699" TargetMode="External"/><Relationship Id="rId647" Type="http://schemas.openxmlformats.org/officeDocument/2006/relationships/hyperlink" Target="https://twitter.com/ytirawi/status/1781397024417448055" TargetMode="External"/><Relationship Id="rId689" Type="http://schemas.openxmlformats.org/officeDocument/2006/relationships/hyperlink" Target="https://x.com/Facts_For_Peace/status/1801653974648410448" TargetMode="External"/><Relationship Id="rId854" Type="http://schemas.openxmlformats.org/officeDocument/2006/relationships/hyperlink" Target="https://x.com/SharonNadeem/status/1934766863504036074" TargetMode="External"/><Relationship Id="rId896" Type="http://schemas.openxmlformats.org/officeDocument/2006/relationships/hyperlink" Target="https://x.com/warfareanalysis/status/1909080959204327684" TargetMode="External"/><Relationship Id="rId39" Type="http://schemas.openxmlformats.org/officeDocument/2006/relationships/hyperlink" Target="https://www.theatlantic.com/international/archive/2024/09/israel-gaza-war-biden-netanyahu-peace-negotiations/679581/" TargetMode="External"/><Relationship Id="rId286" Type="http://schemas.openxmlformats.org/officeDocument/2006/relationships/hyperlink" Target="https://twitter.com/ytirawi/status/1761039679212671105" TargetMode="External"/><Relationship Id="rId451" Type="http://schemas.openxmlformats.org/officeDocument/2006/relationships/hyperlink" Target="https://www.instagram.com/landpalestine/p/C4qQ6pltu5N/?img_index=1" TargetMode="External"/><Relationship Id="rId493" Type="http://schemas.openxmlformats.org/officeDocument/2006/relationships/hyperlink" Target="https://www.cbc.ca/news/canada/toronto/canadian-aid-truck-bombed-water-gaza-1.7179849" TargetMode="External"/><Relationship Id="rId507" Type="http://schemas.openxmlformats.org/officeDocument/2006/relationships/hyperlink" Target="https://www.middleeasteye.net/news/war-gaza-egypt-building-buffer-zone-palestinian-refugees" TargetMode="External"/><Relationship Id="rId549" Type="http://schemas.openxmlformats.org/officeDocument/2006/relationships/hyperlink" Target="https://www.hrw.org/news/2024/04/04/gaza-israeli-strike-killing-106-civilians-apparent-war-crime" TargetMode="External"/><Relationship Id="rId714" Type="http://schemas.openxmlformats.org/officeDocument/2006/relationships/hyperlink" Target="https://x.com/AbujomaaGaza/status/1909309418270847264" TargetMode="External"/><Relationship Id="rId756" Type="http://schemas.openxmlformats.org/officeDocument/2006/relationships/hyperlink" Target="https://x.com/gazanotice/status/1901980913392668913" TargetMode="External"/><Relationship Id="rId50" Type="http://schemas.openxmlformats.org/officeDocument/2006/relationships/hyperlink" Target="https://x.com/IamIbrahim21/status/1797521016702550496" TargetMode="External"/><Relationship Id="rId104" Type="http://schemas.openxmlformats.org/officeDocument/2006/relationships/hyperlink" Target="https://x.com/ofercass/status/1799425838397395195" TargetMode="External"/><Relationship Id="rId146" Type="http://schemas.openxmlformats.org/officeDocument/2006/relationships/hyperlink" Target="https://twitter.com/ytirawi/status/1744296383174025397" TargetMode="External"/><Relationship Id="rId188" Type="http://schemas.openxmlformats.org/officeDocument/2006/relationships/hyperlink" Target="https://twitter.com/ytirawi/status/1757163079207358570" TargetMode="External"/><Relationship Id="rId311" Type="http://schemas.openxmlformats.org/officeDocument/2006/relationships/hyperlink" Target="https://x.com/Dr_Muneer1/status/1863059825745109229" TargetMode="External"/><Relationship Id="rId353" Type="http://schemas.openxmlformats.org/officeDocument/2006/relationships/hyperlink" Target="https://twitter.com/ytirawi/status/1766178422361821416" TargetMode="External"/><Relationship Id="rId395" Type="http://schemas.openxmlformats.org/officeDocument/2006/relationships/hyperlink" Target="https://x.com/RamAbdu/status/1799849647059714303" TargetMode="External"/><Relationship Id="rId409" Type="http://schemas.openxmlformats.org/officeDocument/2006/relationships/hyperlink" Target="https://x.com/HossamShabat/status/1857838004619919468" TargetMode="External"/><Relationship Id="rId560" Type="http://schemas.openxmlformats.org/officeDocument/2006/relationships/hyperlink" Target="https://www.nytimes.com/live/2024/02/18/world/israel-hamas-war-gaza-news" TargetMode="External"/><Relationship Id="rId798" Type="http://schemas.openxmlformats.org/officeDocument/2006/relationships/hyperlink" Target="https://x.com/malonebarry/status/1932420982591169012" TargetMode="External"/><Relationship Id="rId92" Type="http://schemas.openxmlformats.org/officeDocument/2006/relationships/hyperlink" Target="https://twitter.com/RamAbdu/status/1785941575157067916" TargetMode="External"/><Relationship Id="rId213" Type="http://schemas.openxmlformats.org/officeDocument/2006/relationships/hyperlink" Target="https://x.com/TWennesland/status/1847950734534254989" TargetMode="External"/><Relationship Id="rId420" Type="http://schemas.openxmlformats.org/officeDocument/2006/relationships/hyperlink" Target="https://jppi.org.il/en/%D7%A1%D7%A7%D7%A8-%D7%97%D7%93%D7%A9-%D7%94%D7%99%D7%A9%D7%A8%D7%90%D7%9C%D7%99%D7%9D-%D7%95%D7%94%D7%9E%D7%9E%D7%A9%D7%9C-%D7%94%D7%90%D7%9E%D7%A8%D7%99%D7%A7%D7%90%D7%99-%D7%A2%D7%9C-%D7%9E%D7%A1" TargetMode="External"/><Relationship Id="rId616" Type="http://schemas.openxmlformats.org/officeDocument/2006/relationships/hyperlink" Target="https://twitter.com/ireallyhateyou/status/1760354792663142557" TargetMode="External"/><Relationship Id="rId658" Type="http://schemas.openxmlformats.org/officeDocument/2006/relationships/hyperlink" Target="https://twitter.com/muhammadshehad2/status/1763651267237216587" TargetMode="External"/><Relationship Id="rId823" Type="http://schemas.openxmlformats.org/officeDocument/2006/relationships/hyperlink" Target="https://x.com/MosabAbuToha/status/1929536902291451974" TargetMode="External"/><Relationship Id="rId865" Type="http://schemas.openxmlformats.org/officeDocument/2006/relationships/hyperlink" Target="https://x.com/translatingpal/status/1858200164223132103" TargetMode="External"/><Relationship Id="rId255" Type="http://schemas.openxmlformats.org/officeDocument/2006/relationships/hyperlink" Target="https://x.com/Isaac_Herzog/status/1859578515487592658" TargetMode="External"/><Relationship Id="rId297" Type="http://schemas.openxmlformats.org/officeDocument/2006/relationships/hyperlink" Target="https://twitter.com/ytirawi/status/1746696846817325288" TargetMode="External"/><Relationship Id="rId462" Type="http://schemas.openxmlformats.org/officeDocument/2006/relationships/hyperlink" Target="https://www.nytimes.com/2024/01/11/health/gaza-israel-hunger-starvation.html" TargetMode="External"/><Relationship Id="rId518" Type="http://schemas.openxmlformats.org/officeDocument/2006/relationships/hyperlink" Target="https://www.hidabroot.org/article/1187840" TargetMode="External"/><Relationship Id="rId725" Type="http://schemas.openxmlformats.org/officeDocument/2006/relationships/hyperlink" Target="https://x.com/dn_osama_rabee/status/1898094893399986638" TargetMode="External"/><Relationship Id="rId115" Type="http://schemas.openxmlformats.org/officeDocument/2006/relationships/hyperlink" Target="https://x.com/marcowenjones/status/1790086787764715922" TargetMode="External"/><Relationship Id="rId157" Type="http://schemas.openxmlformats.org/officeDocument/2006/relationships/hyperlink" Target="https://twitter.com/ytirawi/status/1750782757326795020" TargetMode="External"/><Relationship Id="rId322" Type="http://schemas.openxmlformats.org/officeDocument/2006/relationships/hyperlink" Target="https://twitter.com/ytirawi/status/1761363322182516924" TargetMode="External"/><Relationship Id="rId364" Type="http://schemas.openxmlformats.org/officeDocument/2006/relationships/hyperlink" Target="https://twitter.com/RamAbdu/status/1771125186370101561" TargetMode="External"/><Relationship Id="rId767" Type="http://schemas.openxmlformats.org/officeDocument/2006/relationships/hyperlink" Target="https://x.com/gazanotice/status/1907372770956095497" TargetMode="External"/><Relationship Id="rId61" Type="http://schemas.openxmlformats.org/officeDocument/2006/relationships/hyperlink" Target="https://twitter.com/Uvda_tweet/status/1778496650798833931" TargetMode="External"/><Relationship Id="rId199" Type="http://schemas.openxmlformats.org/officeDocument/2006/relationships/hyperlink" Target="https://x.com/DropSiteNews/status/1857291886014206402" TargetMode="External"/><Relationship Id="rId571" Type="http://schemas.openxmlformats.org/officeDocument/2006/relationships/hyperlink" Target="https://x.com/muhammadshehad2/status/1798345071722684760" TargetMode="External"/><Relationship Id="rId627" Type="http://schemas.openxmlformats.org/officeDocument/2006/relationships/hyperlink" Target="https://twitter.com/ireallyhateyou/status/1773452109532323868" TargetMode="External"/><Relationship Id="rId669" Type="http://schemas.openxmlformats.org/officeDocument/2006/relationships/hyperlink" Target="https://twitter.com/EuroMedHR/status/1777652447474749720" TargetMode="External"/><Relationship Id="rId834" Type="http://schemas.openxmlformats.org/officeDocument/2006/relationships/hyperlink" Target="https://x.com/NourNaim88/status/1851214238846497280" TargetMode="External"/><Relationship Id="rId876" Type="http://schemas.openxmlformats.org/officeDocument/2006/relationships/hyperlink" Target="https://x.com/translatingpal/status/1901934013306007837" TargetMode="External"/><Relationship Id="rId19" Type="http://schemas.openxmlformats.org/officeDocument/2006/relationships/hyperlink" Target="https://www.haaretz.co.il/news/magazine/2024-06-28/ty-article-magazine/.premium/00000190-5aa7-de5e-abd0-fbf704260000" TargetMode="External"/><Relationship Id="rId224" Type="http://schemas.openxmlformats.org/officeDocument/2006/relationships/hyperlink" Target="https://x.com/ytirawi/status/1798685435356393524" TargetMode="External"/><Relationship Id="rId266" Type="http://schemas.openxmlformats.org/officeDocument/2006/relationships/hyperlink" Target="https://x.com/ireallyhateyou/status/1798525376462725150" TargetMode="External"/><Relationship Id="rId431" Type="http://schemas.openxmlformats.org/officeDocument/2006/relationships/hyperlink" Target="https://zeteo.com/p/gaza-israel-genocide-poll-ceasefire-us-voters" TargetMode="External"/><Relationship Id="rId473" Type="http://schemas.openxmlformats.org/officeDocument/2006/relationships/hyperlink" Target="https://edition.cnn.com/2023/12/13/politics/intelligence-assessment-dumb-bombs-israel-gaza/index.html" TargetMode="External"/><Relationship Id="rId529" Type="http://schemas.openxmlformats.org/officeDocument/2006/relationships/hyperlink" Target="https://www.mako.co.il/news-education/2024_q2/Article-cd8e2891d687f81026.htm" TargetMode="External"/><Relationship Id="rId680" Type="http://schemas.openxmlformats.org/officeDocument/2006/relationships/hyperlink" Target="https://twitter.com/Reuters/status/1774936027360297304" TargetMode="External"/><Relationship Id="rId736" Type="http://schemas.openxmlformats.org/officeDocument/2006/relationships/hyperlink" Target="https://x.com/DropSiteNews/status/1915784202408071601" TargetMode="External"/><Relationship Id="rId901" Type="http://schemas.openxmlformats.org/officeDocument/2006/relationships/hyperlink" Target="https://x.com/ytirawi/status/1826673829110055347" TargetMode="External"/><Relationship Id="rId30" Type="http://schemas.openxmlformats.org/officeDocument/2006/relationships/hyperlink" Target="https://www.ynet.co.il/news/article/bkldluke1e" TargetMode="External"/><Relationship Id="rId126" Type="http://schemas.openxmlformats.org/officeDocument/2006/relationships/hyperlink" Target="https://twitter.com/OwenJones84/status/1760640827720638639" TargetMode="External"/><Relationship Id="rId168" Type="http://schemas.openxmlformats.org/officeDocument/2006/relationships/hyperlink" Target="https://x.com/AbuLocation/status/1858843252469772678" TargetMode="External"/><Relationship Id="rId333" Type="http://schemas.openxmlformats.org/officeDocument/2006/relationships/hyperlink" Target="https://x.com/ytirawi/status/1793032057649512671" TargetMode="External"/><Relationship Id="rId540" Type="http://schemas.openxmlformats.org/officeDocument/2006/relationships/hyperlink" Target="https://www.youtube.com/watch?v=FkXJwErm8DM" TargetMode="External"/><Relationship Id="rId778" Type="http://schemas.openxmlformats.org/officeDocument/2006/relationships/hyperlink" Target="https://x.com/gazanotice/status/1924928298460840393" TargetMode="External"/><Relationship Id="rId72" Type="http://schemas.openxmlformats.org/officeDocument/2006/relationships/hyperlink" Target="https://twitter.com/GLZRadio/status/1773260052683469178" TargetMode="External"/><Relationship Id="rId375" Type="http://schemas.openxmlformats.org/officeDocument/2006/relationships/hyperlink" Target="https://twitter.com/ytirawi/status/1745907053426565605" TargetMode="External"/><Relationship Id="rId582" Type="http://schemas.openxmlformats.org/officeDocument/2006/relationships/hyperlink" Target="https://twitter.com/ReneeLevant/status/1754269959927079245" TargetMode="External"/><Relationship Id="rId638" Type="http://schemas.openxmlformats.org/officeDocument/2006/relationships/hyperlink" Target="https://twitter.com/ireallyhateyou/status/1765200009580925182" TargetMode="External"/><Relationship Id="rId803" Type="http://schemas.openxmlformats.org/officeDocument/2006/relationships/hyperlink" Target="https://x.com/MiddleEastEye/status/1807772423862759760" TargetMode="External"/><Relationship Id="rId845" Type="http://schemas.openxmlformats.org/officeDocument/2006/relationships/hyperlink" Target="https://x.com/SaulStaniforth/status/1810964616437981549" TargetMode="External"/><Relationship Id="rId3" Type="http://schemas.openxmlformats.org/officeDocument/2006/relationships/hyperlink" Target="https://reliefweb.int/report/occupied-palestinian-territory/israels-assault-foundations-international-law-must-have-consequences-un-experts" TargetMode="External"/><Relationship Id="rId235" Type="http://schemas.openxmlformats.org/officeDocument/2006/relationships/hyperlink" Target="https://x.com/Ahmad_tibi/status/1801934557723419012" TargetMode="External"/><Relationship Id="rId277" Type="http://schemas.openxmlformats.org/officeDocument/2006/relationships/hyperlink" Target="https://x.com/SuppressedNws/status/1801193479470534674" TargetMode="External"/><Relationship Id="rId400" Type="http://schemas.openxmlformats.org/officeDocument/2006/relationships/hyperlink" Target="https://x.com/TomerPersico/status/1848610983670899017" TargetMode="External"/><Relationship Id="rId442" Type="http://schemas.openxmlformats.org/officeDocument/2006/relationships/hyperlink" Target="https://en.idi.org.il/articles/53666" TargetMode="External"/><Relationship Id="rId484" Type="http://schemas.openxmlformats.org/officeDocument/2006/relationships/hyperlink" Target="https://www.calcalist.co.il/local_news/article/rjytktkra" TargetMode="External"/><Relationship Id="rId705" Type="http://schemas.openxmlformats.org/officeDocument/2006/relationships/hyperlink" Target="https://x.com/Abu_Salah9/status/1852315700729143802" TargetMode="External"/><Relationship Id="rId887" Type="http://schemas.openxmlformats.org/officeDocument/2006/relationships/hyperlink" Target="https://x.com/translatingpal/status/1909304661724782716" TargetMode="External"/><Relationship Id="rId137" Type="http://schemas.openxmlformats.org/officeDocument/2006/relationships/hyperlink" Target="https://twitter.com/ireallyhateyou/status/1802060863731319253" TargetMode="External"/><Relationship Id="rId302" Type="http://schemas.openxmlformats.org/officeDocument/2006/relationships/hyperlink" Target="https://x.com/HindRFoundation/status/1858485122263093445" TargetMode="External"/><Relationship Id="rId344" Type="http://schemas.openxmlformats.org/officeDocument/2006/relationships/hyperlink" Target="https://twitter.com/ytirawi/status/1764384165724598533" TargetMode="External"/><Relationship Id="rId691" Type="http://schemas.openxmlformats.org/officeDocument/2006/relationships/hyperlink" Target="https://x.com/AbujomaaGaza/status/1862005651968254040" TargetMode="External"/><Relationship Id="rId747" Type="http://schemas.openxmlformats.org/officeDocument/2006/relationships/hyperlink" Target="https://x.com/fnaim65/status/1919024317204934824" TargetMode="External"/><Relationship Id="rId789" Type="http://schemas.openxmlformats.org/officeDocument/2006/relationships/hyperlink" Target="https://x.com/HossamShabat/status/1877752224035606556" TargetMode="External"/><Relationship Id="rId912" Type="http://schemas.openxmlformats.org/officeDocument/2006/relationships/hyperlink" Target="https://www.pewresearch.org/2024/03/21/emotions-news-and-knowledge-about-the-israel-hamas-war/" TargetMode="External"/><Relationship Id="rId41" Type="http://schemas.openxmlformats.org/officeDocument/2006/relationships/hyperlink" Target="https://www.dropsitenews.com/p/death-march-from-beit-lahia" TargetMode="External"/><Relationship Id="rId83" Type="http://schemas.openxmlformats.org/officeDocument/2006/relationships/hyperlink" Target="https://x.com/AbujomaaGaza/status/1853847622236418257" TargetMode="External"/><Relationship Id="rId179" Type="http://schemas.openxmlformats.org/officeDocument/2006/relationships/hyperlink" Target="https://x.com/ytirawi/status/1796840765189988723" TargetMode="External"/><Relationship Id="rId386" Type="http://schemas.openxmlformats.org/officeDocument/2006/relationships/hyperlink" Target="https://x.com/ytirawi/status/1801978091654279226" TargetMode="External"/><Relationship Id="rId551" Type="http://schemas.openxmlformats.org/officeDocument/2006/relationships/hyperlink" Target="https://www.theguardian.com/world/2024/nov/14/israel-accused-of-crimes-against-humanity-over-forced-displacement-in-gaza" TargetMode="External"/><Relationship Id="rId593" Type="http://schemas.openxmlformats.org/officeDocument/2006/relationships/hyperlink" Target="https://twitter.com/bokeralmog/status/1782777513678196933" TargetMode="External"/><Relationship Id="rId607" Type="http://schemas.openxmlformats.org/officeDocument/2006/relationships/hyperlink" Target="https://twitter.com/ireallyhateyou/status/1755973157515669708" TargetMode="External"/><Relationship Id="rId649" Type="http://schemas.openxmlformats.org/officeDocument/2006/relationships/hyperlink" Target="https://twitter.com/ytirawi/status/1782135295204262065" TargetMode="External"/><Relationship Id="rId814" Type="http://schemas.openxmlformats.org/officeDocument/2006/relationships/hyperlink" Target="https://x.com/MosabAbuToha/status/1909309335265853455" TargetMode="External"/><Relationship Id="rId856" Type="http://schemas.openxmlformats.org/officeDocument/2006/relationships/hyperlink" Target="https://x.com/SMohyeddin/status/1904159553878462936" TargetMode="External"/><Relationship Id="rId190" Type="http://schemas.openxmlformats.org/officeDocument/2006/relationships/hyperlink" Target="https://x.com/Dr_Muneer1/status/1860616353297690877" TargetMode="External"/><Relationship Id="rId204" Type="http://schemas.openxmlformats.org/officeDocument/2006/relationships/hyperlink" Target="https://x.com/HossamShabat/status/1849682158387974236" TargetMode="External"/><Relationship Id="rId246" Type="http://schemas.openxmlformats.org/officeDocument/2006/relationships/hyperlink" Target="https://x.com/ytirawi/status/1795048143261724958" TargetMode="External"/><Relationship Id="rId288" Type="http://schemas.openxmlformats.org/officeDocument/2006/relationships/hyperlink" Target="https://twitter.com/ytirawi/status/1791167455731048886" TargetMode="External"/><Relationship Id="rId411" Type="http://schemas.openxmlformats.org/officeDocument/2006/relationships/hyperlink" Target="https://x.com/HossamShabat/status/1859676703938970109" TargetMode="External"/><Relationship Id="rId453" Type="http://schemas.openxmlformats.org/officeDocument/2006/relationships/hyperlink" Target="http://palestine.beehiiv.com/" TargetMode="External"/><Relationship Id="rId509" Type="http://schemas.openxmlformats.org/officeDocument/2006/relationships/hyperlink" Target="https://euromedmonitor.org/en/article/6200/In-press-conference" TargetMode="External"/><Relationship Id="rId660" Type="http://schemas.openxmlformats.org/officeDocument/2006/relationships/hyperlink" Target="https://twitter.com/ytirawi/status/1770919159800402148" TargetMode="External"/><Relationship Id="rId898" Type="http://schemas.openxmlformats.org/officeDocument/2006/relationships/hyperlink" Target="https://x.com/xIsraelExposedx/status/1907458237835747511" TargetMode="External"/><Relationship Id="rId106" Type="http://schemas.openxmlformats.org/officeDocument/2006/relationships/hyperlink" Target="https://twitter.com/Hanine09/status/1769258663837827582" TargetMode="External"/><Relationship Id="rId313" Type="http://schemas.openxmlformats.org/officeDocument/2006/relationships/hyperlink" Target="https://x.com/DropSiteNews/status/1851832529411588266" TargetMode="External"/><Relationship Id="rId495" Type="http://schemas.openxmlformats.org/officeDocument/2006/relationships/hyperlink" Target="http://care.org/" TargetMode="External"/><Relationship Id="rId716" Type="http://schemas.openxmlformats.org/officeDocument/2006/relationships/hyperlink" Target="https://x.com/Archivepaletc/status/1904562190008431090" TargetMode="External"/><Relationship Id="rId758" Type="http://schemas.openxmlformats.org/officeDocument/2006/relationships/hyperlink" Target="https://x.com/gazanotice/status/1902562684983238924" TargetMode="External"/><Relationship Id="rId10" Type="http://schemas.openxmlformats.org/officeDocument/2006/relationships/hyperlink" Target="https://www.theguardian.com/world/article/2024/jul/19/israel-gaza-war-polio-sewage-samples" TargetMode="External"/><Relationship Id="rId52" Type="http://schemas.openxmlformats.org/officeDocument/2006/relationships/hyperlink" Target="https://x.com/KhaledYousry22/status/1798729352412319874" TargetMode="External"/><Relationship Id="rId94" Type="http://schemas.openxmlformats.org/officeDocument/2006/relationships/hyperlink" Target="https://twitter.com/ireallyhateyou/status/1780222143445205191" TargetMode="External"/><Relationship Id="rId148" Type="http://schemas.openxmlformats.org/officeDocument/2006/relationships/hyperlink" Target="https://twitter.com/ytirawi/status/1745973511301026092" TargetMode="External"/><Relationship Id="rId355" Type="http://schemas.openxmlformats.org/officeDocument/2006/relationships/hyperlink" Target="https://x.com/ytirawi/status/1801740747453940209" TargetMode="External"/><Relationship Id="rId397" Type="http://schemas.openxmlformats.org/officeDocument/2006/relationships/hyperlink" Target="https://x.com/ytirawi/status/1802436588246286588" TargetMode="External"/><Relationship Id="rId520" Type="http://schemas.openxmlformats.org/officeDocument/2006/relationships/hyperlink" Target="https://www.npr.org/2024/02/29/1234159514/gaza-death-toll-30000-palestinians-israel-hamas-war" TargetMode="External"/><Relationship Id="rId562" Type="http://schemas.openxmlformats.org/officeDocument/2006/relationships/hyperlink" Target="https://www.ochaopt.org/content/hostilities-gaza-strip-and-israel-reported-impact-day-125" TargetMode="External"/><Relationship Id="rId618" Type="http://schemas.openxmlformats.org/officeDocument/2006/relationships/hyperlink" Target="https://twitter.com/ireallyhateyou/status/1761849659671085212" TargetMode="External"/><Relationship Id="rId825" Type="http://schemas.openxmlformats.org/officeDocument/2006/relationships/hyperlink" Target="https://x.com/muhammadshehad2/status/1818743874195476778" TargetMode="External"/><Relationship Id="rId215" Type="http://schemas.openxmlformats.org/officeDocument/2006/relationships/hyperlink" Target="https://x.com/uriweltmann/status/1861479880975634685" TargetMode="External"/><Relationship Id="rId257" Type="http://schemas.openxmlformats.org/officeDocument/2006/relationships/hyperlink" Target="https://x.com/UNGeneva/status/1847322016975552784" TargetMode="External"/><Relationship Id="rId422" Type="http://schemas.openxmlformats.org/officeDocument/2006/relationships/hyperlink" Target="https://www.idi.org.il/articles/57041" TargetMode="External"/><Relationship Id="rId464" Type="http://schemas.openxmlformats.org/officeDocument/2006/relationships/hyperlink" Target="https://www.mako.co.il/news-politics/2023_q4/Article-9f47fed9563eb81027.htm" TargetMode="External"/><Relationship Id="rId867" Type="http://schemas.openxmlformats.org/officeDocument/2006/relationships/hyperlink" Target="https://x.com/translatingpal/status/1862885853271355842" TargetMode="External"/><Relationship Id="rId299" Type="http://schemas.openxmlformats.org/officeDocument/2006/relationships/hyperlink" Target="https://twitter.com/ytirawi/status/1748137507319939548" TargetMode="External"/><Relationship Id="rId727" Type="http://schemas.openxmlformats.org/officeDocument/2006/relationships/hyperlink" Target="https://x.com/dn_osama_rabee/status/1907625520671375432" TargetMode="External"/><Relationship Id="rId63" Type="http://schemas.openxmlformats.org/officeDocument/2006/relationships/hyperlink" Target="https://x.com/ireallyhateyou/status/1802435990251848148" TargetMode="External"/><Relationship Id="rId159" Type="http://schemas.openxmlformats.org/officeDocument/2006/relationships/hyperlink" Target="https://twitter.com/ytirawi/status/1752258519900766489" TargetMode="External"/><Relationship Id="rId366" Type="http://schemas.openxmlformats.org/officeDocument/2006/relationships/hyperlink" Target="https://twitter.com/RamAbdu/status/1786005107986841626" TargetMode="External"/><Relationship Id="rId573" Type="http://schemas.openxmlformats.org/officeDocument/2006/relationships/hyperlink" Target="https://x.com/NourNaim88/status/1796267564953149612" TargetMode="External"/><Relationship Id="rId780" Type="http://schemas.openxmlformats.org/officeDocument/2006/relationships/hyperlink" Target="https://x.com/gazanotice/status/1928753436834648396" TargetMode="External"/><Relationship Id="rId226" Type="http://schemas.openxmlformats.org/officeDocument/2006/relationships/hyperlink" Target="https://x.com/ytirawi/status/1798998289456799978" TargetMode="External"/><Relationship Id="rId433" Type="http://schemas.openxmlformats.org/officeDocument/2006/relationships/hyperlink" Target="https://www.idi.org.il/articles/52071" TargetMode="External"/><Relationship Id="rId878" Type="http://schemas.openxmlformats.org/officeDocument/2006/relationships/hyperlink" Target="https://x.com/translatingpal/status/1902364849276891514" TargetMode="External"/><Relationship Id="rId640" Type="http://schemas.openxmlformats.org/officeDocument/2006/relationships/hyperlink" Target="https://twitter.com/ofercass/status/1785416217152344434" TargetMode="External"/><Relationship Id="rId738" Type="http://schemas.openxmlformats.org/officeDocument/2006/relationships/hyperlink" Target="https://x.com/DropSiteNews/status/1924249781783904554" TargetMode="External"/><Relationship Id="rId74" Type="http://schemas.openxmlformats.org/officeDocument/2006/relationships/hyperlink" Target="https://twitter.com/LensVeritatis/status/1774998396501373207" TargetMode="External"/><Relationship Id="rId377" Type="http://schemas.openxmlformats.org/officeDocument/2006/relationships/hyperlink" Target="https://twitter.com/ytirawi/status/1753547113638604865" TargetMode="External"/><Relationship Id="rId500" Type="http://schemas.openxmlformats.org/officeDocument/2006/relationships/hyperlink" Target="https://www.foxbusiness.com/lifestyle/columbias-billionaire-donors-mull-giving-anti-israel-protests" TargetMode="External"/><Relationship Id="rId584" Type="http://schemas.openxmlformats.org/officeDocument/2006/relationships/hyperlink" Target="https://twitter.com/UNLazzarini/status/1788643951945150790" TargetMode="External"/><Relationship Id="rId805" Type="http://schemas.openxmlformats.org/officeDocument/2006/relationships/hyperlink" Target="https://x.com/MiddleEastEye/status/1888603329317749108" TargetMode="External"/><Relationship Id="rId5" Type="http://schemas.openxmlformats.org/officeDocument/2006/relationships/hyperlink" Target="https://www.mekomit.co.il/%d7%9c%d7%94%d7%a8%d7%95%d7%a1-%d7%90%d7%aa-%d7%94%d7%a9%d7%9c%d7%99%d7%97-%d7%9b%d7%9a-%d7%94%d7%97%d7%a8%d7%99%d7%91%d7%94-%d7%99%d7%a9%d7%a8%d7%90%d7%9c-%d7%90%d7%aa-%d7%9e%d7%aa%d7%a7%d7%a0%d7%99/" TargetMode="External"/><Relationship Id="rId237" Type="http://schemas.openxmlformats.org/officeDocument/2006/relationships/hyperlink" Target="https://x.com/KhaledYousry22/status/1793359108147728835" TargetMode="External"/><Relationship Id="rId791" Type="http://schemas.openxmlformats.org/officeDocument/2006/relationships/hyperlink" Target="https://x.com/IDFkillsPress/status/1924176098654593195" TargetMode="External"/><Relationship Id="rId889" Type="http://schemas.openxmlformats.org/officeDocument/2006/relationships/hyperlink" Target="https://x.com/translatingpal/status/1915708819071545444" TargetMode="External"/><Relationship Id="rId444" Type="http://schemas.openxmlformats.org/officeDocument/2006/relationships/hyperlink" Target="https://www.ynet.co.il/news/article/bkojsnksa" TargetMode="External"/><Relationship Id="rId651" Type="http://schemas.openxmlformats.org/officeDocument/2006/relationships/hyperlink" Target="https://twitter.com/ytirawi/status/1787112612880105776" TargetMode="External"/><Relationship Id="rId749" Type="http://schemas.openxmlformats.org/officeDocument/2006/relationships/hyperlink" Target="https://x.com/gazanotice/status/1900167674023600609" TargetMode="External"/><Relationship Id="rId290" Type="http://schemas.openxmlformats.org/officeDocument/2006/relationships/hyperlink" Target="https://x.com/IsraelGaley/status/1799689832257749110" TargetMode="External"/><Relationship Id="rId304" Type="http://schemas.openxmlformats.org/officeDocument/2006/relationships/hyperlink" Target="https://x.com/AbuLocation/status/1853130631250669814" TargetMode="External"/><Relationship Id="rId388" Type="http://schemas.openxmlformats.org/officeDocument/2006/relationships/hyperlink" Target="https://x.com/z_00pIz/status/1791336664666603703" TargetMode="External"/><Relationship Id="rId511" Type="http://schemas.openxmlformats.org/officeDocument/2006/relationships/hyperlink" Target="https://euromedmonitor.org/en/article/6058/Euro-Med-Monitor-sends-UN-rapporteurs" TargetMode="External"/><Relationship Id="rId609" Type="http://schemas.openxmlformats.org/officeDocument/2006/relationships/hyperlink" Target="https://twitter.com/ireallyhateyou/status/1756652152607457781" TargetMode="External"/><Relationship Id="rId85" Type="http://schemas.openxmlformats.org/officeDocument/2006/relationships/hyperlink" Target="https://x.com/AbujomaaGaza/status/1855212378335391870" TargetMode="External"/><Relationship Id="rId150" Type="http://schemas.openxmlformats.org/officeDocument/2006/relationships/hyperlink" Target="https://twitter.com/ytirawi/status/1746685595366125951" TargetMode="External"/><Relationship Id="rId595" Type="http://schemas.openxmlformats.org/officeDocument/2006/relationships/hyperlink" Target="https://twitter.com/freyisrael1/status/1769996721591877793" TargetMode="External"/><Relationship Id="rId816" Type="http://schemas.openxmlformats.org/officeDocument/2006/relationships/hyperlink" Target="https://x.com/MosabAbuToha/status/1911426140675207542" TargetMode="External"/><Relationship Id="rId248" Type="http://schemas.openxmlformats.org/officeDocument/2006/relationships/hyperlink" Target="https://x.com/ytirawi/status/1795152167457751511" TargetMode="External"/><Relationship Id="rId455" Type="http://schemas.openxmlformats.org/officeDocument/2006/relationships/hyperlink" Target="https://www.idi.org.il/articles/56112" TargetMode="External"/><Relationship Id="rId662" Type="http://schemas.openxmlformats.org/officeDocument/2006/relationships/hyperlink" Target="https://twitter.com/RobbieGramer/status/1711366571665342603" TargetMode="External"/><Relationship Id="rId12" Type="http://schemas.openxmlformats.org/officeDocument/2006/relationships/hyperlink" Target="https://www.globaltimes.cn/page/202411/1322528.shtml" TargetMode="External"/><Relationship Id="rId108" Type="http://schemas.openxmlformats.org/officeDocument/2006/relationships/hyperlink" Target="https://twitter.com/KhaledYousry22/status/1771197890829898017" TargetMode="External"/><Relationship Id="rId315" Type="http://schemas.openxmlformats.org/officeDocument/2006/relationships/hyperlink" Target="https://x.com/DropSiteNews/status/1859716133093507365" TargetMode="External"/><Relationship Id="rId522" Type="http://schemas.openxmlformats.org/officeDocument/2006/relationships/hyperlink" Target="https://www.theguardian.com/world/2024/feb/10/im-so-scared-please-come-hind-rajab-six-found-dead-in-gaza-12-days-after-cry-for-help" TargetMode="External"/><Relationship Id="rId96" Type="http://schemas.openxmlformats.org/officeDocument/2006/relationships/hyperlink" Target="https://twitter.com/tparsi/status/1774872023098888465" TargetMode="External"/><Relationship Id="rId161" Type="http://schemas.openxmlformats.org/officeDocument/2006/relationships/hyperlink" Target="https://twitter.com/ytirawi/status/1753422534555427299" TargetMode="External"/><Relationship Id="rId399" Type="http://schemas.openxmlformats.org/officeDocument/2006/relationships/hyperlink" Target="https://x.com/Timesofgaza/status/1849531836092842341" TargetMode="External"/><Relationship Id="rId827" Type="http://schemas.openxmlformats.org/officeDocument/2006/relationships/hyperlink" Target="https://x.com/muhammdshehad2/status/1763641880934302087" TargetMode="External"/><Relationship Id="rId259" Type="http://schemas.openxmlformats.org/officeDocument/2006/relationships/hyperlink" Target="https://x.com/jeremyscahill/status/1841486527693459872" TargetMode="External"/><Relationship Id="rId466" Type="http://schemas.openxmlformats.org/officeDocument/2006/relationships/hyperlink" Target="https://twitter.com/KhalilAsslan/status/1753364384800252200" TargetMode="External"/><Relationship Id="rId673" Type="http://schemas.openxmlformats.org/officeDocument/2006/relationships/hyperlink" Target="https://twitter.com/RamAbdu/status/1771565663535960309" TargetMode="External"/><Relationship Id="rId880" Type="http://schemas.openxmlformats.org/officeDocument/2006/relationships/hyperlink" Target="https://x.com/translatingpal/status/1903793352367071390" TargetMode="External"/><Relationship Id="rId23" Type="http://schemas.openxmlformats.org/officeDocument/2006/relationships/hyperlink" Target="https://www.haaretz.co.il/news/politics/2025-01-18/ty-article/00000194-784f-d739-a9b6-78ff31ab0000" TargetMode="External"/><Relationship Id="rId119" Type="http://schemas.openxmlformats.org/officeDocument/2006/relationships/hyperlink" Target="https://x.com/AbujomaaGaza/status/1854403068655292467" TargetMode="External"/><Relationship Id="rId326" Type="http://schemas.openxmlformats.org/officeDocument/2006/relationships/hyperlink" Target="https://x.com/ytirawi/status/1801344353375555936" TargetMode="External"/><Relationship Id="rId533" Type="http://schemas.openxmlformats.org/officeDocument/2006/relationships/hyperlink" Target="https://www.amnesty.org/en/documents/mde15/5141/2022/en/" TargetMode="External"/><Relationship Id="rId740" Type="http://schemas.openxmlformats.org/officeDocument/2006/relationships/hyperlink" Target="https://x.com/DropSiteNews/status/1925886350017823202" TargetMode="External"/><Relationship Id="rId838" Type="http://schemas.openxmlformats.org/officeDocument/2006/relationships/hyperlink" Target="https://x.com/orfialkov/status/1914333112986665340" TargetMode="External"/><Relationship Id="rId172" Type="http://schemas.openxmlformats.org/officeDocument/2006/relationships/hyperlink" Target="https://www.mako.co.il/press_and_marketing-news_press/Article-fc827fb13af7191027.htm" TargetMode="External"/><Relationship Id="rId477" Type="http://schemas.openxmlformats.org/officeDocument/2006/relationships/hyperlink" Target="https://www.amnesty.org/en/latest/news/2024/10/israel-opt-one-year-on-from-7-october-need-to-ensure-a-ceasefire-and-release-of-hostages-more-pressing-than-ever/" TargetMode="External"/><Relationship Id="rId600" Type="http://schemas.openxmlformats.org/officeDocument/2006/relationships/hyperlink" Target="https://twitter.com/ireallyhateyou/status/1745063720080793681" TargetMode="External"/><Relationship Id="rId684" Type="http://schemas.openxmlformats.org/officeDocument/2006/relationships/hyperlink" Target="https://twitter.com/trhxianl/status/1771648909753864280" TargetMode="External"/><Relationship Id="rId337" Type="http://schemas.openxmlformats.org/officeDocument/2006/relationships/hyperlink" Target="https://twitter.com/ytirawi/status/1762207301920776365" TargetMode="External"/><Relationship Id="rId891" Type="http://schemas.openxmlformats.org/officeDocument/2006/relationships/hyperlink" Target="https://x.com/translatingpal/status/1922326879068991623" TargetMode="External"/><Relationship Id="rId905" Type="http://schemas.openxmlformats.org/officeDocument/2006/relationships/hyperlink" Target="https://x.com/ytirawi/status/1855246790011846947" TargetMode="External"/><Relationship Id="rId34" Type="http://schemas.openxmlformats.org/officeDocument/2006/relationships/hyperlink" Target="https://www.lemonde.fr/en/les-decodeurs/article/2024/10/13/why-the-gaza-health-ministry-s-death-count-is-considered-reliable_6729264_8.html" TargetMode="External"/><Relationship Id="rId544" Type="http://schemas.openxmlformats.org/officeDocument/2006/relationships/hyperlink" Target="https://www.democracynow.org/2024/1/17/gideon_levy_israel_gaza" TargetMode="External"/><Relationship Id="rId751" Type="http://schemas.openxmlformats.org/officeDocument/2006/relationships/hyperlink" Target="https://x.com/gazanotice/status/1901297556346253708" TargetMode="External"/><Relationship Id="rId849" Type="http://schemas.openxmlformats.org/officeDocument/2006/relationships/hyperlink" Target="https://x.com/SaulStaniforth/status/1922895821785252177" TargetMode="External"/><Relationship Id="rId183" Type="http://schemas.openxmlformats.org/officeDocument/2006/relationships/hyperlink" Target="https://x.com/HossamShabat/status/1857078038858531087" TargetMode="External"/><Relationship Id="rId390" Type="http://schemas.openxmlformats.org/officeDocument/2006/relationships/hyperlink" Target="https://twitter.com/ytirawi/status/1772925436231598415" TargetMode="External"/><Relationship Id="rId404" Type="http://schemas.openxmlformats.org/officeDocument/2006/relationships/hyperlink" Target="https://x.com/TomerPersico/status/1864346370406039591" TargetMode="External"/><Relationship Id="rId611" Type="http://schemas.openxmlformats.org/officeDocument/2006/relationships/hyperlink" Target="https://twitter.com/ireallyhateyou/status/1757157210356936804" TargetMode="External"/><Relationship Id="rId250" Type="http://schemas.openxmlformats.org/officeDocument/2006/relationships/hyperlink" Target="https://x.com/ytirawi/status/1796133135400210700" TargetMode="External"/><Relationship Id="rId488" Type="http://schemas.openxmlformats.org/officeDocument/2006/relationships/hyperlink" Target="https://www.cnn.com/2024/03/26/middleeast/palestinians-drown-gaza-aid-drop-intl/index.html" TargetMode="External"/><Relationship Id="rId695" Type="http://schemas.openxmlformats.org/officeDocument/2006/relationships/hyperlink" Target="https://x.com/NTarnopolsky/status/1848035782449074389" TargetMode="External"/><Relationship Id="rId709" Type="http://schemas.openxmlformats.org/officeDocument/2006/relationships/hyperlink" Target="https://x.com/AbujomaaGaza/status/1837828451664847271" TargetMode="External"/><Relationship Id="rId45" Type="http://schemas.openxmlformats.org/officeDocument/2006/relationships/hyperlink" Target="https://www.nytimes.com/2024/12/22/us/gaza-war-campuses-middle-ground.html?unlocked_article_code=1.jU4.Vrl4.tuL9laa9sjOB" TargetMode="External"/><Relationship Id="rId110" Type="http://schemas.openxmlformats.org/officeDocument/2006/relationships/hyperlink" Target="https://twitter.com/LensVeritatis/status/1774471148430111088" TargetMode="External"/><Relationship Id="rId348" Type="http://schemas.openxmlformats.org/officeDocument/2006/relationships/hyperlink" Target="https://twitter.com/ytirawi/status/1765035342032142672" TargetMode="External"/><Relationship Id="rId555" Type="http://schemas.openxmlformats.org/officeDocument/2006/relationships/hyperlink" Target="https://www.haaretz.co.il/news/politics/2024-03-11/ty-article/.premium/0000018e-2dbc-d468-a9ff-2fbdbafa0000" TargetMode="External"/><Relationship Id="rId762" Type="http://schemas.openxmlformats.org/officeDocument/2006/relationships/hyperlink" Target="https://x.com/gazanotice/status/1904152831193456865" TargetMode="External"/><Relationship Id="rId194" Type="http://schemas.openxmlformats.org/officeDocument/2006/relationships/hyperlink" Target="https://x.com/DropSiteNews/status/1850011191281652154" TargetMode="External"/><Relationship Id="rId208" Type="http://schemas.openxmlformats.org/officeDocument/2006/relationships/hyperlink" Target="https://x.com/HossamShabat/status/1854595897042083944" TargetMode="External"/><Relationship Id="rId415" Type="http://schemas.openxmlformats.org/officeDocument/2006/relationships/hyperlink" Target="https://twitter.com/EuroMedHR/status/1783855639006986260" TargetMode="External"/><Relationship Id="rId622" Type="http://schemas.openxmlformats.org/officeDocument/2006/relationships/hyperlink" Target="https://twitter.com/ireallyhateyou/status/1763682787054211217" TargetMode="External"/><Relationship Id="rId261" Type="http://schemas.openxmlformats.org/officeDocument/2006/relationships/hyperlink" Target="https://x.com/HossamShabat/status/1854550843686531440" TargetMode="External"/><Relationship Id="rId499" Type="http://schemas.openxmlformats.org/officeDocument/2006/relationships/hyperlink" Target="https://www.cnn.com/2024/04/22/business/columbia-tensions-passover-virtual-classes/index.html" TargetMode="External"/><Relationship Id="rId56" Type="http://schemas.openxmlformats.org/officeDocument/2006/relationships/hyperlink" Target="https://x.com/marcowenjones/status/1795063041513402446" TargetMode="External"/><Relationship Id="rId359" Type="http://schemas.openxmlformats.org/officeDocument/2006/relationships/hyperlink" Target="https://x.com/ytirawi/status/1801973888529678428" TargetMode="External"/><Relationship Id="rId566" Type="http://schemas.openxmlformats.org/officeDocument/2006/relationships/hyperlink" Target="https://www.jpost.com/israel-hamas-war/article-793420" TargetMode="External"/><Relationship Id="rId773" Type="http://schemas.openxmlformats.org/officeDocument/2006/relationships/hyperlink" Target="https://x.com/gazanotice/status/1912792654145859919" TargetMode="External"/><Relationship Id="rId121" Type="http://schemas.openxmlformats.org/officeDocument/2006/relationships/hyperlink" Target="https://twitter.com/justfp/status/1775613111711465554" TargetMode="External"/><Relationship Id="rId219" Type="http://schemas.openxmlformats.org/officeDocument/2006/relationships/hyperlink" Target="https://x.com/HossamShabat/status/1859034111714750788" TargetMode="External"/><Relationship Id="rId426" Type="http://schemas.openxmlformats.org/officeDocument/2006/relationships/hyperlink" Target="https://www.ynet.co.il/news/article/h1psjosnc" TargetMode="External"/><Relationship Id="rId633" Type="http://schemas.openxmlformats.org/officeDocument/2006/relationships/hyperlink" Target="https://twitter.com/YehudaShaul/status/1758122975386014057" TargetMode="External"/><Relationship Id="rId840" Type="http://schemas.openxmlformats.org/officeDocument/2006/relationships/hyperlink" Target="https://x.com/orfialkov/status/1922395827143618643" TargetMode="External"/><Relationship Id="rId67" Type="http://schemas.openxmlformats.org/officeDocument/2006/relationships/hyperlink" Target="https://twitter.com/kann_news/status/1770492431990956343" TargetMode="External"/><Relationship Id="rId272" Type="http://schemas.openxmlformats.org/officeDocument/2006/relationships/hyperlink" Target="https://x.com/KhaledYousry22/status/1800979476961984982" TargetMode="External"/><Relationship Id="rId577" Type="http://schemas.openxmlformats.org/officeDocument/2006/relationships/hyperlink" Target="https://x.com/UNReliefChief/status/1798118788576989489" TargetMode="External"/><Relationship Id="rId700" Type="http://schemas.openxmlformats.org/officeDocument/2006/relationships/hyperlink" Target="https://x.com/RotemShtarkman/status/1884346229452157055" TargetMode="External"/><Relationship Id="rId132" Type="http://schemas.openxmlformats.org/officeDocument/2006/relationships/hyperlink" Target="https://twitter.com/QudsNen/status/1786857586098155534" TargetMode="External"/><Relationship Id="rId784" Type="http://schemas.openxmlformats.org/officeDocument/2006/relationships/hyperlink" Target="https://x.com/Hamza_a96/status/1842133059312714049" TargetMode="External"/><Relationship Id="rId437" Type="http://schemas.openxmlformats.org/officeDocument/2006/relationships/hyperlink" Target="https://euromedmonitor.org/en/article/6259/New-Report:-Killing-starving-Palestinians" TargetMode="External"/><Relationship Id="rId644" Type="http://schemas.openxmlformats.org/officeDocument/2006/relationships/hyperlink" Target="https://twitter.com/ytirawi/status/1768010284860416327" TargetMode="External"/><Relationship Id="rId851" Type="http://schemas.openxmlformats.org/officeDocument/2006/relationships/hyperlink" Target="https://x.com/SaulStaniforth/status/1935216106236424312" TargetMode="External"/><Relationship Id="rId283" Type="http://schemas.openxmlformats.org/officeDocument/2006/relationships/hyperlink" Target="https://twitter.com/ytirawi/status/1760040514915553463" TargetMode="External"/><Relationship Id="rId490" Type="http://schemas.openxmlformats.org/officeDocument/2006/relationships/hyperlink" Target="https://www.bellingcat.com/news/2024/03/05/social-media-posts-show-off-blindfolded-and-bound-palestinian-detainees/" TargetMode="External"/><Relationship Id="rId504" Type="http://schemas.openxmlformats.org/officeDocument/2006/relationships/hyperlink" Target="https://www.haaretz.co.il/news/politics/2024-11-26/ty-article/.premium/00000193-64ec-d610-add3-7fecf8c50000" TargetMode="External"/><Relationship Id="rId711" Type="http://schemas.openxmlformats.org/officeDocument/2006/relationships/hyperlink" Target="https://x.com/AbujomaaGaza/status/1857717346263093555" TargetMode="External"/><Relationship Id="rId78" Type="http://schemas.openxmlformats.org/officeDocument/2006/relationships/hyperlink" Target="https://x.com/Morpheus1099/status/1799407973791645979" TargetMode="External"/><Relationship Id="rId143" Type="http://schemas.openxmlformats.org/officeDocument/2006/relationships/hyperlink" Target="https://twitter.com/ozleisraelaza/status/1780525230064058757" TargetMode="External"/><Relationship Id="rId350" Type="http://schemas.openxmlformats.org/officeDocument/2006/relationships/hyperlink" Target="https://twitter.com/ytirawi/status/1765392369531187549" TargetMode="External"/><Relationship Id="rId588" Type="http://schemas.openxmlformats.org/officeDocument/2006/relationships/hyperlink" Target="https://twitter.com/adinitay/status/1772903912867016869" TargetMode="External"/><Relationship Id="rId795" Type="http://schemas.openxmlformats.org/officeDocument/2006/relationships/hyperlink" Target="https://x.com/karam_naji1/status/1863199533196247467" TargetMode="External"/><Relationship Id="rId809" Type="http://schemas.openxmlformats.org/officeDocument/2006/relationships/hyperlink" Target="https://x.com/MosabAbuToha/status/1864371889180721230" TargetMode="External"/><Relationship Id="rId9" Type="http://schemas.openxmlformats.org/officeDocument/2006/relationships/hyperlink" Target="https://www.haaretz.co.il/news/politics/2024-10-30/ty-article-magazine/.premium/00000192-de9d-d7b5-af97-ff9d2d0d0000" TargetMode="External"/><Relationship Id="rId210" Type="http://schemas.openxmlformats.org/officeDocument/2006/relationships/hyperlink" Target="https://x.com/HossamShabat/status/1855751832796274885" TargetMode="External"/><Relationship Id="rId448" Type="http://schemas.openxmlformats.org/officeDocument/2006/relationships/hyperlink" Target="https://news.un.org/en/interview/2023/11/1143327" TargetMode="External"/><Relationship Id="rId655" Type="http://schemas.openxmlformats.org/officeDocument/2006/relationships/hyperlink" Target="https://x.com/Mistaclim/status/1794071598372172056" TargetMode="External"/><Relationship Id="rId862" Type="http://schemas.openxmlformats.org/officeDocument/2006/relationships/hyperlink" Target="https://x.com/Timesofgaza/status/1884171483691495756" TargetMode="External"/><Relationship Id="rId294" Type="http://schemas.openxmlformats.org/officeDocument/2006/relationships/hyperlink" Target="https://twitter.com/ofercass/status/1787791098095534223" TargetMode="External"/><Relationship Id="rId308" Type="http://schemas.openxmlformats.org/officeDocument/2006/relationships/hyperlink" Target="https://apnews.com/article/israel-palestinians-west-bank-jenin-raid-a3320a77a3a6ccff41db2a4bc63e4aa3" TargetMode="External"/><Relationship Id="rId515" Type="http://schemas.openxmlformats.org/officeDocument/2006/relationships/hyperlink" Target="https://www.ynet.co.il/news/article/h1takgiz1g" TargetMode="External"/><Relationship Id="rId722" Type="http://schemas.openxmlformats.org/officeDocument/2006/relationships/hyperlink" Target="https://x.com/cusamak/status/1902468720611750251" TargetMode="External"/><Relationship Id="rId89" Type="http://schemas.openxmlformats.org/officeDocument/2006/relationships/hyperlink" Target="https://twitter.com/RamAbdu/status/1780281723424547297" TargetMode="External"/><Relationship Id="rId154" Type="http://schemas.openxmlformats.org/officeDocument/2006/relationships/hyperlink" Target="https://twitter.com/ytirawi/status/1750197302579343870" TargetMode="External"/><Relationship Id="rId361" Type="http://schemas.openxmlformats.org/officeDocument/2006/relationships/hyperlink" Target="https://twitter.com/RamAbdu/status/1743386378606412188" TargetMode="External"/><Relationship Id="rId599" Type="http://schemas.openxmlformats.org/officeDocument/2006/relationships/hyperlink" Target="https://twitter.com/ireallyhateyou/status/1743296706576269446" TargetMode="External"/><Relationship Id="rId459" Type="http://schemas.openxmlformats.org/officeDocument/2006/relationships/hyperlink" Target="https://www.npr.org/2023/12/03/1216200754/gaza-heritage-sites-destroyed-israel" TargetMode="External"/><Relationship Id="rId666" Type="http://schemas.openxmlformats.org/officeDocument/2006/relationships/hyperlink" Target="https://x.com/Channel4News/status/1720452839435038986" TargetMode="External"/><Relationship Id="rId873" Type="http://schemas.openxmlformats.org/officeDocument/2006/relationships/hyperlink" Target="https://x.com/translatingpal/status/1874447253001138669" TargetMode="External"/><Relationship Id="rId16" Type="http://schemas.openxmlformats.org/officeDocument/2006/relationships/hyperlink" Target="https://www.themarker.com/news/education/2024-09-30/ty-article/00000192-41e6-d07b-aff3-57e6401a0000" TargetMode="External"/><Relationship Id="rId221" Type="http://schemas.openxmlformats.org/officeDocument/2006/relationships/hyperlink" Target="https://x.com/HossamShabat/status/1862168815045394848" TargetMode="External"/><Relationship Id="rId319" Type="http://schemas.openxmlformats.org/officeDocument/2006/relationships/hyperlink" Target="https://www.israelhayom.co.il/news/politics/article/16463062" TargetMode="External"/><Relationship Id="rId526" Type="http://schemas.openxmlformats.org/officeDocument/2006/relationships/hyperlink" Target="https://www.jpost.com/diaspora/article-804548" TargetMode="External"/><Relationship Id="rId733" Type="http://schemas.openxmlformats.org/officeDocument/2006/relationships/hyperlink" Target="https://x.com/DropSiteNews/status/1910045830309912584" TargetMode="External"/><Relationship Id="rId165" Type="http://schemas.openxmlformats.org/officeDocument/2006/relationships/hyperlink" Target="https://twitter.com/ytirawi/status/1755891061015064836" TargetMode="External"/><Relationship Id="rId372" Type="http://schemas.openxmlformats.org/officeDocument/2006/relationships/hyperlink" Target="https://twitter.com/ytirawi/status/1767698980127838474" TargetMode="External"/><Relationship Id="rId677" Type="http://schemas.openxmlformats.org/officeDocument/2006/relationships/hyperlink" Target="https://twitter.com/RamAbdu/status/1777321386991612112" TargetMode="External"/><Relationship Id="rId800" Type="http://schemas.openxmlformats.org/officeDocument/2006/relationships/hyperlink" Target="https://x.com/Michael_Spagat/status/1929243229980897709" TargetMode="External"/><Relationship Id="rId232" Type="http://schemas.openxmlformats.org/officeDocument/2006/relationships/hyperlink" Target="https://twitter.com/ytirawi/status/1789978344311648368" TargetMode="External"/><Relationship Id="rId884" Type="http://schemas.openxmlformats.org/officeDocument/2006/relationships/hyperlink" Target="https://x.com/translatingpal/status/1907927205318918252" TargetMode="External"/><Relationship Id="rId27" Type="http://schemas.openxmlformats.org/officeDocument/2006/relationships/hyperlink" Target="https://www.haaretz.co.il/news/politics/2025-01-19/ty-article/.premium/00000194-7d23-de1b-a9bd-7d67f9790000" TargetMode="External"/><Relationship Id="rId537" Type="http://schemas.openxmlformats.org/officeDocument/2006/relationships/hyperlink" Target="https://www.semafor.com/article/11/09/2023/billionaires-discuss-50-million-anti-hamas-media-blitz" TargetMode="External"/><Relationship Id="rId744" Type="http://schemas.openxmlformats.org/officeDocument/2006/relationships/hyperlink" Target="https://x.com/DropSiteNews/status/1930486077548068974" TargetMode="External"/><Relationship Id="rId80" Type="http://schemas.openxmlformats.org/officeDocument/2006/relationships/hyperlink" Target="https://x.com/AMokhallalati/status/1849082736402632878" TargetMode="External"/><Relationship Id="rId176" Type="http://schemas.openxmlformats.org/officeDocument/2006/relationships/hyperlink" Target="https://webtv.un.org/en/asset/k1x/k1xkc2nwph" TargetMode="External"/><Relationship Id="rId383" Type="http://schemas.openxmlformats.org/officeDocument/2006/relationships/hyperlink" Target="https://twitter.com/UNHumanRights/status/1742863747683668418" TargetMode="External"/><Relationship Id="rId590" Type="http://schemas.openxmlformats.org/officeDocument/2006/relationships/hyperlink" Target="https://twitter.com/angeloinchina/status/1759769783409738006" TargetMode="External"/><Relationship Id="rId604" Type="http://schemas.openxmlformats.org/officeDocument/2006/relationships/hyperlink" Target="https://twitter.com/ireallyhateyou/status/1752433175320478060" TargetMode="External"/><Relationship Id="rId811" Type="http://schemas.openxmlformats.org/officeDocument/2006/relationships/hyperlink" Target="https://x.com/MosabAbuToha/status/1902190942540480628" TargetMode="External"/><Relationship Id="rId243" Type="http://schemas.openxmlformats.org/officeDocument/2006/relationships/hyperlink" Target="https://x.com/ytirawi/status/1794648644920238114" TargetMode="External"/><Relationship Id="rId450" Type="http://schemas.openxmlformats.org/officeDocument/2006/relationships/hyperlink" Target="https://apnews.com/article/israel-palestinians-gaza-hamas-west-bank-war-f85997a95d5579159ffe83d2c0cb988e" TargetMode="External"/><Relationship Id="rId688" Type="http://schemas.openxmlformats.org/officeDocument/2006/relationships/hyperlink" Target="https://x.com/Facts_For_Peace/status/1794093433818096072" TargetMode="External"/><Relationship Id="rId895" Type="http://schemas.openxmlformats.org/officeDocument/2006/relationships/hyperlink" Target="https://x.com/Villgecrazylady/status/1810014347172925620" TargetMode="External"/><Relationship Id="rId909" Type="http://schemas.openxmlformats.org/officeDocument/2006/relationships/hyperlink" Target="https://x.com/ytirawi/status/1904553781326491946" TargetMode="External"/><Relationship Id="rId38" Type="http://schemas.openxmlformats.org/officeDocument/2006/relationships/hyperlink" Target="https://time.com/7008717/benjamin-netanyahu-interview/" TargetMode="External"/><Relationship Id="rId103" Type="http://schemas.openxmlformats.org/officeDocument/2006/relationships/hyperlink" Target="https://twitter.com/QudsNen/status/1743712184725594564" TargetMode="External"/><Relationship Id="rId310" Type="http://schemas.openxmlformats.org/officeDocument/2006/relationships/hyperlink" Target="https://x.com/HossamShabat/status/1856506570705678625" TargetMode="External"/><Relationship Id="rId548" Type="http://schemas.openxmlformats.org/officeDocument/2006/relationships/hyperlink" Target="https://www.theguardian.com/education/article/2024/may/28/harvard-policy-issues-institutional-neutrality" TargetMode="External"/><Relationship Id="rId755" Type="http://schemas.openxmlformats.org/officeDocument/2006/relationships/hyperlink" Target="https://x.com/gazanotice/status/1901976378943136012" TargetMode="External"/><Relationship Id="rId91" Type="http://schemas.openxmlformats.org/officeDocument/2006/relationships/hyperlink" Target="https://twitter.com/RamAbdu/status/1785074198844453223" TargetMode="External"/><Relationship Id="rId187" Type="http://schemas.openxmlformats.org/officeDocument/2006/relationships/hyperlink" Target="https://twitter.com/ytirawi/status/1757155595877032104" TargetMode="External"/><Relationship Id="rId394" Type="http://schemas.openxmlformats.org/officeDocument/2006/relationships/hyperlink" Target="https://x.com/NourNaim88/status/1798622171125952937" TargetMode="External"/><Relationship Id="rId408" Type="http://schemas.openxmlformats.org/officeDocument/2006/relationships/hyperlink" Target="https://x.com/HossamShabat/status/1857812218475163850" TargetMode="External"/><Relationship Id="rId615" Type="http://schemas.openxmlformats.org/officeDocument/2006/relationships/hyperlink" Target="https://twitter.com/ireallyhateyou/status/1759571535637954816" TargetMode="External"/><Relationship Id="rId822" Type="http://schemas.openxmlformats.org/officeDocument/2006/relationships/hyperlink" Target="https://x.com/MosabAbuToha/status/1928941985529749792" TargetMode="External"/><Relationship Id="rId254" Type="http://schemas.openxmlformats.org/officeDocument/2006/relationships/hyperlink" Target="https://twitter.com/KhaledYousry22/status/1778864079995568598" TargetMode="External"/><Relationship Id="rId699" Type="http://schemas.openxmlformats.org/officeDocument/2006/relationships/hyperlink" Target="https://x.com/N12News/status/1846944121740472419" TargetMode="External"/><Relationship Id="rId49" Type="http://schemas.openxmlformats.org/officeDocument/2006/relationships/hyperlink" Target="https://www.haaretz.co.il/news/magazine/2024-12-17/ty-article-magazine/.premium/00000193-cf48-dcad-adfb-efeac1eb0000" TargetMode="External"/><Relationship Id="rId114" Type="http://schemas.openxmlformats.org/officeDocument/2006/relationships/hyperlink" Target="https://twitter.com/Mistaclim/status/1755129771825000637" TargetMode="External"/><Relationship Id="rId461" Type="http://schemas.openxmlformats.org/officeDocument/2006/relationships/hyperlink" Target="https://www.nytimes.com/2024/04/26/world/middleeast/gaza-israel-hospitals-medical-system.html" TargetMode="External"/><Relationship Id="rId559" Type="http://schemas.openxmlformats.org/officeDocument/2006/relationships/hyperlink" Target="https://www.nytimes.com/2024/01/01/world/middleeast/gaza-israel-hunger.html" TargetMode="External"/><Relationship Id="rId766" Type="http://schemas.openxmlformats.org/officeDocument/2006/relationships/hyperlink" Target="https://x.com/gazanotice/status/1906503887030522146" TargetMode="External"/><Relationship Id="rId198" Type="http://schemas.openxmlformats.org/officeDocument/2006/relationships/hyperlink" Target="https://x.com/DropSiteNews/status/1856729271470813497" TargetMode="External"/><Relationship Id="rId321" Type="http://schemas.openxmlformats.org/officeDocument/2006/relationships/hyperlink" Target="https://twitter.com/AIPAC/status/1769387362289655835" TargetMode="External"/><Relationship Id="rId419" Type="http://schemas.openxmlformats.org/officeDocument/2006/relationships/hyperlink" Target="https://www.israelhayom.co.il/health/article/14391915" TargetMode="External"/><Relationship Id="rId626" Type="http://schemas.openxmlformats.org/officeDocument/2006/relationships/hyperlink" Target="https://twitter.com/ireallyhateyou/status/1769159335299485732" TargetMode="External"/><Relationship Id="rId833" Type="http://schemas.openxmlformats.org/officeDocument/2006/relationships/hyperlink" Target="https://x.com/NourNaim88/status/1828743553587060895" TargetMode="External"/><Relationship Id="rId265" Type="http://schemas.openxmlformats.org/officeDocument/2006/relationships/hyperlink" Target="https://x.com/ireallyhateyou/status/1795012044699079164" TargetMode="External"/><Relationship Id="rId472" Type="http://schemas.openxmlformats.org/officeDocument/2006/relationships/hyperlink" Target="https://www.theguardian.com/world/2024/mar/22/unicef-official-utter-annihilation-gaza" TargetMode="External"/><Relationship Id="rId900" Type="http://schemas.openxmlformats.org/officeDocument/2006/relationships/hyperlink" Target="https://x.com/ytirawi/status/1823350836304494725" TargetMode="External"/><Relationship Id="rId125" Type="http://schemas.openxmlformats.org/officeDocument/2006/relationships/hyperlink" Target="https://twitter.com/OmerArvili/status/1753754952155934999" TargetMode="External"/><Relationship Id="rId332" Type="http://schemas.openxmlformats.org/officeDocument/2006/relationships/hyperlink" Target="https://x.com/ytirawi/status/1792923935824048336" TargetMode="External"/><Relationship Id="rId777" Type="http://schemas.openxmlformats.org/officeDocument/2006/relationships/hyperlink" Target="https://x.com/gazanotice/status/1924086680631251224" TargetMode="External"/><Relationship Id="rId637" Type="http://schemas.openxmlformats.org/officeDocument/2006/relationships/hyperlink" Target="https://twitter.com/ireallyhateyou/status/1754079208643420204" TargetMode="External"/><Relationship Id="rId844" Type="http://schemas.openxmlformats.org/officeDocument/2006/relationships/hyperlink" Target="https://x.com/SaulStaniforth/status/1810934872778654087" TargetMode="External"/><Relationship Id="rId276" Type="http://schemas.openxmlformats.org/officeDocument/2006/relationships/hyperlink" Target="https://x.com/ShaykhSulaiman/status/1792940664193470525" TargetMode="External"/><Relationship Id="rId483" Type="http://schemas.openxmlformats.org/officeDocument/2006/relationships/hyperlink" Target="https://www.haaretz.co.il/news/politics/2024-05-23/ty-article/.premium/0000018f-9c76-d6da-a1cf-ff76832b0000" TargetMode="External"/><Relationship Id="rId690" Type="http://schemas.openxmlformats.org/officeDocument/2006/relationships/hyperlink" Target="https://x.com/FilmThePoliceLA/status/1785654963915588036" TargetMode="External"/><Relationship Id="rId704" Type="http://schemas.openxmlformats.org/officeDocument/2006/relationships/hyperlink" Target="https://x.com/abierkhatib/status/1880699513675108848" TargetMode="External"/><Relationship Id="rId911" Type="http://schemas.openxmlformats.org/officeDocument/2006/relationships/hyperlink" Target="https://x.com/ytirawi/status/1940585244719304761" TargetMode="External"/><Relationship Id="rId40" Type="http://schemas.openxmlformats.org/officeDocument/2006/relationships/hyperlink" Target="https://www.mekomit.co.il/ps/143011/" TargetMode="External"/><Relationship Id="rId136" Type="http://schemas.openxmlformats.org/officeDocument/2006/relationships/hyperlink" Target="https://twitter.com/ireallyhateyou/status/1790909070708285910" TargetMode="External"/><Relationship Id="rId343" Type="http://schemas.openxmlformats.org/officeDocument/2006/relationships/hyperlink" Target="https://twitter.com/ytirawi/status/1763708570514657704" TargetMode="External"/><Relationship Id="rId550" Type="http://schemas.openxmlformats.org/officeDocument/2006/relationships/hyperlink" Target="https://www.hrw.org/news/2022/06/14/gaza-israels-open-air-prison-15" TargetMode="External"/><Relationship Id="rId788" Type="http://schemas.openxmlformats.org/officeDocument/2006/relationships/hyperlink" Target="https://x.com/HossamShabat/status/1837497128408559866" TargetMode="External"/><Relationship Id="rId203" Type="http://schemas.openxmlformats.org/officeDocument/2006/relationships/hyperlink" Target="https://x.com/HossamShabat/status/1849182435994427434" TargetMode="External"/><Relationship Id="rId648" Type="http://schemas.openxmlformats.org/officeDocument/2006/relationships/hyperlink" Target="https://twitter.com/ytirawi/status/1781677858953285846" TargetMode="External"/><Relationship Id="rId855" Type="http://schemas.openxmlformats.org/officeDocument/2006/relationships/hyperlink" Target="https://x.com/SMohyeddin/status/1873753025551962436" TargetMode="External"/><Relationship Id="rId287" Type="http://schemas.openxmlformats.org/officeDocument/2006/relationships/hyperlink" Target="https://twitter.com/ytirawi/status/1761360983174316281" TargetMode="External"/><Relationship Id="rId410" Type="http://schemas.openxmlformats.org/officeDocument/2006/relationships/hyperlink" Target="https://x.com/HossamShabat/status/1858042251806416971" TargetMode="External"/><Relationship Id="rId494" Type="http://schemas.openxmlformats.org/officeDocument/2006/relationships/hyperlink" Target="https://www.care.org/news-and-stories/press-releases/care-warns-84-of-gazas-lights-extinguished-people-left-sick-and-starving/" TargetMode="External"/><Relationship Id="rId508" Type="http://schemas.openxmlformats.org/officeDocument/2006/relationships/hyperlink" Target="https://www.haaretz.co.il/gallery/media/2024-03-13/ty-article/.premium/0000018e-38a2-d21d-a3ef-3be6160f0000" TargetMode="External"/><Relationship Id="rId715" Type="http://schemas.openxmlformats.org/officeDocument/2006/relationships/hyperlink" Target="https://x.com/AbujomaaGaza/status/1912821506595250599" TargetMode="External"/><Relationship Id="rId147" Type="http://schemas.openxmlformats.org/officeDocument/2006/relationships/hyperlink" Target="https://twitter.com/ytirawi/status/1745427870216851736" TargetMode="External"/><Relationship Id="rId354" Type="http://schemas.openxmlformats.org/officeDocument/2006/relationships/hyperlink" Target="https://twitter.com/ytirawi/status/1766491956090155333" TargetMode="External"/><Relationship Id="rId799" Type="http://schemas.openxmlformats.org/officeDocument/2006/relationships/hyperlink" Target="https://x.com/mattlieb/status/1913092580339753198" TargetMode="External"/><Relationship Id="rId51" Type="http://schemas.openxmlformats.org/officeDocument/2006/relationships/hyperlink" Target="https://x.com/JalalAK_jojo/status/1797296916763418747" TargetMode="External"/><Relationship Id="rId561" Type="http://schemas.openxmlformats.org/officeDocument/2006/relationships/hyperlink" Target="https://www.ochaopt.org/content/hostilities-gaza-strip-and-israel-reported-impact-day-160" TargetMode="External"/><Relationship Id="rId659" Type="http://schemas.openxmlformats.org/officeDocument/2006/relationships/hyperlink" Target="https://twitter.com/muhammadshehad2/status/1771841529868358142" TargetMode="External"/><Relationship Id="rId866" Type="http://schemas.openxmlformats.org/officeDocument/2006/relationships/hyperlink" Target="https://x.com/translatingpal/status/1861400610362322983" TargetMode="External"/><Relationship Id="rId214" Type="http://schemas.openxmlformats.org/officeDocument/2006/relationships/hyperlink" Target="https://x.com/just_security/status/1843276793912209507" TargetMode="External"/><Relationship Id="rId298" Type="http://schemas.openxmlformats.org/officeDocument/2006/relationships/hyperlink" Target="https://twitter.com/ytirawi/status/1747994879156793524" TargetMode="External"/><Relationship Id="rId421" Type="http://schemas.openxmlformats.org/officeDocument/2006/relationships/hyperlink" Target="https://www.globes.co.il/news/article.aspx?did=1001473815" TargetMode="External"/><Relationship Id="rId519" Type="http://schemas.openxmlformats.org/officeDocument/2006/relationships/hyperlink" Target="https://www.bbc.com/news/world-middle-east-68513408" TargetMode="External"/><Relationship Id="rId158" Type="http://schemas.openxmlformats.org/officeDocument/2006/relationships/hyperlink" Target="https://twitter.com/ytirawi/status/1751618405453422875" TargetMode="External"/><Relationship Id="rId726" Type="http://schemas.openxmlformats.org/officeDocument/2006/relationships/hyperlink" Target="https://x.com/dn_osama_rabee/status/1907301949742924255" TargetMode="External"/><Relationship Id="rId62" Type="http://schemas.openxmlformats.org/officeDocument/2006/relationships/hyperlink" Target="https://twitter.com/_selftitled_/status/1784272179817041951" TargetMode="External"/><Relationship Id="rId365" Type="http://schemas.openxmlformats.org/officeDocument/2006/relationships/hyperlink" Target="https://twitter.com/RamAbdu/status/1777786701768708193" TargetMode="External"/><Relationship Id="rId572" Type="http://schemas.openxmlformats.org/officeDocument/2006/relationships/hyperlink" Target="https://twitter.com/idfonline/status/1770422130712146254" TargetMode="External"/><Relationship Id="rId225" Type="http://schemas.openxmlformats.org/officeDocument/2006/relationships/hyperlink" Target="https://x.com/ytirawi/status/1798765503940530377" TargetMode="External"/><Relationship Id="rId432" Type="http://schemas.openxmlformats.org/officeDocument/2006/relationships/hyperlink" Target="https://www.idi.org.il/articles/54307" TargetMode="External"/><Relationship Id="rId877" Type="http://schemas.openxmlformats.org/officeDocument/2006/relationships/hyperlink" Target="https://x.com/translatingpal/status/1902293436025467265" TargetMode="External"/><Relationship Id="rId737" Type="http://schemas.openxmlformats.org/officeDocument/2006/relationships/hyperlink" Target="https://x.com/DropSiteNews/status/1922429909667868930" TargetMode="External"/><Relationship Id="rId73" Type="http://schemas.openxmlformats.org/officeDocument/2006/relationships/hyperlink" Target="https://twitter.com/GLZRadio/status/1779764062433284213" TargetMode="External"/><Relationship Id="rId169" Type="http://schemas.openxmlformats.org/officeDocument/2006/relationships/hyperlink" Target="https://x.com/AbuLocation/status/1859513065697374658" TargetMode="External"/><Relationship Id="rId376" Type="http://schemas.openxmlformats.org/officeDocument/2006/relationships/hyperlink" Target="https://twitter.com/ytirawi/status/1750443193575886945" TargetMode="External"/><Relationship Id="rId583" Type="http://schemas.openxmlformats.org/officeDocument/2006/relationships/hyperlink" Target="https://twitter.com/Sarah_Hassan94/status/1754620276271149451" TargetMode="External"/><Relationship Id="rId790" Type="http://schemas.openxmlformats.org/officeDocument/2006/relationships/hyperlink" Target="https://x.com/IDF/status/1909215556508512680" TargetMode="External"/><Relationship Id="rId804" Type="http://schemas.openxmlformats.org/officeDocument/2006/relationships/hyperlink" Target="https://x.com/MiddleEastEye/status/1834126509319356525" TargetMode="External"/><Relationship Id="rId4" Type="http://schemas.openxmlformats.org/officeDocument/2006/relationships/hyperlink" Target="https://www.idi.org.il/articles/57946" TargetMode="External"/><Relationship Id="rId236" Type="http://schemas.openxmlformats.org/officeDocument/2006/relationships/hyperlink" Target="https://x.com/EuroMedHR/status/1794349445498421495" TargetMode="External"/><Relationship Id="rId443" Type="http://schemas.openxmlformats.org/officeDocument/2006/relationships/hyperlink" Target="https://www.idi.org.il/articles/52967" TargetMode="External"/><Relationship Id="rId650" Type="http://schemas.openxmlformats.org/officeDocument/2006/relationships/hyperlink" Target="https://twitter.com/ytirawi/status/1782837821432082700" TargetMode="External"/><Relationship Id="rId888" Type="http://schemas.openxmlformats.org/officeDocument/2006/relationships/hyperlink" Target="https://x.com/translatingpal/status/1909640020505342319" TargetMode="External"/><Relationship Id="rId303" Type="http://schemas.openxmlformats.org/officeDocument/2006/relationships/hyperlink" Target="https://x.com/AbuLocation/status/1848119454980288647" TargetMode="External"/><Relationship Id="rId748" Type="http://schemas.openxmlformats.org/officeDocument/2006/relationships/hyperlink" Target="https://x.com/gazanotice/status/1882800964043714793" TargetMode="External"/><Relationship Id="rId84" Type="http://schemas.openxmlformats.org/officeDocument/2006/relationships/hyperlink" Target="https://x.com/AbujomaaGaza/status/1854253562190090316" TargetMode="External"/><Relationship Id="rId387" Type="http://schemas.openxmlformats.org/officeDocument/2006/relationships/hyperlink" Target="https://x.com/ytirawi/status/1802082633679090163" TargetMode="External"/><Relationship Id="rId510" Type="http://schemas.openxmlformats.org/officeDocument/2006/relationships/hyperlink" Target="https://euromedmonitor.org/en/article/6093/On-100th-day-of-Gaza-genocide:-100" TargetMode="External"/><Relationship Id="rId594" Type="http://schemas.openxmlformats.org/officeDocument/2006/relationships/hyperlink" Target="https://twitter.com/brown_johnbrown/status/1743021596682371453" TargetMode="External"/><Relationship Id="rId608" Type="http://schemas.openxmlformats.org/officeDocument/2006/relationships/hyperlink" Target="https://twitter.com/ireallyhateyou/status/1756438313899024862" TargetMode="External"/><Relationship Id="rId815" Type="http://schemas.openxmlformats.org/officeDocument/2006/relationships/hyperlink" Target="https://x.com/MosabAbuToha/status/1911216557688054072" TargetMode="External"/><Relationship Id="rId247" Type="http://schemas.openxmlformats.org/officeDocument/2006/relationships/hyperlink" Target="https://x.com/ytirawi/status/1795114456936063484" TargetMode="External"/><Relationship Id="rId899" Type="http://schemas.openxmlformats.org/officeDocument/2006/relationships/hyperlink" Target="https://x.com/yipengGe/status/1830626014881362239" TargetMode="External"/><Relationship Id="rId107" Type="http://schemas.openxmlformats.org/officeDocument/2006/relationships/hyperlink" Target="https://twitter.com/Kahlissee/status/1783737956026454347" TargetMode="External"/><Relationship Id="rId454" Type="http://schemas.openxmlformats.org/officeDocument/2006/relationships/hyperlink" Target="https://www.theguardian.com/us-news/2024/jan/24/americans-believe-israel-committing-genocide-poll" TargetMode="External"/><Relationship Id="rId661" Type="http://schemas.openxmlformats.org/officeDocument/2006/relationships/hyperlink" Target="https://twitter.com/AssalRad/status/1772315270880866802" TargetMode="External"/><Relationship Id="rId759" Type="http://schemas.openxmlformats.org/officeDocument/2006/relationships/hyperlink" Target="https://x.com/gazanotice/status/1903287761580220466" TargetMode="External"/><Relationship Id="rId11" Type="http://schemas.openxmlformats.org/officeDocument/2006/relationships/hyperlink" Target="https://www.thenationalnews.com/news/mena/2024/06/21/israel-gaza-city-municipality-garage/" TargetMode="External"/><Relationship Id="rId314" Type="http://schemas.openxmlformats.org/officeDocument/2006/relationships/hyperlink" Target="https://x.com/DropSiteNews/status/1859663484700508233" TargetMode="External"/><Relationship Id="rId398" Type="http://schemas.openxmlformats.org/officeDocument/2006/relationships/hyperlink" Target="https://twitter.com/ytirawi/status/1771589516920238241" TargetMode="External"/><Relationship Id="rId521" Type="http://schemas.openxmlformats.org/officeDocument/2006/relationships/hyperlink" Target="https://lithub.com/gazas-main-public-library-has-been-destroyed/" TargetMode="External"/><Relationship Id="rId619" Type="http://schemas.openxmlformats.org/officeDocument/2006/relationships/hyperlink" Target="https://twitter.com/ireallyhateyou/status/1761868392326148474" TargetMode="External"/><Relationship Id="rId95" Type="http://schemas.openxmlformats.org/officeDocument/2006/relationships/hyperlink" Target="https://twitter.com/ireallyhateyou/status/1781995666593456397" TargetMode="External"/><Relationship Id="rId160" Type="http://schemas.openxmlformats.org/officeDocument/2006/relationships/hyperlink" Target="https://twitter.com/ytirawi/status/1753158451734220834" TargetMode="External"/><Relationship Id="rId826" Type="http://schemas.openxmlformats.org/officeDocument/2006/relationships/hyperlink" Target="https://x.com/muhammadshehad2/status/1922249077766685139" TargetMode="External"/><Relationship Id="rId258" Type="http://schemas.openxmlformats.org/officeDocument/2006/relationships/hyperlink" Target="https://x.com/YairGolan1/status/1859572170419995031" TargetMode="External"/><Relationship Id="rId465" Type="http://schemas.openxmlformats.org/officeDocument/2006/relationships/hyperlink" Target="https://twitter.com/KhaledYousry22/status/1785413134011838765" TargetMode="External"/><Relationship Id="rId672" Type="http://schemas.openxmlformats.org/officeDocument/2006/relationships/hyperlink" Target="https://twitter.com/RamAbdu/status/1771495855587000429" TargetMode="External"/><Relationship Id="rId22" Type="http://schemas.openxmlformats.org/officeDocument/2006/relationships/hyperlink" Target="https://www.kan.org.il/content/kan-news/defense/827036/" TargetMode="External"/><Relationship Id="rId118" Type="http://schemas.openxmlformats.org/officeDocument/2006/relationships/hyperlink" Target="https://x.com/AbubakerAbedW/status/1858502758946455815" TargetMode="External"/><Relationship Id="rId325" Type="http://schemas.openxmlformats.org/officeDocument/2006/relationships/hyperlink" Target="https://twitter.com/ytirawi/status/1762201439785410805" TargetMode="External"/><Relationship Id="rId532" Type="http://schemas.openxmlformats.org/officeDocument/2006/relationships/hyperlink" Target="https://www.amnesty.org/en/latest/news/2023/11/israel-opt-horrifying-cases-of-torture-and-degrading-treatment-of-palestinian-detainees-amid-spike-in-arbitrary-arrests/" TargetMode="External"/><Relationship Id="rId171" Type="http://schemas.openxmlformats.org/officeDocument/2006/relationships/hyperlink" Target="https://x.com/AbuLocation/status/1861686736474050797" TargetMode="External"/><Relationship Id="rId837" Type="http://schemas.openxmlformats.org/officeDocument/2006/relationships/hyperlink" Target="https://x.com/orfialkov/status/1913611279886885009" TargetMode="External"/><Relationship Id="rId269" Type="http://schemas.openxmlformats.org/officeDocument/2006/relationships/hyperlink" Target="https://twitter.com/AssalRad/status/1763453379811098672" TargetMode="External"/><Relationship Id="rId476" Type="http://schemas.openxmlformats.org/officeDocument/2006/relationships/hyperlink" Target="https://www.democracynow.org/2024/4/11/surgeons_in_gaza" TargetMode="External"/><Relationship Id="rId683" Type="http://schemas.openxmlformats.org/officeDocument/2006/relationships/hyperlink" Target="https://twitter.com/naftalibennett/status/1774663364314091870" TargetMode="External"/><Relationship Id="rId890" Type="http://schemas.openxmlformats.org/officeDocument/2006/relationships/hyperlink" Target="https://x.com/translatingpal/status/1922222854722011273" TargetMode="External"/><Relationship Id="rId904" Type="http://schemas.openxmlformats.org/officeDocument/2006/relationships/hyperlink" Target="https://x.com/ytirawi/status/1851217795893068006" TargetMode="External"/><Relationship Id="rId33" Type="http://schemas.openxmlformats.org/officeDocument/2006/relationships/hyperlink" Target="https://www.haaretz.co.il/news/politi/2024-11-13/ty-article/.premium/00000193-24ee-d76b-afd7-a7ff70930000" TargetMode="External"/><Relationship Id="rId129" Type="http://schemas.openxmlformats.org/officeDocument/2006/relationships/hyperlink" Target="https://twitter.com/QudsNen/status/1760426342753935765" TargetMode="External"/><Relationship Id="rId336" Type="http://schemas.openxmlformats.org/officeDocument/2006/relationships/hyperlink" Target="https://x.com/ytirawi/status/1793756431881294035" TargetMode="External"/><Relationship Id="rId543" Type="http://schemas.openxmlformats.org/officeDocument/2006/relationships/hyperlink" Target="https://www.israelhayom.co.il/news/local/article/15767757" TargetMode="External"/><Relationship Id="rId182" Type="http://schemas.openxmlformats.org/officeDocument/2006/relationships/hyperlink" Target="https://twitter.com/RamAbdu/status/1765386577855791185" TargetMode="External"/><Relationship Id="rId403" Type="http://schemas.openxmlformats.org/officeDocument/2006/relationships/hyperlink" Target="https://x.com/TomerPersico/status/1858035974783009228" TargetMode="External"/><Relationship Id="rId750" Type="http://schemas.openxmlformats.org/officeDocument/2006/relationships/hyperlink" Target="https://x.com/gazanotice/status/1900303341055603038" TargetMode="External"/><Relationship Id="rId848" Type="http://schemas.openxmlformats.org/officeDocument/2006/relationships/hyperlink" Target="https://x.com/SaulStaniforth/status/1882309013674787114" TargetMode="External"/><Relationship Id="rId487" Type="http://schemas.openxmlformats.org/officeDocument/2006/relationships/hyperlink" Target="https://www.haaretz.co.il/news/politics/2024-05-28/ty-article/.premium/0000018f-bbb6-dc1f-abef-ffbf9de50000" TargetMode="External"/><Relationship Id="rId610" Type="http://schemas.openxmlformats.org/officeDocument/2006/relationships/hyperlink" Target="https://twitter.com/ireallyhateyou/status/1757054593656103198" TargetMode="External"/><Relationship Id="rId694" Type="http://schemas.openxmlformats.org/officeDocument/2006/relationships/hyperlink" Target="https://x.com/DropSiteNews/status/1896218617408303170" TargetMode="External"/><Relationship Id="rId708" Type="http://schemas.openxmlformats.org/officeDocument/2006/relationships/hyperlink" Target="https://x.com/AbubakerAbedW/status/1934192637453512912" TargetMode="External"/><Relationship Id="rId347" Type="http://schemas.openxmlformats.org/officeDocument/2006/relationships/hyperlink" Target="https://twitter.com/ytirawi/status/1764936131718635713" TargetMode="External"/><Relationship Id="rId44" Type="http://schemas.openxmlformats.org/officeDocument/2006/relationships/hyperlink" Target="https://www.ynet.co.il/news/article/bkcljlrdyx" TargetMode="External"/><Relationship Id="rId554" Type="http://schemas.openxmlformats.org/officeDocument/2006/relationships/hyperlink" Target="https://www.cnn.com/gaza-israel-big-bombs/index.html" TargetMode="External"/><Relationship Id="rId761" Type="http://schemas.openxmlformats.org/officeDocument/2006/relationships/hyperlink" Target="https://x.com/gazanotice/status/1904140913481281966" TargetMode="External"/><Relationship Id="rId859" Type="http://schemas.openxmlformats.org/officeDocument/2006/relationships/hyperlink" Target="https://x.com/SuppressedNws/status/1939328648407851075" TargetMode="External"/><Relationship Id="rId193" Type="http://schemas.openxmlformats.org/officeDocument/2006/relationships/hyperlink" Target="https://x.com/Dr_Muneer1/status/1862459637301174377" TargetMode="External"/><Relationship Id="rId207" Type="http://schemas.openxmlformats.org/officeDocument/2006/relationships/hyperlink" Target="https://x.com/HossamShabat/status/1854585378122133633" TargetMode="External"/><Relationship Id="rId414" Type="http://schemas.openxmlformats.org/officeDocument/2006/relationships/hyperlink" Target="https://twitter.com/ytirawi/status/1790901748346867875" TargetMode="External"/><Relationship Id="rId498" Type="http://schemas.openxmlformats.org/officeDocument/2006/relationships/hyperlink" Target="https://www.theguardian.com/media/2024/feb/04/cnn-staff-pro-israel-bias" TargetMode="External"/><Relationship Id="rId621" Type="http://schemas.openxmlformats.org/officeDocument/2006/relationships/hyperlink" Target="https://twitter.com/ireallyhateyou/status/1762556002711289987" TargetMode="External"/><Relationship Id="rId260" Type="http://schemas.openxmlformats.org/officeDocument/2006/relationships/hyperlink" Target="https://x.com/HossamShabat/status/1849476686674280529" TargetMode="External"/><Relationship Id="rId719" Type="http://schemas.openxmlformats.org/officeDocument/2006/relationships/hyperlink" Target="https://x.com/BittonRosen/status/1908029094173753650" TargetMode="External"/><Relationship Id="rId55" Type="http://schemas.openxmlformats.org/officeDocument/2006/relationships/hyperlink" Target="https://x.com/abierkhatib/status/1793720981607071831" TargetMode="External"/><Relationship Id="rId120" Type="http://schemas.openxmlformats.org/officeDocument/2006/relationships/hyperlink" Target="https://x.com/Ahmad_tibi/status/1848647941617057834" TargetMode="External"/><Relationship Id="rId358" Type="http://schemas.openxmlformats.org/officeDocument/2006/relationships/hyperlink" Target="https://x.com/ytirawi/status/1801966059886399640" TargetMode="External"/><Relationship Id="rId565" Type="http://schemas.openxmlformats.org/officeDocument/2006/relationships/hyperlink" Target="https://www.nytimes.com/2024/02/11/world/middleeast/israel-gaza-hostages-rescued.html" TargetMode="External"/><Relationship Id="rId772" Type="http://schemas.openxmlformats.org/officeDocument/2006/relationships/hyperlink" Target="https://x.com/gazanotice/status/1912781523058573704" TargetMode="External"/><Relationship Id="rId218" Type="http://schemas.openxmlformats.org/officeDocument/2006/relationships/hyperlink" Target="https://www.cnn.com/2024/06/07/politics/cia-netanyahu-assessment/index.html" TargetMode="External"/><Relationship Id="rId425" Type="http://schemas.openxmlformats.org/officeDocument/2006/relationships/hyperlink" Target="https://www.theguardian.com/world/article/2024/may/30/stacy-gilbert-us-state-department-israel-gaza-aid" TargetMode="External"/><Relationship Id="rId632" Type="http://schemas.openxmlformats.org/officeDocument/2006/relationships/hyperlink" Target="https://twitter.com/RamAbdu/status/1775555921151693151" TargetMode="External"/><Relationship Id="rId271" Type="http://schemas.openxmlformats.org/officeDocument/2006/relationships/hyperlink" Target="https://x.com/KhaledYousry22/status/1798056593218760839" TargetMode="External"/><Relationship Id="rId66" Type="http://schemas.openxmlformats.org/officeDocument/2006/relationships/hyperlink" Target="https://twitter.com/josh_hammer/status/1711185635229282605" TargetMode="External"/><Relationship Id="rId131" Type="http://schemas.openxmlformats.org/officeDocument/2006/relationships/hyperlink" Target="https://twitter.com/QudsNen/status/1769378368431047090" TargetMode="External"/><Relationship Id="rId369" Type="http://schemas.openxmlformats.org/officeDocument/2006/relationships/hyperlink" Target="https://x.com/HossamShabat/status/1863059618705916244" TargetMode="External"/><Relationship Id="rId576" Type="http://schemas.openxmlformats.org/officeDocument/2006/relationships/hyperlink" Target="https://x.com/UNGeneva/status/1796579174204813488" TargetMode="External"/><Relationship Id="rId783" Type="http://schemas.openxmlformats.org/officeDocument/2006/relationships/hyperlink" Target="https://x.com/Haaretz/status/1711618357412475302" TargetMode="External"/><Relationship Id="rId229" Type="http://schemas.openxmlformats.org/officeDocument/2006/relationships/hyperlink" Target="https://x.com/ytirawi/status/1800822593777545634" TargetMode="External"/><Relationship Id="rId436" Type="http://schemas.openxmlformats.org/officeDocument/2006/relationships/hyperlink" Target="https://www.haaretz.co.il/news/politics/2024-04-04/ty-article/.premium/0000018e-9ac3-dd2b-ad9f-dadb900f0000" TargetMode="External"/><Relationship Id="rId643" Type="http://schemas.openxmlformats.org/officeDocument/2006/relationships/hyperlink" Target="https://twitter.com/ytirawi/status/1758619734809928130" TargetMode="External"/><Relationship Id="rId850" Type="http://schemas.openxmlformats.org/officeDocument/2006/relationships/hyperlink" Target="https://x.com/SaulStaniforth/status/1924465487783563438" TargetMode="External"/><Relationship Id="rId77" Type="http://schemas.openxmlformats.org/officeDocument/2006/relationships/hyperlink" Target="https://x.com/AssalRad/status/1799543857539108962" TargetMode="External"/><Relationship Id="rId282" Type="http://schemas.openxmlformats.org/officeDocument/2006/relationships/hyperlink" Target="https://x.com/idanlandau/status/1794956280504930630" TargetMode="External"/><Relationship Id="rId503" Type="http://schemas.openxmlformats.org/officeDocument/2006/relationships/hyperlink" Target="https://www.aljazeera.com/news/2024/2/29/dozens-killed-injured-by-israeli-fire-in-gaza-while-collecting-food-aid" TargetMode="External"/><Relationship Id="rId587" Type="http://schemas.openxmlformats.org/officeDocument/2006/relationships/hyperlink" Target="https://twitter.com/adinitay/status/1756791144111816917" TargetMode="External"/><Relationship Id="rId710" Type="http://schemas.openxmlformats.org/officeDocument/2006/relationships/hyperlink" Target="https://x.com/AbujomaaGaza/status/1855311116567466156" TargetMode="External"/><Relationship Id="rId808" Type="http://schemas.openxmlformats.org/officeDocument/2006/relationships/hyperlink" Target="https://x.com/MosabAbuToha/status/1864344148603543915" TargetMode="External"/><Relationship Id="rId8" Type="http://schemas.openxmlformats.org/officeDocument/2006/relationships/hyperlink" Target="https://www.gazahealthcareletters.org/usa-letter-oct-2-2024" TargetMode="External"/><Relationship Id="rId142" Type="http://schemas.openxmlformats.org/officeDocument/2006/relationships/hyperlink" Target="https://twitter.com/muhammadshehad2/status/1782029404916285857" TargetMode="External"/><Relationship Id="rId447" Type="http://schemas.openxmlformats.org/officeDocument/2006/relationships/hyperlink" Target="https://news.un.org/en/story/2024/04/1148296" TargetMode="External"/><Relationship Id="rId794" Type="http://schemas.openxmlformats.org/officeDocument/2006/relationships/hyperlink" Target="https://x.com/Kahlissee/status/1819646850833465478" TargetMode="External"/><Relationship Id="rId654" Type="http://schemas.openxmlformats.org/officeDocument/2006/relationships/hyperlink" Target="https://x.com/LensVeritatis/status/1793454169741033661" TargetMode="External"/><Relationship Id="rId861" Type="http://schemas.openxmlformats.org/officeDocument/2006/relationships/hyperlink" Target="https://x.com/swilkinsonbc/status/1925204663365738862" TargetMode="External"/><Relationship Id="rId293" Type="http://schemas.openxmlformats.org/officeDocument/2006/relationships/hyperlink" Target="https://twitter.com/ireallyhateyou/status/1784224046562816158" TargetMode="External"/><Relationship Id="rId307" Type="http://schemas.openxmlformats.org/officeDocument/2006/relationships/hyperlink" Target="https://apnews.com/article/us-pier-gaza-famine-israel-1feae14dac670bb4de0467988799c5c6" TargetMode="External"/><Relationship Id="rId514" Type="http://schemas.openxmlformats.org/officeDocument/2006/relationships/hyperlink" Target="https://www.haaretz.co.il/news/politics/2024-04-30/ty-article/.premium/0000018f-2e6c-d502-a5bf-eeeeebb50000" TargetMode="External"/><Relationship Id="rId721" Type="http://schemas.openxmlformats.org/officeDocument/2006/relationships/hyperlink" Target="https://x.com/Charles_Lister/status/1856370874644893838" TargetMode="External"/><Relationship Id="rId88" Type="http://schemas.openxmlformats.org/officeDocument/2006/relationships/hyperlink" Target="https://twitter.com/RamAbdu/status/1764759225241129162" TargetMode="External"/><Relationship Id="rId153" Type="http://schemas.openxmlformats.org/officeDocument/2006/relationships/hyperlink" Target="https://twitter.com/ytirawi/status/1749795644532035602" TargetMode="External"/><Relationship Id="rId360" Type="http://schemas.openxmlformats.org/officeDocument/2006/relationships/hyperlink" Target="https://twitter.com/QudsNen/status/1749145986595713498" TargetMode="External"/><Relationship Id="rId598" Type="http://schemas.openxmlformats.org/officeDocument/2006/relationships/hyperlink" Target="https://twitter.com/ireallyhateyou/status/1739728935779234254" TargetMode="External"/><Relationship Id="rId819" Type="http://schemas.openxmlformats.org/officeDocument/2006/relationships/hyperlink" Target="https://x.com/MosabAbuToha/status/1925919394653229214" TargetMode="External"/><Relationship Id="rId220" Type="http://schemas.openxmlformats.org/officeDocument/2006/relationships/hyperlink" Target="https://x.com/HossamShabat/status/1859286304854327323" TargetMode="External"/><Relationship Id="rId458" Type="http://schemas.openxmlformats.org/officeDocument/2006/relationships/hyperlink" Target="https://www.haaretz.co.il/news/politics/2024-06-12/ty-article/.premium/00000190-0a69-d0f9-a1d5-da691e1f0000" TargetMode="External"/><Relationship Id="rId665" Type="http://schemas.openxmlformats.org/officeDocument/2006/relationships/hyperlink" Target="https://twitter.com/tparsi/status/1772281999358648553" TargetMode="External"/><Relationship Id="rId872" Type="http://schemas.openxmlformats.org/officeDocument/2006/relationships/hyperlink" Target="https://x.com/translatingpal/status/1874136519700570494" TargetMode="External"/><Relationship Id="rId15" Type="http://schemas.openxmlformats.org/officeDocument/2006/relationships/hyperlink" Target="https://www.haaretz.com/israel-news/2024-09-03/ty-article/.premium/israeli-army-reservists-assault-gazan-truck-drivers-working-for-aid-organizations/00000191-b71d-d13c-a39b-bf9d24710000" TargetMode="External"/><Relationship Id="rId318" Type="http://schemas.openxmlformats.org/officeDocument/2006/relationships/hyperlink" Target="https://x.com/HossamShabat/status/1859050248632471990" TargetMode="External"/><Relationship Id="rId525" Type="http://schemas.openxmlformats.org/officeDocument/2006/relationships/hyperlink" Target="https://www.wfp.org/news/famine-imminent-northern-gaza-new-report-warns" TargetMode="External"/><Relationship Id="rId732" Type="http://schemas.openxmlformats.org/officeDocument/2006/relationships/hyperlink" Target="https://x.com/DropSiteNews/status/1907590663945744468" TargetMode="External"/><Relationship Id="rId99" Type="http://schemas.openxmlformats.org/officeDocument/2006/relationships/hyperlink" Target="https://twitter.com/NABEELRAJAB/status/1750228266193969448" TargetMode="External"/><Relationship Id="rId164" Type="http://schemas.openxmlformats.org/officeDocument/2006/relationships/hyperlink" Target="https://twitter.com/ytirawi/status/1754553057696784519" TargetMode="External"/><Relationship Id="rId371" Type="http://schemas.openxmlformats.org/officeDocument/2006/relationships/hyperlink" Target="https://twitter.com/ytirawi/status/1761723209760608272" TargetMode="External"/><Relationship Id="rId469" Type="http://schemas.openxmlformats.org/officeDocument/2006/relationships/hyperlink" Target="https://www.commondreams.org/news/northern-gaza-risk-dying" TargetMode="External"/><Relationship Id="rId676" Type="http://schemas.openxmlformats.org/officeDocument/2006/relationships/hyperlink" Target="https://twitter.com/RamAbdu/status/1777306768802038012" TargetMode="External"/><Relationship Id="rId883" Type="http://schemas.openxmlformats.org/officeDocument/2006/relationships/hyperlink" Target="https://x.com/translatingpal/status/1907851696606425125" TargetMode="External"/><Relationship Id="rId26" Type="http://schemas.openxmlformats.org/officeDocument/2006/relationships/hyperlink" Target="https://www.haaretz.co.il/news/politics/2024-08-02/ty-article/.premium/00000191-1442-db7e-a99d-1edabb590000" TargetMode="External"/><Relationship Id="rId231" Type="http://schemas.openxmlformats.org/officeDocument/2006/relationships/hyperlink" Target="https://x.com/ytirawi/status/1801316437794963578" TargetMode="External"/><Relationship Id="rId329" Type="http://schemas.openxmlformats.org/officeDocument/2006/relationships/hyperlink" Target="https://x.com/ytirawi/status/1801555895878361567" TargetMode="External"/><Relationship Id="rId536" Type="http://schemas.openxmlformats.org/officeDocument/2006/relationships/hyperlink" Target="https://apnews.com/article/australia-unrwa-hamas-israel-gaza-funding-1b4bcb81251cf7eeed0904da9fe4144b" TargetMode="External"/><Relationship Id="rId175" Type="http://schemas.openxmlformats.org/officeDocument/2006/relationships/hyperlink" Target="https://www.bbc.com/news/world-middle-east-68349031.amp" TargetMode="External"/><Relationship Id="rId743" Type="http://schemas.openxmlformats.org/officeDocument/2006/relationships/hyperlink" Target="https://x.com/DropSiteNews/status/1926644474647605356" TargetMode="External"/><Relationship Id="rId382" Type="http://schemas.openxmlformats.org/officeDocument/2006/relationships/hyperlink" Target="https://twitter.com/RamAbdu/status/1784694240921989320" TargetMode="External"/><Relationship Id="rId603" Type="http://schemas.openxmlformats.org/officeDocument/2006/relationships/hyperlink" Target="https://twitter.com/ireallyhateyou/status/1750219568428036237" TargetMode="External"/><Relationship Id="rId687" Type="http://schemas.openxmlformats.org/officeDocument/2006/relationships/hyperlink" Target="https://x.com/DD_Geopolitics/status/1783565419305136271" TargetMode="External"/><Relationship Id="rId810" Type="http://schemas.openxmlformats.org/officeDocument/2006/relationships/hyperlink" Target="https://x.com/MosabAbuToha/status/1869236701845135630" TargetMode="External"/><Relationship Id="rId908" Type="http://schemas.openxmlformats.org/officeDocument/2006/relationships/hyperlink" Target="https://x.com/ytirawi/status/1872979346815893814" TargetMode="External"/><Relationship Id="rId242" Type="http://schemas.openxmlformats.org/officeDocument/2006/relationships/hyperlink" Target="https://x.com/ytirawi/status/1794433825591738491" TargetMode="External"/><Relationship Id="rId894" Type="http://schemas.openxmlformats.org/officeDocument/2006/relationships/hyperlink" Target="https://x.com/trklou/status/1940170018911920454" TargetMode="External"/><Relationship Id="rId37" Type="http://schemas.openxmlformats.org/officeDocument/2006/relationships/hyperlink" Target="https://www.wsj.com/world/middle-east/once-hamass-sworn-enemy-mohammed-dahlan-rises-as-a-postwar-strongman-f64676b1?ref=forever-wars.com" TargetMode="External"/><Relationship Id="rId102" Type="http://schemas.openxmlformats.org/officeDocument/2006/relationships/hyperlink" Target="https://twitter.com/NourNaim88/status/1760434485957390399" TargetMode="External"/><Relationship Id="rId547" Type="http://schemas.openxmlformats.org/officeDocument/2006/relationships/hyperlink" Target="https://www.haaretz.co.il/news/politics/2024-04-14/ty-article/.premium/0000018e-de16-deb6-afee-ded71d110000" TargetMode="External"/><Relationship Id="rId754" Type="http://schemas.openxmlformats.org/officeDocument/2006/relationships/hyperlink" Target="https://x.com/gazanotice/status/1901943446463476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30F6-F621-AE4C-9E77-2D56AE8A3368}">
  <sheetPr filterMode="1"/>
  <dimension ref="A1:Y804"/>
  <sheetViews>
    <sheetView zoomScaleNormal="100" workbookViewId="0">
      <selection activeCell="B22" sqref="A1:Y487 A489:Y570 A588:Y588"/>
    </sheetView>
  </sheetViews>
  <sheetFormatPr baseColWidth="10" defaultRowHeight="16" x14ac:dyDescent="0.2"/>
  <cols>
    <col min="2" max="2" width="17.6640625" customWidth="1"/>
    <col min="3" max="3" width="36.33203125" customWidth="1"/>
    <col min="4" max="4" width="12.5" customWidth="1"/>
    <col min="5" max="5" width="28" customWidth="1"/>
    <col min="6" max="6" width="18.33203125" bestFit="1" customWidth="1"/>
    <col min="11" max="11" width="10.83203125" customWidth="1"/>
    <col min="12" max="12" width="19.33203125" customWidth="1"/>
    <col min="17" max="17" width="16" bestFit="1" customWidth="1"/>
  </cols>
  <sheetData>
    <row r="1" spans="1:25" x14ac:dyDescent="0.2">
      <c r="A1" s="1" t="s">
        <v>0</v>
      </c>
      <c r="B1" s="1" t="s">
        <v>1</v>
      </c>
      <c r="C1" s="1" t="s">
        <v>2</v>
      </c>
      <c r="D1" s="1" t="s">
        <v>9186</v>
      </c>
      <c r="E1" s="1" t="s">
        <v>9190</v>
      </c>
      <c r="F1" s="1" t="s">
        <v>9187</v>
      </c>
      <c r="G1" s="1" t="s">
        <v>4</v>
      </c>
      <c r="H1" s="1" t="s">
        <v>5</v>
      </c>
      <c r="I1" s="1" t="s">
        <v>6</v>
      </c>
      <c r="J1" s="1" t="s">
        <v>7</v>
      </c>
      <c r="K1" s="1" t="s">
        <v>8</v>
      </c>
      <c r="L1" s="1" t="s">
        <v>9188</v>
      </c>
      <c r="M1" s="1" t="s">
        <v>9</v>
      </c>
      <c r="N1" s="1" t="s">
        <v>10</v>
      </c>
      <c r="O1" s="1" t="s">
        <v>11</v>
      </c>
      <c r="P1" s="1" t="s">
        <v>12</v>
      </c>
      <c r="Q1" s="1" t="s">
        <v>9189</v>
      </c>
      <c r="R1" s="1" t="s">
        <v>13</v>
      </c>
      <c r="S1" s="1" t="s">
        <v>14</v>
      </c>
      <c r="T1" s="1" t="s">
        <v>15</v>
      </c>
      <c r="U1" s="1" t="s">
        <v>16</v>
      </c>
      <c r="V1" s="1" t="s">
        <v>17</v>
      </c>
      <c r="W1" s="1" t="s">
        <v>18</v>
      </c>
      <c r="X1" s="2"/>
      <c r="Y1" s="2"/>
    </row>
    <row r="2" spans="1:25" x14ac:dyDescent="0.2">
      <c r="A2" s="3">
        <v>2384</v>
      </c>
      <c r="B2" s="4" t="s">
        <v>19</v>
      </c>
      <c r="C2" s="3" t="s">
        <v>20</v>
      </c>
      <c r="D2" s="3" t="str">
        <f>VLOOKUP($A2,Hebrew!$A:$S,3,0)</f>
        <v>דו"ח חדש של UNDP אומר שחלה נסיגה של כ-69 שנים בהתפתחות עזה</v>
      </c>
      <c r="E2" s="3" t="s">
        <v>21</v>
      </c>
      <c r="F2" s="3" t="str">
        <f>VLOOKUP($A2,Hebrew!$A:$S,4,0)</f>
        <v>דו"ח חדש מטעם ארגון הפיתוח של האו"ם קובעת שבלי הסרת המגבלות הכלכליות ואפשרות שיקום והשקעות בפיתוח, צפויה עלייה בעוני, צמצום בתמ"ג וברמת התעסוקה בכלכלה הפלסטינית</v>
      </c>
      <c r="G2" s="3" t="s">
        <v>22</v>
      </c>
      <c r="H2" s="2"/>
      <c r="I2" s="2"/>
      <c r="J2" s="3" t="s">
        <v>23</v>
      </c>
      <c r="K2" s="3" t="s">
        <v>24</v>
      </c>
      <c r="L2" s="3" t="str">
        <f>VLOOKUP($A2,Hebrew!$A:$S,9,0)</f>
        <v>תכנית הפיתוח של האו"ם (UNPD)</v>
      </c>
      <c r="M2" s="2"/>
      <c r="N2" s="4" t="s">
        <v>25</v>
      </c>
      <c r="O2" s="3" t="s">
        <v>26</v>
      </c>
      <c r="P2" s="3" t="s">
        <v>27</v>
      </c>
      <c r="Q2" s="3" t="str">
        <f>VLOOKUP($A2,Hebrew!$A:$S,13,0)</f>
        <v>רצועת עזה</v>
      </c>
      <c r="R2" s="3" t="s">
        <v>28</v>
      </c>
      <c r="S2" s="3" t="s">
        <v>29</v>
      </c>
      <c r="T2" s="3" t="s">
        <v>30</v>
      </c>
      <c r="U2" s="2"/>
      <c r="V2" s="3" t="s">
        <v>27</v>
      </c>
      <c r="W2" s="2"/>
      <c r="X2" s="2"/>
      <c r="Y2" s="2"/>
    </row>
    <row r="3" spans="1:25" x14ac:dyDescent="0.2">
      <c r="A3" s="3">
        <v>2385</v>
      </c>
      <c r="B3" s="4" t="s">
        <v>31</v>
      </c>
      <c r="C3" s="3" t="s">
        <v>32</v>
      </c>
      <c r="D3" s="3" t="str">
        <f>VLOOKUP(A3,Hebrew!A:C,3,0)</f>
        <v>השקפת העולם של תא"ל ואך ידועה. למרות זאת הופקד על גזרה רגישה בעזה</v>
      </c>
      <c r="E3" s="3" t="s">
        <v>33</v>
      </c>
      <c r="F3" s="3" t="str">
        <f>VLOOKUP($A3,Hebrew!$A:$S,4,0)</f>
        <v>מאמר הדעה דן בפעילות הצבא ברצועת עזה וחילוקי הדעות סביב החלטות תא"ל וואך, למרות רגישות המצב</v>
      </c>
      <c r="G3" s="3" t="s">
        <v>34</v>
      </c>
      <c r="H3" s="3" t="s">
        <v>35</v>
      </c>
      <c r="I3" s="2"/>
      <c r="J3" s="3" t="s">
        <v>36</v>
      </c>
      <c r="K3" s="3" t="s">
        <v>37</v>
      </c>
      <c r="L3" s="3" t="str">
        <f>VLOOKUP($A3,Hebrew!$A:$S,9,0)</f>
        <v>יגיל לוי</v>
      </c>
      <c r="M3" s="2"/>
      <c r="N3" s="4" t="s">
        <v>38</v>
      </c>
      <c r="O3" s="3" t="s">
        <v>39</v>
      </c>
      <c r="P3" s="3" t="s">
        <v>40</v>
      </c>
      <c r="Q3" s="3" t="str">
        <f>VLOOKUP($A3,Hebrew!$A:$S,13,0)</f>
        <v>מסדרון נצרים</v>
      </c>
      <c r="R3" s="3" t="s">
        <v>41</v>
      </c>
      <c r="S3" s="3" t="s">
        <v>29</v>
      </c>
      <c r="T3" s="3" t="s">
        <v>42</v>
      </c>
      <c r="U3" s="3" t="s">
        <v>43</v>
      </c>
      <c r="V3" s="3" t="s">
        <v>40</v>
      </c>
      <c r="W3" s="2"/>
      <c r="X3" s="2"/>
      <c r="Y3" s="2"/>
    </row>
    <row r="4" spans="1:25" x14ac:dyDescent="0.2">
      <c r="A4" s="3">
        <v>2386</v>
      </c>
      <c r="B4" s="4" t="s">
        <v>44</v>
      </c>
      <c r="C4" s="3" t="s">
        <v>45</v>
      </c>
      <c r="D4" s="3" t="str">
        <f>VLOOKUP(A4,Hebrew!A:C,3,0)</f>
        <v>האו"ם: על ישראל לשאת בשלכות של הפרת הדין הבינלאומי</v>
      </c>
      <c r="E4" s="3" t="s">
        <v>46</v>
      </c>
      <c r="F4" s="3" t="str">
        <f>VLOOKUP($A4,Hebrew!$A:$S,4,0)</f>
        <v>מומחי האו"ם מאשימים את ישראל בהפרת החוק הבינלאומי בשטחים הפלסטינים הכבושים וקוראים להכרה בפשעים נגד האנושות ופשעי מלחמה.</v>
      </c>
      <c r="G4" s="3" t="s">
        <v>47</v>
      </c>
      <c r="H4" s="2"/>
      <c r="I4" s="2"/>
      <c r="J4" s="3" t="s">
        <v>48</v>
      </c>
      <c r="K4" s="3" t="s">
        <v>48</v>
      </c>
      <c r="L4" s="3" t="str">
        <f>VLOOKUP($A4,Hebrew!$A:$S,9,0)</f>
        <v>ReliefWeb</v>
      </c>
      <c r="M4" s="2"/>
      <c r="N4" s="4" t="s">
        <v>49</v>
      </c>
      <c r="O4" s="3" t="s">
        <v>26</v>
      </c>
      <c r="P4" s="3" t="s">
        <v>27</v>
      </c>
      <c r="Q4" s="3" t="str">
        <f>VLOOKUP($A4,Hebrew!$A:$S,13,0)</f>
        <v>רצועת עזה</v>
      </c>
      <c r="R4" s="3" t="s">
        <v>28</v>
      </c>
      <c r="S4" s="3" t="s">
        <v>29</v>
      </c>
      <c r="T4" s="3" t="s">
        <v>50</v>
      </c>
      <c r="U4" s="2"/>
      <c r="V4" s="3" t="s">
        <v>51</v>
      </c>
      <c r="W4" s="2"/>
      <c r="X4" s="2"/>
      <c r="Y4" s="2"/>
    </row>
    <row r="5" spans="1:25" x14ac:dyDescent="0.2">
      <c r="A5" s="3">
        <v>2387</v>
      </c>
      <c r="B5" s="4" t="s">
        <v>52</v>
      </c>
      <c r="C5" s="3" t="s">
        <v>53</v>
      </c>
      <c r="D5" s="3" t="str">
        <f>VLOOKUP(A5,Hebrew!A:C,3,0)</f>
        <v>סקר דצמבר 2024: רוב הציבור (57.5%) תומך בעסקה כוללת לשחרור כול החטופים בתמורה לסיום המלחמה</v>
      </c>
      <c r="E5" s="3" t="s">
        <v>54</v>
      </c>
      <c r="F5" s="3" t="str">
        <f>VLOOKUP($A5,Hebrew!$A:$S,4,0)</f>
        <v>סקר שערך מכון הישראלי לדמוקרטיה מצא, בין שאר הנושאים, רוב גדול התומך בעסקה כוללת לשחרור החטיפים בתמורה לסיום המלחמה.</v>
      </c>
      <c r="G5" s="3" t="s">
        <v>55</v>
      </c>
      <c r="H5" s="5">
        <v>45658</v>
      </c>
      <c r="I5" s="3" t="s">
        <v>56</v>
      </c>
      <c r="J5" s="3" t="s">
        <v>57</v>
      </c>
      <c r="K5" s="3" t="s">
        <v>58</v>
      </c>
      <c r="L5" s="3" t="str">
        <f>VLOOKUP($A5,Hebrew!$A:$S,9,0)</f>
        <v>פרופ' תמר הרמן, ד"ר ליאור יוחנני, ירון קפלן, אינה אורלי ספוז'ניקוב</v>
      </c>
      <c r="M5" s="2"/>
      <c r="N5" s="4" t="s">
        <v>59</v>
      </c>
      <c r="O5" s="3" t="s">
        <v>39</v>
      </c>
      <c r="P5" s="3" t="s">
        <v>60</v>
      </c>
      <c r="Q5" s="3" t="str">
        <f>VLOOKUP($A5,Hebrew!$A:$S,13,0)</f>
        <v>ישראל</v>
      </c>
      <c r="R5" s="3" t="s">
        <v>61</v>
      </c>
      <c r="S5" s="3" t="s">
        <v>29</v>
      </c>
      <c r="T5" s="3" t="s">
        <v>62</v>
      </c>
      <c r="U5" s="3" t="s">
        <v>43</v>
      </c>
      <c r="V5" s="3" t="s">
        <v>60</v>
      </c>
      <c r="W5" s="2"/>
      <c r="X5" s="2"/>
      <c r="Y5" s="2"/>
    </row>
    <row r="6" spans="1:25" x14ac:dyDescent="0.2">
      <c r="A6" s="3">
        <v>2388</v>
      </c>
      <c r="B6" s="4" t="s">
        <v>63</v>
      </c>
      <c r="C6" s="3" t="s">
        <v>64</v>
      </c>
      <c r="D6" s="3" t="str">
        <f>VLOOKUP(A6,Hebrew!A:C,3,0)</f>
        <v>להרוס את השליח: כך החריבה ישראל את מתקני העיתונות בעזה</v>
      </c>
      <c r="E6" s="3" t="s">
        <v>65</v>
      </c>
      <c r="F6" s="3" t="str">
        <f>VLOOKUP($A6,Hebrew!$A:$S,4,0)</f>
        <v>תחקיר של פורבידן סטוריז ושיחה מקומית בעקבות הפגיעה בעיתונאים ובמשרדיהם.</v>
      </c>
      <c r="G6" s="3" t="s">
        <v>66</v>
      </c>
      <c r="H6" s="3" t="s">
        <v>67</v>
      </c>
      <c r="I6" s="3" t="s">
        <v>68</v>
      </c>
      <c r="J6" s="3" t="s">
        <v>69</v>
      </c>
      <c r="K6" s="3" t="s">
        <v>70</v>
      </c>
      <c r="L6" s="3" t="str">
        <f>VLOOKUP($A6,Hebrew!$A:$S,9,0)</f>
        <v>לאה פרושון</v>
      </c>
      <c r="M6" s="2"/>
      <c r="N6" s="2"/>
      <c r="O6" s="3" t="s">
        <v>39</v>
      </c>
      <c r="P6" s="3" t="s">
        <v>71</v>
      </c>
      <c r="Q6" s="3" t="str">
        <f>VLOOKUP($A6,Hebrew!$A:$S,13,0)</f>
        <v>עיר עזה</v>
      </c>
      <c r="R6" s="3" t="s">
        <v>72</v>
      </c>
      <c r="S6" s="3" t="s">
        <v>29</v>
      </c>
      <c r="T6" s="3" t="s">
        <v>73</v>
      </c>
      <c r="U6" s="2"/>
      <c r="V6" s="3" t="s">
        <v>71</v>
      </c>
      <c r="W6" s="2"/>
      <c r="X6" s="2"/>
      <c r="Y6" s="2"/>
    </row>
    <row r="7" spans="1:25" x14ac:dyDescent="0.2">
      <c r="A7" s="3">
        <v>2389</v>
      </c>
      <c r="B7" s="4" t="s">
        <v>74</v>
      </c>
      <c r="C7" s="3" t="s">
        <v>75</v>
      </c>
      <c r="D7" s="3" t="str">
        <f>VLOOKUP(A7,Hebrew!A:C,3,0)</f>
        <v>שלושה חיילי מילואים מספרים מדוע יסרבו לשרת בעזה גם אם ישלמו על כך</v>
      </c>
      <c r="E7" s="3" t="s">
        <v>76</v>
      </c>
      <c r="F7" s="3" t="str">
        <f>VLOOKUP($A7,Hebrew!$A:$S,4,0)</f>
        <v>שלושה חיילי מילואים מסבירים מדוע חתמו על מכתב סירוב לשרת בעזה</v>
      </c>
      <c r="G7" s="3" t="s">
        <v>68</v>
      </c>
      <c r="H7" s="3" t="s">
        <v>77</v>
      </c>
      <c r="I7" s="2"/>
      <c r="J7" s="3" t="s">
        <v>36</v>
      </c>
      <c r="K7" s="3" t="s">
        <v>78</v>
      </c>
      <c r="L7" s="3" t="str">
        <f>VLOOKUP($A7,Hebrew!$A:$S,9,0)</f>
        <v>ליזה רוזובסקי</v>
      </c>
      <c r="M7" s="2"/>
      <c r="N7" s="2"/>
      <c r="O7" s="3" t="s">
        <v>39</v>
      </c>
      <c r="P7" s="3" t="s">
        <v>27</v>
      </c>
      <c r="Q7" s="3" t="str">
        <f>VLOOKUP($A7,Hebrew!$A:$S,13,0)</f>
        <v>רצועת עזה</v>
      </c>
      <c r="R7" s="3" t="s">
        <v>72</v>
      </c>
      <c r="S7" s="3" t="s">
        <v>29</v>
      </c>
      <c r="T7" s="3" t="s">
        <v>79</v>
      </c>
      <c r="U7" s="3" t="s">
        <v>43</v>
      </c>
      <c r="V7" s="3" t="s">
        <v>27</v>
      </c>
      <c r="W7" s="2"/>
      <c r="X7" s="2"/>
      <c r="Y7" s="2"/>
    </row>
    <row r="8" spans="1:25" x14ac:dyDescent="0.2">
      <c r="A8" s="3">
        <v>2390</v>
      </c>
      <c r="B8" s="4" t="s">
        <v>80</v>
      </c>
      <c r="C8" s="3" t="s">
        <v>81</v>
      </c>
      <c r="D8" s="3" t="str">
        <f>VLOOKUP(A8,Hebrew!A:C,3,0)</f>
        <v>המיתוס של 'מגינים אנושיים'</v>
      </c>
      <c r="E8" s="3" t="s">
        <v>82</v>
      </c>
      <c r="F8" s="3" t="str">
        <f>VLOOKUP($A8,Hebrew!$A:$S,4,0)</f>
        <v>המאמר חושף את השימוש לראה בטיעון 'מגינים אנושיים' בו משתמש הצבא הישראלי ברצועת עזה, וחושף את השפעתו על האוכלוסייה האזרחית</v>
      </c>
      <c r="G8" s="3" t="s">
        <v>83</v>
      </c>
      <c r="H8" s="2"/>
      <c r="I8" s="2"/>
      <c r="J8" s="3" t="s">
        <v>84</v>
      </c>
      <c r="K8" s="3" t="s">
        <v>85</v>
      </c>
      <c r="L8" s="3" t="str">
        <f>VLOOKUP($A8,Hebrew!$A:$S,9,0)</f>
        <v>מוחמד שחאדה</v>
      </c>
      <c r="M8" s="2"/>
      <c r="N8" s="2"/>
      <c r="O8" s="3" t="s">
        <v>26</v>
      </c>
      <c r="P8" s="3" t="s">
        <v>27</v>
      </c>
      <c r="Q8" s="3" t="str">
        <f>VLOOKUP($A8,Hebrew!$A:$S,13,0)</f>
        <v>רצועת עזה</v>
      </c>
      <c r="R8" s="3" t="s">
        <v>41</v>
      </c>
      <c r="S8" s="3" t="s">
        <v>29</v>
      </c>
      <c r="T8" s="3" t="s">
        <v>86</v>
      </c>
      <c r="U8" s="2"/>
      <c r="V8" s="3" t="s">
        <v>27</v>
      </c>
      <c r="W8" s="2"/>
      <c r="X8" s="2"/>
      <c r="Y8" s="2"/>
    </row>
    <row r="9" spans="1:25" x14ac:dyDescent="0.2">
      <c r="A9" s="3">
        <v>2391</v>
      </c>
      <c r="B9" s="4" t="s">
        <v>87</v>
      </c>
      <c r="C9" s="3" t="s">
        <v>88</v>
      </c>
      <c r="D9" s="3" t="str">
        <f>VLOOKUP(A9,Hebrew!A:C,3,0)</f>
        <v>מכתב 99 רופאים שהתנדבו לשרת בעזה לנשיא ארה"ב ביידן ולסגניתו האריס</v>
      </c>
      <c r="E9" s="3" t="s">
        <v>89</v>
      </c>
      <c r="F9" s="3" t="str">
        <f>VLOOKUP($A9,Hebrew!$A:$S,4,0)</f>
        <v>במכתב פתוח לנשיא ארה"ב ביידן ולסגניתו האריס פונים אנשי צוותי רפואה אמריקנים לפעול בדחיות למנוע המשך הקטקסטרופה בעזה ובישראל.</v>
      </c>
      <c r="G9" s="3" t="s">
        <v>90</v>
      </c>
      <c r="H9" s="3" t="s">
        <v>67</v>
      </c>
      <c r="I9" s="5">
        <v>45566</v>
      </c>
      <c r="J9" s="3" t="s">
        <v>91</v>
      </c>
      <c r="K9" s="3" t="s">
        <v>92</v>
      </c>
      <c r="L9" s="3" t="str">
        <f>VLOOKUP($A9,Hebrew!$A:$S,9,0)</f>
        <v>צוותי רפואה אמריקנים שפעלו בעזה</v>
      </c>
      <c r="M9" s="2"/>
      <c r="N9" s="2"/>
      <c r="O9" s="3" t="s">
        <v>26</v>
      </c>
      <c r="P9" s="3" t="s">
        <v>27</v>
      </c>
      <c r="Q9" s="3" t="str">
        <f>VLOOKUP($A9,Hebrew!$A:$S,13,0)</f>
        <v>רצועת עזה</v>
      </c>
      <c r="R9" s="3" t="s">
        <v>93</v>
      </c>
      <c r="S9" s="3" t="s">
        <v>29</v>
      </c>
      <c r="T9" s="3" t="s">
        <v>94</v>
      </c>
      <c r="U9" s="3" t="s">
        <v>95</v>
      </c>
      <c r="V9" s="3" t="s">
        <v>27</v>
      </c>
      <c r="W9" s="3" t="s">
        <v>96</v>
      </c>
      <c r="X9" s="2"/>
      <c r="Y9" s="2"/>
    </row>
    <row r="10" spans="1:25" x14ac:dyDescent="0.2">
      <c r="A10" s="3">
        <v>2392</v>
      </c>
      <c r="B10" s="4" t="s">
        <v>97</v>
      </c>
      <c r="C10" s="3" t="s">
        <v>98</v>
      </c>
      <c r="D10" s="3" t="str">
        <f>VLOOKUP(A10,Hebrew!A:C,3,0)</f>
        <v>איך אפשר להפציץ בניין על כל יושביו?: בבית לאהיא מחפשים ניצולים במבנה שקרס</v>
      </c>
      <c r="E10" s="3" t="s">
        <v>99</v>
      </c>
      <c r="F10" s="3" t="str">
        <f>VLOOKUP($A10,Hebrew!$A:$S,4,0)</f>
        <v>לפי הרשויות בעזה, כמאה בני אדם נהרגו ועוד עשרות נעדרים בתקיפת מבנה מגורים בן חמש קומות בבית לאהיא שאיכלס כ-200 איש. בצה"ל אומרים כי תצפיתן שהה על גג המבנה. אנשי שירותי ההצלה, המשיכו לנסות ולאתר ניצולים.</v>
      </c>
      <c r="G10" s="3" t="s">
        <v>100</v>
      </c>
      <c r="H10" s="3" t="s">
        <v>101</v>
      </c>
      <c r="I10" s="3" t="s">
        <v>101</v>
      </c>
      <c r="J10" s="3" t="s">
        <v>36</v>
      </c>
      <c r="K10" s="3" t="s">
        <v>102</v>
      </c>
      <c r="L10" s="3" t="str">
        <f>VLOOKUP($A10,Hebrew!$A:$S,9,0)</f>
        <v>ג'קי חורי</v>
      </c>
      <c r="M10" s="2"/>
      <c r="N10" s="2"/>
      <c r="O10" s="3" t="s">
        <v>39</v>
      </c>
      <c r="P10" s="3" t="s">
        <v>103</v>
      </c>
      <c r="Q10" s="3" t="str">
        <f>VLOOKUP($A10,Hebrew!$A:$S,13,0)</f>
        <v>בית לאהיא</v>
      </c>
      <c r="R10" s="3" t="s">
        <v>72</v>
      </c>
      <c r="S10" s="3" t="s">
        <v>29</v>
      </c>
      <c r="T10" s="3" t="s">
        <v>104</v>
      </c>
      <c r="U10" s="2"/>
      <c r="V10" s="3" t="s">
        <v>105</v>
      </c>
      <c r="W10" s="2"/>
      <c r="X10" s="2"/>
      <c r="Y10" s="2"/>
    </row>
    <row r="11" spans="1:25" x14ac:dyDescent="0.2">
      <c r="A11" s="3">
        <v>2393</v>
      </c>
      <c r="B11" s="4" t="s">
        <v>106</v>
      </c>
      <c r="C11" s="3" t="s">
        <v>107</v>
      </c>
      <c r="D11" s="3" t="str">
        <f>VLOOKUP(A11,Hebrew!A:C,3,0)</f>
        <v>וירוס פוליו מדבק התגלה בדגימות ביוב בעזה</v>
      </c>
      <c r="E11" s="3" t="s">
        <v>108</v>
      </c>
      <c r="F11" s="3" t="str">
        <f>VLOOKUP($A11,Hebrew!$A:$S,4,0)</f>
        <v>וירוס פוליו מדבק התגלה בדגימות ביוב בעזה ומעמיד בסכנה אלפי תושבים בגלל תנאי היגיינה ותשתיות פגועים.</v>
      </c>
      <c r="G11" s="3" t="s">
        <v>109</v>
      </c>
      <c r="H11" s="2"/>
      <c r="I11" s="2"/>
      <c r="J11" s="3" t="s">
        <v>110</v>
      </c>
      <c r="K11" s="3" t="s">
        <v>111</v>
      </c>
      <c r="L11" s="3" t="str">
        <f>VLOOKUP($A11,Hebrew!$A:$S,9,0)</f>
        <v>סוכנות הידיעות הצרפתית</v>
      </c>
      <c r="M11" s="2"/>
      <c r="N11" s="2"/>
      <c r="O11" s="3" t="s">
        <v>26</v>
      </c>
      <c r="P11" s="3" t="s">
        <v>27</v>
      </c>
      <c r="Q11" s="3" t="str">
        <f>VLOOKUP($A11,Hebrew!$A:$S,13,0)</f>
        <v>רצועת עזה</v>
      </c>
      <c r="R11" s="3" t="s">
        <v>72</v>
      </c>
      <c r="S11" s="3" t="s">
        <v>29</v>
      </c>
      <c r="T11" s="3" t="s">
        <v>112</v>
      </c>
      <c r="U11" s="2"/>
      <c r="V11" s="3" t="s">
        <v>113</v>
      </c>
      <c r="W11" s="2"/>
      <c r="X11" s="2"/>
      <c r="Y11" s="2"/>
    </row>
    <row r="12" spans="1:25" x14ac:dyDescent="0.2">
      <c r="A12" s="3">
        <v>2394</v>
      </c>
      <c r="B12" s="4" t="s">
        <v>114</v>
      </c>
      <c r="C12" s="3" t="s">
        <v>115</v>
      </c>
      <c r="D12" s="3" t="str">
        <f>VLOOKUP(A12,Hebrew!A:C,3,0)</f>
        <v>בתקיפה אווירית נהרגו מהנדסי מים ותשתיות נציגי העירייה שפעלו להחזיר לפעולה את אספקת המים</v>
      </c>
      <c r="E12" s="3" t="s">
        <v>116</v>
      </c>
      <c r="F12" s="3" t="str">
        <f>VLOOKUP($A12,Hebrew!$A:$S,4,0)</f>
        <v>בתקיפה אווירית ישראלית על בנין העירייה של עזה נהרגו לפחות ארבעה שעבדו על חידוש אספקת מים לבארות המים ובכך פגעו אנושות באספקת משאב חיוני בעזה הנצורה.</v>
      </c>
      <c r="G12" s="3" t="s">
        <v>117</v>
      </c>
      <c r="H12" s="3" t="s">
        <v>117</v>
      </c>
      <c r="I12" s="3" t="s">
        <v>117</v>
      </c>
      <c r="J12" s="3" t="s">
        <v>118</v>
      </c>
      <c r="K12" s="3" t="s">
        <v>119</v>
      </c>
      <c r="L12" s="3" t="str">
        <f>VLOOKUP($A12,Hebrew!$A:$S,9,0)</f>
        <v>נאגהם מוחאנה</v>
      </c>
      <c r="M12" s="2"/>
      <c r="N12" s="2"/>
      <c r="O12" s="3" t="s">
        <v>26</v>
      </c>
      <c r="P12" s="3" t="s">
        <v>71</v>
      </c>
      <c r="Q12" s="3" t="str">
        <f>VLOOKUP($A12,Hebrew!$A:$S,13,0)</f>
        <v>עיר עזה</v>
      </c>
      <c r="R12" s="3" t="s">
        <v>72</v>
      </c>
      <c r="S12" s="3" t="s">
        <v>29</v>
      </c>
      <c r="T12" s="3" t="s">
        <v>120</v>
      </c>
      <c r="U12" s="2"/>
      <c r="V12" s="3" t="s">
        <v>71</v>
      </c>
      <c r="W12" s="2"/>
      <c r="X12" s="2"/>
      <c r="Y12" s="2"/>
    </row>
    <row r="13" spans="1:25" x14ac:dyDescent="0.2">
      <c r="A13" s="3">
        <v>2395</v>
      </c>
      <c r="B13" s="4" t="s">
        <v>121</v>
      </c>
      <c r="C13" s="3" t="s">
        <v>122</v>
      </c>
      <c r="D13" s="3" t="str">
        <f>VLOOKUP(A13,Hebrew!A:C,3,0)</f>
        <v>עזתים מחרימים שווקים מקומיים בשל הפקעת מחירים</v>
      </c>
      <c r="E13" s="3" t="s">
        <v>123</v>
      </c>
      <c r="F13" s="3" t="str">
        <f>VLOOKUP($A13,Hebrew!$A:$S,4,0)</f>
        <v>שווקים בעזה התרוקנו בשל חרם של העזתים במחאה על האשמת הסוחרים מחירים המופקעים</v>
      </c>
      <c r="G13" s="3" t="s">
        <v>124</v>
      </c>
      <c r="H13" s="3" t="s">
        <v>125</v>
      </c>
      <c r="I13" s="2"/>
      <c r="J13" s="3" t="s">
        <v>126</v>
      </c>
      <c r="K13" s="3" t="s">
        <v>127</v>
      </c>
      <c r="L13" s="3" t="str">
        <f>VLOOKUP($A13,Hebrew!$A:$S,9,0)</f>
        <v>סוכנות הידיעות הסינית</v>
      </c>
      <c r="M13" s="2"/>
      <c r="N13" s="2"/>
      <c r="O13" s="3" t="s">
        <v>26</v>
      </c>
      <c r="P13" s="3" t="s">
        <v>128</v>
      </c>
      <c r="Q13" s="3" t="str">
        <f>VLOOKUP($A13,Hebrew!$A:$S,13,0)</f>
        <v>מרכז ודרום רצועת עזה</v>
      </c>
      <c r="R13" s="3" t="s">
        <v>72</v>
      </c>
      <c r="S13" s="3" t="s">
        <v>29</v>
      </c>
      <c r="T13" s="3" t="s">
        <v>129</v>
      </c>
      <c r="U13" s="2"/>
      <c r="V13" s="3" t="s">
        <v>27</v>
      </c>
      <c r="W13" s="2"/>
      <c r="X13" s="2"/>
      <c r="Y13" s="2"/>
    </row>
    <row r="14" spans="1:25" x14ac:dyDescent="0.2">
      <c r="A14" s="3">
        <v>2396</v>
      </c>
      <c r="B14" s="4" t="s">
        <v>130</v>
      </c>
      <c r="C14" s="3" t="s">
        <v>131</v>
      </c>
      <c r="D14" s="3" t="str">
        <f>VLOOKUP(A14,Hebrew!A:C,3,0)</f>
        <v>בתור לאוכל נמחצו למוות אישה ושני ילדים פלסטינים</v>
      </c>
      <c r="E14" s="3" t="s">
        <v>132</v>
      </c>
      <c r="F14" s="3" t="str">
        <f>VLOOKUP($A14,Hebrew!$A:$S,4,0)</f>
        <v>על רקע מצוקת המזון הגוברת ברצונת עזה נמחצו למוות אישה ושני ילדים פלסטינים בתור למאפיה.</v>
      </c>
      <c r="G14" s="3" t="s">
        <v>133</v>
      </c>
      <c r="H14" s="3" t="s">
        <v>134</v>
      </c>
      <c r="I14" s="3" t="s">
        <v>134</v>
      </c>
      <c r="J14" s="3" t="s">
        <v>135</v>
      </c>
      <c r="K14" s="3" t="s">
        <v>136</v>
      </c>
      <c r="L14" s="3" t="str">
        <f>VLOOKUP($A14,Hebrew!$A:$S,9,0)</f>
        <v>אביר סלמאן, מוחמד אל-סוואלי, איברהים דמאן, מישל מק'לאסקי</v>
      </c>
      <c r="M14" s="2"/>
      <c r="N14" s="2"/>
      <c r="O14" s="3" t="s">
        <v>26</v>
      </c>
      <c r="P14" s="3" t="s">
        <v>137</v>
      </c>
      <c r="Q14" s="3" t="str">
        <f>VLOOKUP($A14,Hebrew!$A:$S,13,0)</f>
        <v>מרכז רצועת עזה</v>
      </c>
      <c r="R14" s="3" t="s">
        <v>72</v>
      </c>
      <c r="S14" s="3" t="s">
        <v>29</v>
      </c>
      <c r="T14" s="3" t="s">
        <v>138</v>
      </c>
      <c r="U14" s="2"/>
      <c r="V14" s="3" t="s">
        <v>113</v>
      </c>
      <c r="W14" s="2"/>
      <c r="X14" s="2"/>
      <c r="Y14" s="2"/>
    </row>
    <row r="15" spans="1:25" x14ac:dyDescent="0.2">
      <c r="A15" s="3">
        <v>2397</v>
      </c>
      <c r="B15" s="4" t="s">
        <v>139</v>
      </c>
      <c r="C15" s="3" t="s">
        <v>140</v>
      </c>
      <c r="D15" s="3" t="str">
        <f>VLOOKUP(A15,Hebrew!A:C,3,0)</f>
        <v>דהומנציזציה של הפלסטינים מוצגת על ידי חיילים ישראלים בסרטונים במדיה החברתית</v>
      </c>
      <c r="E15" s="3" t="s">
        <v>141</v>
      </c>
      <c r="F15" s="3" t="str">
        <f>VLOOKUP($A15,Hebrew!$A:$S,4,0)</f>
        <v>בסרטונים תכנים מטרידים של חיילי ישראל, כולל תיאורי הרס, ביזה והתנהגות לא מכובדת כלפי פלסטינים</v>
      </c>
      <c r="G15" s="3" t="s">
        <v>142</v>
      </c>
      <c r="H15" s="2"/>
      <c r="I15" s="2"/>
      <c r="J15" s="3" t="s">
        <v>143</v>
      </c>
      <c r="K15" s="3" t="s">
        <v>144</v>
      </c>
      <c r="L15" s="3" t="str">
        <f>VLOOKUP($A15,Hebrew!$A:$S,9,0)</f>
        <v>מרי טורפה</v>
      </c>
      <c r="M15" s="2"/>
      <c r="N15" s="2"/>
      <c r="O15" s="3" t="s">
        <v>26</v>
      </c>
      <c r="P15" s="3" t="s">
        <v>27</v>
      </c>
      <c r="Q15" s="3" t="str">
        <f>VLOOKUP($A15,Hebrew!$A:$S,13,0)</f>
        <v>רצועת עזה</v>
      </c>
      <c r="R15" s="3" t="s">
        <v>72</v>
      </c>
      <c r="S15" s="3" t="s">
        <v>29</v>
      </c>
      <c r="T15" s="3" t="s">
        <v>145</v>
      </c>
      <c r="U15" s="3" t="s">
        <v>43</v>
      </c>
      <c r="V15" s="3" t="s">
        <v>27</v>
      </c>
      <c r="W15" s="2"/>
      <c r="X15" s="2"/>
      <c r="Y15" s="2"/>
    </row>
    <row r="16" spans="1:25" x14ac:dyDescent="0.2">
      <c r="A16" s="3">
        <v>2398</v>
      </c>
      <c r="B16" s="4" t="s">
        <v>146</v>
      </c>
      <c r="C16" s="3" t="s">
        <v>147</v>
      </c>
      <c r="D16" s="3" t="str">
        <f>VLOOKUP(A16,Hebrew!A:C,3,0)</f>
        <v>חיילי מילואים תוקפים נהגי משאיות עזתים העובדים עבור ארגוני סיוע</v>
      </c>
      <c r="E16" s="3" t="s">
        <v>148</v>
      </c>
      <c r="F16" s="3" t="str">
        <f>VLOOKUP($A16,Hebrew!$A:$S,4,0)</f>
        <v>חיילי מילואים תוקפים נהגי משאיות עזתים העובדים עבור ארגוני סיוע למרות שיש להם אישור מכוחות הביטחון</v>
      </c>
      <c r="G16" s="3" t="s">
        <v>149</v>
      </c>
      <c r="H16" s="5">
        <v>45505</v>
      </c>
      <c r="I16" s="2"/>
      <c r="J16" s="3" t="s">
        <v>36</v>
      </c>
      <c r="K16" s="3" t="s">
        <v>150</v>
      </c>
      <c r="L16" s="3" t="str">
        <f>VLOOKUP($A16,Hebrew!$A:$S,9,0)</f>
        <v>יניב קובוביץ</v>
      </c>
      <c r="M16" s="2"/>
      <c r="N16" s="2"/>
      <c r="O16" s="3" t="s">
        <v>26</v>
      </c>
      <c r="P16" s="3" t="s">
        <v>151</v>
      </c>
      <c r="Q16" s="3" t="str">
        <f>VLOOKUP($A16,Hebrew!$A:$S,13,0)</f>
        <v>מעבר כרם שלום</v>
      </c>
      <c r="R16" s="3" t="s">
        <v>72</v>
      </c>
      <c r="S16" s="3" t="s">
        <v>29</v>
      </c>
      <c r="T16" s="3" t="s">
        <v>152</v>
      </c>
      <c r="U16" s="3" t="s">
        <v>43</v>
      </c>
      <c r="V16" s="3" t="s">
        <v>151</v>
      </c>
      <c r="W16" s="2"/>
      <c r="X16" s="2"/>
      <c r="Y16" s="2"/>
    </row>
    <row r="17" spans="1:25" x14ac:dyDescent="0.2">
      <c r="A17" s="3">
        <v>2399</v>
      </c>
      <c r="B17" s="4" t="s">
        <v>153</v>
      </c>
      <c r="C17" s="3" t="s">
        <v>154</v>
      </c>
      <c r="D17" s="3" t="str">
        <f>VLOOKUP(A17,Hebrew!A:C,3,0)</f>
        <v>משרד החינוך קרא לבתי הספר לערוך הרקדות ומשלוחי מנות לתלמידים עקב חיסול נסראללה</v>
      </c>
      <c r="E17" s="3" t="s">
        <v>155</v>
      </c>
      <c r="F17" s="3" t="str">
        <f>VLOOKUP($A17,Hebrew!$A:$S,4,0)</f>
        <v>מינהל החינוך הדתי במשרד החינוך, האחראי על הפיקוח על רבני בתי הספר הממלכתיים־דתיים, הנחה בתי ספר לערוך חגיגות לציון הרג מנהיג חיזבאללה. היו גורמים במשרד שמתחו ביקורת על המהלך</v>
      </c>
      <c r="G17" s="3" t="s">
        <v>83</v>
      </c>
      <c r="H17" s="3" t="s">
        <v>156</v>
      </c>
      <c r="I17" s="3" t="s">
        <v>156</v>
      </c>
      <c r="J17" s="3" t="s">
        <v>157</v>
      </c>
      <c r="K17" s="3" t="s">
        <v>158</v>
      </c>
      <c r="L17" s="3" t="str">
        <f>VLOOKUP($A17,Hebrew!$A:$S,9,0)</f>
        <v>ליאור דטל</v>
      </c>
      <c r="M17" s="2"/>
      <c r="N17" s="2"/>
      <c r="O17" s="3" t="s">
        <v>39</v>
      </c>
      <c r="P17" s="3" t="s">
        <v>60</v>
      </c>
      <c r="Q17" s="3" t="str">
        <f>VLOOKUP($A17,Hebrew!$A:$S,13,0)</f>
        <v>ישראל</v>
      </c>
      <c r="R17" s="3" t="s">
        <v>72</v>
      </c>
      <c r="S17" s="3" t="s">
        <v>29</v>
      </c>
      <c r="T17" s="3" t="s">
        <v>159</v>
      </c>
      <c r="U17" s="2"/>
      <c r="V17" s="3" t="s">
        <v>60</v>
      </c>
      <c r="W17" s="3" t="s">
        <v>160</v>
      </c>
      <c r="X17" s="2"/>
      <c r="Y17" s="2"/>
    </row>
    <row r="18" spans="1:25" x14ac:dyDescent="0.2">
      <c r="A18" s="3">
        <v>2400</v>
      </c>
      <c r="B18" s="4" t="s">
        <v>161</v>
      </c>
      <c r="C18" s="3" t="s">
        <v>162</v>
      </c>
      <c r="D18" s="3" t="str">
        <f>VLOOKUP(A18,Hebrew!A:C,3,0)</f>
        <v>סגן ראש העיר ירושלים נחקר בחשד להסתה לטרור לאחר שפרסם פוסטים נגד אונר"א</v>
      </c>
      <c r="E18" s="3" t="s">
        <v>163</v>
      </c>
      <c r="F18" s="3" t="str">
        <f>VLOOKUP($A18,Hebrew!$A:$S,4,0)</f>
        <v>סגן ראש העיר ירושלים נחקר בחשד להסתה לאלימות והסתה לטרור לאחר שפרסם פוסטים נגד אונר"א ועידוד לשריפת מבני אונר"א</v>
      </c>
      <c r="G18" s="3" t="s">
        <v>164</v>
      </c>
      <c r="H18" s="3" t="s">
        <v>164</v>
      </c>
      <c r="I18" s="2"/>
      <c r="J18" s="3" t="s">
        <v>36</v>
      </c>
      <c r="K18" s="3" t="s">
        <v>165</v>
      </c>
      <c r="L18" s="3" t="str">
        <f>VLOOKUP($A18,Hebrew!$A:$S,9,0)</f>
        <v>יעל פרידסון</v>
      </c>
      <c r="M18" s="2"/>
      <c r="N18" s="2"/>
      <c r="O18" s="3" t="s">
        <v>39</v>
      </c>
      <c r="P18" s="3" t="s">
        <v>60</v>
      </c>
      <c r="Q18" s="3" t="str">
        <f>VLOOKUP($A18,Hebrew!$A:$S,13,0)</f>
        <v>ישראל</v>
      </c>
      <c r="R18" s="3" t="s">
        <v>72</v>
      </c>
      <c r="S18" s="3" t="s">
        <v>29</v>
      </c>
      <c r="T18" s="3" t="s">
        <v>166</v>
      </c>
      <c r="U18" s="3" t="s">
        <v>167</v>
      </c>
      <c r="V18" s="3" t="s">
        <v>168</v>
      </c>
      <c r="W18" s="2"/>
      <c r="X18" s="2"/>
      <c r="Y18" s="2"/>
    </row>
    <row r="19" spans="1:25" x14ac:dyDescent="0.2">
      <c r="A19" s="3">
        <v>2401</v>
      </c>
      <c r="B19" s="4" t="s">
        <v>169</v>
      </c>
      <c r="C19" s="3" t="s">
        <v>170</v>
      </c>
      <c r="D19" s="3" t="str">
        <f>VLOOKUP(A19,Hebrew!A:C,3,0)</f>
        <v>צה"ל משתמש באזרחים פלסטינים כמגינים חיים בעזה.</v>
      </c>
      <c r="E19" s="3" t="s">
        <v>171</v>
      </c>
      <c r="F19" s="3" t="str">
        <f>VLOOKUP($A19,Hebrew!$A:$S,4,0)</f>
        <v>חיילי צה"ל לפי דיווח בניו יורק טיימס מאלצים אזרחים פלסטינים לשמש כמגינים חיים ולבצע משימות מסכנות חיים.</v>
      </c>
      <c r="G19" s="3" t="s">
        <v>172</v>
      </c>
      <c r="H19" s="2"/>
      <c r="I19" s="2"/>
      <c r="J19" s="3" t="s">
        <v>173</v>
      </c>
      <c r="K19" s="3" t="s">
        <v>174</v>
      </c>
      <c r="L19" s="3" t="str">
        <f>VLOOKUP($A19,Hebrew!$A:$S,9,0)</f>
        <v>נתן אודנהיימר, בילאל שבאר, פטריק קינגסלי</v>
      </c>
      <c r="M19" s="2"/>
      <c r="N19" s="2"/>
      <c r="O19" s="3" t="s">
        <v>26</v>
      </c>
      <c r="P19" s="3" t="s">
        <v>27</v>
      </c>
      <c r="Q19" s="3" t="str">
        <f>VLOOKUP($A19,Hebrew!$A:$S,13,0)</f>
        <v>רצועת עזה</v>
      </c>
      <c r="R19" s="3" t="s">
        <v>72</v>
      </c>
      <c r="S19" s="3" t="s">
        <v>29</v>
      </c>
      <c r="T19" s="3" t="s">
        <v>175</v>
      </c>
      <c r="U19" s="3" t="s">
        <v>43</v>
      </c>
      <c r="V19" s="3" t="s">
        <v>27</v>
      </c>
      <c r="W19" s="2"/>
      <c r="X19" s="2"/>
      <c r="Y19" s="2"/>
    </row>
    <row r="20" spans="1:25" x14ac:dyDescent="0.2">
      <c r="A20" s="3">
        <v>2402</v>
      </c>
      <c r="B20" s="4" t="s">
        <v>176</v>
      </c>
      <c r="C20" s="3" t="s">
        <v>177</v>
      </c>
      <c r="D20" s="3" t="str">
        <f>VLOOKUP(A20,Hebrew!A:C,3,0)</f>
        <v>לילה עם יחידת רפאים של צה"ל, שנלחמת ברצועה כבר שמונה חודשים</v>
      </c>
      <c r="E20" s="3" t="s">
        <v>178</v>
      </c>
      <c r="F20" s="3" t="str">
        <f>VLOOKUP($A20,Hebrew!$A:$S,4,0)</f>
        <v>לילה עם יחידת רפאים של צה"ל, שמכונה גם היחידה הרב-ממדית, שתפקידה לאתר ולפגוע במחבלים בעומק שטח הלחימה באמצעות יכולות טכנולוגיות מתקדמות</v>
      </c>
      <c r="G20" s="3" t="s">
        <v>179</v>
      </c>
      <c r="H20" s="3" t="s">
        <v>117</v>
      </c>
      <c r="I20" s="2"/>
      <c r="J20" s="3" t="s">
        <v>36</v>
      </c>
      <c r="K20" s="3" t="s">
        <v>150</v>
      </c>
      <c r="L20" s="3" t="str">
        <f>VLOOKUP($A20,Hebrew!$A:$S,9,0)</f>
        <v>יניב קובוביץ</v>
      </c>
      <c r="M20" s="2"/>
      <c r="N20" s="2"/>
      <c r="O20" s="3" t="s">
        <v>39</v>
      </c>
      <c r="P20" s="3" t="s">
        <v>27</v>
      </c>
      <c r="Q20" s="3" t="str">
        <f>VLOOKUP($A20,Hebrew!$A:$S,13,0)</f>
        <v>רצועת עזה</v>
      </c>
      <c r="R20" s="3" t="s">
        <v>72</v>
      </c>
      <c r="S20" s="3" t="s">
        <v>29</v>
      </c>
      <c r="T20" s="3" t="s">
        <v>180</v>
      </c>
      <c r="U20" s="3" t="s">
        <v>43</v>
      </c>
      <c r="V20" s="3" t="s">
        <v>27</v>
      </c>
      <c r="W20" s="2"/>
      <c r="X20" s="2"/>
      <c r="Y20" s="2"/>
    </row>
    <row r="21" spans="1:25" x14ac:dyDescent="0.2">
      <c r="A21" s="3">
        <v>2403</v>
      </c>
      <c r="B21" s="4" t="s">
        <v>181</v>
      </c>
      <c r="C21" s="3" t="s">
        <v>182</v>
      </c>
      <c r="D21" s="3" t="str">
        <f>VLOOKUP(A21,Hebrew!A:C,3,0)</f>
        <v>הזמנה מטעם הליכוד לאירוע בעוטף הופצה תחת הכותרת "נערכים להתיישב בחבל עזה"</v>
      </c>
      <c r="E21" s="3" t="s">
        <v>183</v>
      </c>
      <c r="F21" s="3" t="str">
        <f>VLOOKUP($A21,Hebrew!$A:$S,4,0)</f>
        <v>לפי ההזמנה, הליכוד יקים סוכה כחלק מ"עיר סוכות" בעוטף עזה של תנועת "נחלה", שפועלת להקמת מאחזים בלתי חוקיים בגדה. בהזמנה נכתב כי ח"כים מהליכוד צפויים להגיע</v>
      </c>
      <c r="G21" s="3" t="s">
        <v>184</v>
      </c>
      <c r="H21" s="2"/>
      <c r="I21" s="2"/>
      <c r="J21" s="3" t="s">
        <v>36</v>
      </c>
      <c r="K21" s="3" t="s">
        <v>185</v>
      </c>
      <c r="L21" s="3" t="str">
        <f>VLOOKUP($A21,Hebrew!$A:$S,9,0)</f>
        <v>נועה שפיגל</v>
      </c>
      <c r="M21" s="2"/>
      <c r="N21" s="2"/>
      <c r="O21" s="3" t="s">
        <v>39</v>
      </c>
      <c r="P21" s="3" t="s">
        <v>186</v>
      </c>
      <c r="Q21" s="3" t="str">
        <f>VLOOKUP($A21,Hebrew!$A:$S,13,0)</f>
        <v>עוטף עזה</v>
      </c>
      <c r="R21" s="3" t="s">
        <v>72</v>
      </c>
      <c r="S21" s="3" t="s">
        <v>29</v>
      </c>
      <c r="T21" s="3" t="s">
        <v>187</v>
      </c>
      <c r="U21" s="2"/>
      <c r="V21" s="3" t="s">
        <v>186</v>
      </c>
      <c r="W21" s="3" t="s">
        <v>188</v>
      </c>
      <c r="X21" s="2"/>
      <c r="Y21" s="2"/>
    </row>
    <row r="22" spans="1:25" x14ac:dyDescent="0.2">
      <c r="A22" s="3">
        <v>2404</v>
      </c>
      <c r="B22" s="4" t="s">
        <v>189</v>
      </c>
      <c r="C22" s="3" t="s">
        <v>190</v>
      </c>
      <c r="D22" s="3" t="str">
        <f>VLOOKUP(A22,Hebrew!A:C,3,0)</f>
        <v>ילדי עזה החלו את שנת הלימודים בתוך חורבן, אובדן ואי ודאות</v>
      </c>
      <c r="E22" s="3" t="s">
        <v>191</v>
      </c>
      <c r="F22" s="3" t="str">
        <f>VLOOKUP($A22,Hebrew!$A:$S,4,0)</f>
        <v>מורים ואנשי חינוך בעזה החרבה מנסים לספק לילדים תוכניות חינוכיות בכיתות, באוהלים או במבנים הרוסים, אך ספק אם התוכניות האלה ישרדו תחת ההתקפות המתמשכות והחורף המתקרב</v>
      </c>
      <c r="G22" s="3" t="s">
        <v>192</v>
      </c>
      <c r="H22" s="2"/>
      <c r="I22" s="2"/>
      <c r="J22" s="3" t="s">
        <v>69</v>
      </c>
      <c r="K22" s="3" t="s">
        <v>193</v>
      </c>
      <c r="L22" s="3" t="str">
        <f>VLOOKUP($A22,Hebrew!$A:$S,9,0)</f>
        <v>רווידה כמאל עמאר ואיבתיסאם מהדי</v>
      </c>
      <c r="M22" s="2"/>
      <c r="N22" s="4" t="s">
        <v>194</v>
      </c>
      <c r="O22" s="3" t="s">
        <v>39</v>
      </c>
      <c r="P22" s="3" t="s">
        <v>27</v>
      </c>
      <c r="Q22" s="3" t="str">
        <f>VLOOKUP($A22,Hebrew!$A:$S,13,0)</f>
        <v>רצועת עזה</v>
      </c>
      <c r="R22" s="3" t="s">
        <v>72</v>
      </c>
      <c r="S22" s="3" t="s">
        <v>29</v>
      </c>
      <c r="T22" s="3" t="s">
        <v>195</v>
      </c>
      <c r="U22" s="2"/>
      <c r="V22" s="3" t="s">
        <v>27</v>
      </c>
      <c r="W22" s="2"/>
      <c r="X22" s="2"/>
      <c r="Y22" s="2"/>
    </row>
    <row r="23" spans="1:25" x14ac:dyDescent="0.2">
      <c r="A23" s="3">
        <v>2405</v>
      </c>
      <c r="B23" s="4" t="s">
        <v>196</v>
      </c>
      <c r="C23" s="3" t="s">
        <v>197</v>
      </c>
      <c r="D23" s="3" t="str">
        <f>VLOOKUP(A23,Hebrew!A:C,3,0)</f>
        <v>תחקיר זמן אמת: בסיוע חיילים הצליחה פעילת הימין להיכנס לנצרים</v>
      </c>
      <c r="E23" s="3" t="s">
        <v>198</v>
      </c>
      <c r="F23" s="3" t="str">
        <f>VLOOKUP($A23,Hebrew!$A:$S,4,0)</f>
        <v>רכב צבאי הסיע את דניאלה וייס, ממייסדות תנועת ההתיישבות, לתוך שטח צבאי סגור ברצועת עזה. שלטונות הצבא היו מודעים לכך.</v>
      </c>
      <c r="G23" s="3" t="s">
        <v>199</v>
      </c>
      <c r="H23" s="3" t="s">
        <v>200</v>
      </c>
      <c r="I23" s="2"/>
      <c r="J23" s="3" t="s">
        <v>201</v>
      </c>
      <c r="K23" s="3" t="s">
        <v>202</v>
      </c>
      <c r="L23" s="3" t="str">
        <f>VLOOKUP($A23,Hebrew!$A:$S,9,0)</f>
        <v>אבי עמית</v>
      </c>
      <c r="M23" s="2"/>
      <c r="N23" s="2"/>
      <c r="O23" s="3" t="s">
        <v>39</v>
      </c>
      <c r="P23" s="3" t="s">
        <v>27</v>
      </c>
      <c r="Q23" s="3" t="str">
        <f>VLOOKUP($A23,Hebrew!$A:$S,13,0)</f>
        <v>רצועת עזה</v>
      </c>
      <c r="R23" s="3" t="s">
        <v>72</v>
      </c>
      <c r="S23" s="3" t="s">
        <v>29</v>
      </c>
      <c r="T23" s="3" t="s">
        <v>203</v>
      </c>
      <c r="U23" s="3" t="s">
        <v>43</v>
      </c>
      <c r="V23" s="3" t="s">
        <v>27</v>
      </c>
      <c r="W23" s="2"/>
      <c r="X23" s="2"/>
      <c r="Y23" s="2"/>
    </row>
    <row r="24" spans="1:25" x14ac:dyDescent="0.2">
      <c r="A24" s="3">
        <v>2406</v>
      </c>
      <c r="B24" s="4" t="s">
        <v>204</v>
      </c>
      <c r="C24" s="3" t="s">
        <v>205</v>
      </c>
      <c r="D24" s="3" t="str">
        <f>VLOOKUP(A24,Hebrew!A:C,3,0)</f>
        <v>ישראל התחייבה לאפשר קיום עבודות לשיקום הרצועה בתחילת השלב הראשון של העסקה</v>
      </c>
      <c r="E24" s="3" t="s">
        <v>206</v>
      </c>
      <c r="F24" s="3" t="str">
        <f>VLOOKUP($A24,Hebrew!$A:$S,4,0)</f>
        <v>במסגרת ההסכם יוקמו ערי קראוונים לתושבי הרצועה במימון בינלאומי. לאחר שהממשלה אישרה הלילה את העסקה, הודיע דובר משרד החוץ הקטארי כי הפסקת האש תיכנס לתוקף מחר ב-8:30. חמאס מחויב לשלוח לישראל היום את שמות שלוש החטופות הראשונות שישוחררו</v>
      </c>
      <c r="G24" s="3" t="s">
        <v>207</v>
      </c>
      <c r="H24" s="2"/>
      <c r="I24" s="2"/>
      <c r="J24" s="3" t="s">
        <v>36</v>
      </c>
      <c r="K24" s="3" t="s">
        <v>208</v>
      </c>
      <c r="L24" s="3" t="str">
        <f>VLOOKUP($A24,Hebrew!$A:$S,9,0)</f>
        <v>יניב קובוביץ ויהונתן ליס</v>
      </c>
      <c r="M24" s="2"/>
      <c r="N24" s="2"/>
      <c r="O24" s="3" t="s">
        <v>39</v>
      </c>
      <c r="P24" s="3" t="s">
        <v>209</v>
      </c>
      <c r="Q24" s="3" t="str">
        <f>VLOOKUP($A24,Hebrew!$A:$S,13,0)</f>
        <v>צפון רצועת עזה</v>
      </c>
      <c r="R24" s="3" t="s">
        <v>72</v>
      </c>
      <c r="S24" s="3" t="s">
        <v>29</v>
      </c>
      <c r="T24" s="3" t="s">
        <v>210</v>
      </c>
      <c r="U24" s="3" t="s">
        <v>211</v>
      </c>
      <c r="V24" s="3" t="s">
        <v>212</v>
      </c>
      <c r="W24" s="2"/>
      <c r="X24" s="2"/>
      <c r="Y24" s="2"/>
    </row>
    <row r="25" spans="1:25" x14ac:dyDescent="0.2">
      <c r="A25" s="3">
        <v>2407</v>
      </c>
      <c r="B25" s="4" t="s">
        <v>213</v>
      </c>
      <c r="C25" s="3" t="s">
        <v>214</v>
      </c>
      <c r="D25" s="3" t="str">
        <f>VLOOKUP(A25,Hebrew!A:C,3,0)</f>
        <v>נתניהו מציע 5 מיליון דולר עבור כל חטוף שישוחרר</v>
      </c>
      <c r="E25" s="3" t="s">
        <v>215</v>
      </c>
      <c r="F25" s="3" t="str">
        <f>VLOOKUP($A25,Hebrew!$A:$S,4,0)</f>
        <v>נתניהו מציע פרס כספי עבור שחרור חטופים תוך שהוא דוחה הצעה להפסקת אש ומאיים להעניש מי שיפגע בחטופים.</v>
      </c>
      <c r="G25" s="3" t="s">
        <v>216</v>
      </c>
      <c r="H25" s="2"/>
      <c r="I25" s="2"/>
      <c r="J25" s="3" t="s">
        <v>173</v>
      </c>
      <c r="K25" s="3" t="s">
        <v>217</v>
      </c>
      <c r="L25" s="3" t="str">
        <f>VLOOKUP($A25,Hebrew!$A:$S,9,0)</f>
        <v>אפרת ליבני</v>
      </c>
      <c r="M25" s="2"/>
      <c r="N25" s="2"/>
      <c r="O25" s="3" t="s">
        <v>26</v>
      </c>
      <c r="P25" s="2"/>
      <c r="Q25" s="3">
        <f>VLOOKUP($A25,Hebrew!$A:$S,13,0)</f>
        <v>0</v>
      </c>
      <c r="R25" s="3" t="s">
        <v>72</v>
      </c>
      <c r="S25" s="3" t="s">
        <v>29</v>
      </c>
      <c r="T25" s="3" t="s">
        <v>218</v>
      </c>
      <c r="U25" s="2"/>
      <c r="V25" s="2"/>
      <c r="W25" s="3" t="s">
        <v>219</v>
      </c>
      <c r="X25" s="2"/>
      <c r="Y25" s="2"/>
    </row>
    <row r="26" spans="1:25" x14ac:dyDescent="0.2">
      <c r="A26" s="3">
        <v>2408</v>
      </c>
      <c r="B26" s="4" t="s">
        <v>220</v>
      </c>
      <c r="C26" s="3" t="s">
        <v>221</v>
      </c>
      <c r="D26" s="3" t="str">
        <f>VLOOKUP(A26,Hebrew!A:C,3,0)</f>
        <v>סרבנות שקטה ומושתקת: לוחמים בסדיר לא מוכנים יותר להמשיך להילחם</v>
      </c>
      <c r="E26" s="3" t="s">
        <v>222</v>
      </c>
      <c r="F26" s="3" t="str">
        <f>VLOOKUP($A26,Hebrew!$A:$S,4,0)</f>
        <v>מנח״ל ועד חטיבת הקומנדו, מגבעתי ועד הצנחנים - יותר ויותר לוחמים, מכלל יחידות החי״ר, מעידים שהשחיקה והאטימות של צה"ל לא הותירה להם ברירה אלא לסרב</v>
      </c>
      <c r="G26" s="3" t="s">
        <v>223</v>
      </c>
      <c r="H26" s="2"/>
      <c r="I26" s="2"/>
      <c r="J26" s="3" t="s">
        <v>224</v>
      </c>
      <c r="K26" s="3" t="s">
        <v>225</v>
      </c>
      <c r="L26" s="3" t="str">
        <f>VLOOKUP($A26,Hebrew!$A:$S,9,0)</f>
        <v>רביטל חובל</v>
      </c>
      <c r="M26" s="2"/>
      <c r="N26" s="2"/>
      <c r="O26" s="3" t="s">
        <v>39</v>
      </c>
      <c r="P26" s="2"/>
      <c r="Q26" s="3">
        <f>VLOOKUP($A26,Hebrew!$A:$S,13,0)</f>
        <v>0</v>
      </c>
      <c r="R26" s="3" t="s">
        <v>72</v>
      </c>
      <c r="S26" s="3" t="s">
        <v>29</v>
      </c>
      <c r="T26" s="3" t="s">
        <v>159</v>
      </c>
      <c r="U26" s="3" t="s">
        <v>43</v>
      </c>
      <c r="V26" s="2"/>
      <c r="W26" s="2"/>
      <c r="X26" s="2"/>
      <c r="Y26" s="2"/>
    </row>
    <row r="27" spans="1:25" x14ac:dyDescent="0.2">
      <c r="A27" s="3">
        <v>2409</v>
      </c>
      <c r="B27" s="4" t="s">
        <v>226</v>
      </c>
      <c r="C27" s="3" t="s">
        <v>227</v>
      </c>
      <c r="D27" s="3" t="str">
        <f>VLOOKUP(A27,Hebrew!A:C,3,0)</f>
        <v>בכיר בצוות המו"מ: ראשי מערכת הביטחון מעריכים שנתניהו לא מעוניין לקדם עסקה</v>
      </c>
      <c r="E27" s="3" t="s">
        <v>228</v>
      </c>
      <c r="F27" s="3" t="str">
        <f>VLOOKUP($A27,Hebrew!$A:$S,4,0)</f>
        <v>ידיעות על משבר ביחסים בין נתניהו למערכת הביטחון. במערכת הביטחון, וכן בארה"ב בקטאר ובמצרים, מעריכים כבר חודשים ארוכים כי נתניהו אינו מעוניין בעסקה. זאת, בין היתר כדי לשמור על שרידות הממשלה שלו.</v>
      </c>
      <c r="G27" s="3" t="s">
        <v>229</v>
      </c>
      <c r="H27" s="2"/>
      <c r="I27" s="2"/>
      <c r="J27" s="3" t="s">
        <v>36</v>
      </c>
      <c r="K27" s="3" t="s">
        <v>230</v>
      </c>
      <c r="L27" s="3" t="str">
        <f>VLOOKUP($A27,Hebrew!$A:$S,9,0)</f>
        <v>מיכאל האוזר טוב, יהונתן ליס ובר פלג</v>
      </c>
      <c r="M27" s="2"/>
      <c r="N27" s="2"/>
      <c r="O27" s="3" t="s">
        <v>39</v>
      </c>
      <c r="P27" s="3" t="s">
        <v>27</v>
      </c>
      <c r="Q27" s="3" t="str">
        <f>VLOOKUP($A27,Hebrew!$A:$S,13,0)</f>
        <v>רצועת עזה</v>
      </c>
      <c r="R27" s="3" t="s">
        <v>72</v>
      </c>
      <c r="S27" s="3" t="s">
        <v>29</v>
      </c>
      <c r="T27" s="3" t="s">
        <v>231</v>
      </c>
      <c r="U27" s="3" t="s">
        <v>232</v>
      </c>
      <c r="V27" s="3" t="s">
        <v>233</v>
      </c>
      <c r="W27" s="3" t="s">
        <v>234</v>
      </c>
      <c r="X27" s="2"/>
      <c r="Y27" s="2"/>
    </row>
    <row r="28" spans="1:25" x14ac:dyDescent="0.2">
      <c r="A28" s="3">
        <v>2410</v>
      </c>
      <c r="B28" s="4" t="s">
        <v>235</v>
      </c>
      <c r="C28" s="3" t="s">
        <v>236</v>
      </c>
      <c r="D28" s="3" t="str">
        <f>VLOOKUP(A28,Hebrew!A:C,3,0)</f>
        <v>צה"ל ושב"כ חילצו מרצועת עזה את גופתו של החייל אורון שאול שנהרג במבצע צוק איתן ב-2014</v>
      </c>
      <c r="E28" s="3" t="s">
        <v>237</v>
      </c>
      <c r="F28" s="3" t="str">
        <f>VLOOKUP($A28,Hebrew!$A:$S,4,0)</f>
        <v>גופתו של שאול נחטפה למנהרה בשג'אעייה לאחר שטיל RPG נורה על הנגמ"ש שבו היה עם חבריו. כוחות מיוחדים, בהם לוחמי שייטת 13, השתתפו בהשבתו לישראל. צה"ל: מחויבים להשיב גם את הדר גולדין ושאר החטופים</v>
      </c>
      <c r="G28" s="3" t="s">
        <v>238</v>
      </c>
      <c r="H28" s="2"/>
      <c r="I28" s="2"/>
      <c r="J28" s="3" t="s">
        <v>36</v>
      </c>
      <c r="K28" s="3" t="s">
        <v>239</v>
      </c>
      <c r="L28" s="3" t="str">
        <f>VLOOKUP($A28,Hebrew!$A:$S,9,0)</f>
        <v>יניב קובוביץ, עדי חשמונאי ובר פלג</v>
      </c>
      <c r="M28" s="2"/>
      <c r="N28" s="2"/>
      <c r="O28" s="3" t="s">
        <v>39</v>
      </c>
      <c r="P28" s="2"/>
      <c r="Q28" s="3">
        <f>VLOOKUP($A28,Hebrew!$A:$S,13,0)</f>
        <v>0</v>
      </c>
      <c r="R28" s="3" t="s">
        <v>72</v>
      </c>
      <c r="S28" s="3" t="s">
        <v>29</v>
      </c>
      <c r="T28" s="3" t="s">
        <v>180</v>
      </c>
      <c r="U28" s="3" t="s">
        <v>43</v>
      </c>
      <c r="V28" s="2"/>
      <c r="W28" s="2"/>
      <c r="X28" s="2"/>
      <c r="Y28" s="2"/>
    </row>
    <row r="29" spans="1:25" x14ac:dyDescent="0.2">
      <c r="A29" s="3">
        <v>2411</v>
      </c>
      <c r="B29" s="4" t="s">
        <v>240</v>
      </c>
      <c r="C29" s="3" t="s">
        <v>241</v>
      </c>
      <c r="D29" s="3" t="str">
        <f>VLOOKUP(A29,Hebrew!A:C,3,0)</f>
        <v>אתר "סרוגים" פירסם מאמר שתומך בטרור יהודי נגד פלסטינים</v>
      </c>
      <c r="E29" s="3" t="s">
        <v>242</v>
      </c>
      <c r="F29" s="3" t="str">
        <f>VLOOKUP($A29,Hebrew!$A:$S,4,0)</f>
        <v>בתגובה למהומות המתנחלים בג'ית שבהן נורה פלסטיני למוות, פרסם סמנכ"ל "חוננו" לשעבר, אורי קירשנבום, באתר החדשות הדתי־לאומי "סרוגים", טור תחת הכותרת "דין ג'ית כדין רפיח": "שמישהו יסביר לי למה מה שנכון בעזה לא נכון בג'נין, בחברון ובשכם"</v>
      </c>
      <c r="G29" s="3" t="s">
        <v>243</v>
      </c>
      <c r="H29" s="2"/>
      <c r="I29" s="2"/>
      <c r="J29" s="3" t="s">
        <v>36</v>
      </c>
      <c r="K29" s="3" t="s">
        <v>244</v>
      </c>
      <c r="L29" s="3" t="str">
        <f>VLOOKUP($A29,Hebrew!$A:$S,9,0)</f>
        <v>עדו דוד כהן</v>
      </c>
      <c r="M29" s="2"/>
      <c r="N29" s="2"/>
      <c r="O29" s="3" t="s">
        <v>39</v>
      </c>
      <c r="P29" s="3" t="s">
        <v>245</v>
      </c>
      <c r="Q29" s="3" t="str">
        <f>VLOOKUP($A29,Hebrew!$A:$S,13,0)</f>
        <v>הגדה המערבית</v>
      </c>
      <c r="R29" s="3" t="s">
        <v>72</v>
      </c>
      <c r="S29" s="3" t="s">
        <v>29</v>
      </c>
      <c r="T29" s="3" t="s">
        <v>246</v>
      </c>
      <c r="U29" s="2"/>
      <c r="V29" s="3" t="s">
        <v>247</v>
      </c>
      <c r="W29" s="2"/>
      <c r="X29" s="2"/>
      <c r="Y29" s="2"/>
    </row>
    <row r="30" spans="1:25" x14ac:dyDescent="0.2">
      <c r="A30" s="3">
        <v>2412</v>
      </c>
      <c r="B30" s="4" t="s">
        <v>248</v>
      </c>
      <c r="C30" s="3" t="s">
        <v>249</v>
      </c>
      <c r="D30" s="3" t="str">
        <f>VLOOKUP(A30,Hebrew!A:C,3,0)</f>
        <v>ממשלת נתניהו לא סתם מאפשרת את הטרור היהודי בגדה. היא מממנת אותו. תחקיר</v>
      </c>
      <c r="E30" s="3" t="s">
        <v>250</v>
      </c>
      <c r="F30" s="3" t="str">
        <f>VLOOKUP($A30,Hebrew!$A:$S,4,0)</f>
        <v>המתנחלים מדברים על זה במונחים של מהפכה: במקום התנחלויות מגודרות על הגבעות, הוקמו בתוך שבע שנים יותר מ–60 חוות שהשתלטו על מאות אלפי דונם בגדה. הפרויקט הנוסק הזה, שמתבסס על כוח עבודה של בני נוער שנפלטו ממסגרות, הפך למחולל המרכזי של אלימות נגד פלסטינים. והוא ממומן בעשרות מיליונים בידי המדינה</v>
      </c>
      <c r="G30" s="3" t="s">
        <v>251</v>
      </c>
      <c r="H30" s="2"/>
      <c r="I30" s="2"/>
      <c r="J30" s="3" t="s">
        <v>36</v>
      </c>
      <c r="K30" s="3" t="s">
        <v>252</v>
      </c>
      <c r="L30" s="3" t="str">
        <f>VLOOKUP($A30,Hebrew!$A:$S,9,0)</f>
        <v>הילו גלזר, הגר שיזף</v>
      </c>
      <c r="M30" s="2"/>
      <c r="N30" s="2"/>
      <c r="O30" s="3" t="s">
        <v>39</v>
      </c>
      <c r="P30" s="3" t="s">
        <v>245</v>
      </c>
      <c r="Q30" s="3" t="str">
        <f>VLOOKUP($A30,Hebrew!$A:$S,13,0)</f>
        <v>הגדה המערבית</v>
      </c>
      <c r="R30" s="3" t="s">
        <v>72</v>
      </c>
      <c r="S30" s="3" t="s">
        <v>29</v>
      </c>
      <c r="T30" s="3" t="s">
        <v>203</v>
      </c>
      <c r="U30" s="3" t="s">
        <v>253</v>
      </c>
      <c r="V30" s="3" t="s">
        <v>245</v>
      </c>
      <c r="W30" s="2"/>
      <c r="X30" s="2"/>
      <c r="Y30" s="2"/>
    </row>
    <row r="31" spans="1:25" x14ac:dyDescent="0.2">
      <c r="A31" s="3">
        <v>2413</v>
      </c>
      <c r="B31" s="4" t="s">
        <v>254</v>
      </c>
      <c r="C31" s="3" t="s">
        <v>255</v>
      </c>
      <c r="D31" s="3" t="str">
        <f>VLOOKUP(A31,Hebrew!A:C,3,0)</f>
        <v>בביקור במנהל האזרחי אמר סמוטריץ' כי הוא פועל לסגור אותו: "דיברתי עם נתניהו</v>
      </c>
      <c r="E31" s="3" t="s">
        <v>256</v>
      </c>
      <c r="F31" s="3" t="str">
        <f>VLOOKUP($A31,Hebrew!$A:$S,4,0)</f>
        <v>שר האוצר רוצה לנצל את מומנטום כניסת ממשל טראמפ, ולקדם את סיפוח יהודה ושומרון והחלת ריבונות על השטח. הכתבה מרחיבה על המשמעויות הדרמטיות של צעד כזה</v>
      </c>
      <c r="G31" s="3" t="s">
        <v>257</v>
      </c>
      <c r="H31" s="2"/>
      <c r="I31" s="2"/>
      <c r="J31" s="3" t="s">
        <v>258</v>
      </c>
      <c r="K31" s="3" t="s">
        <v>259</v>
      </c>
      <c r="L31" s="3" t="str">
        <f>VLOOKUP($A31,Hebrew!$A:$S,9,0)</f>
        <v>אלישע בן קימון</v>
      </c>
      <c r="M31" s="2"/>
      <c r="N31" s="2"/>
      <c r="O31" s="3" t="s">
        <v>39</v>
      </c>
      <c r="P31" s="3" t="s">
        <v>245</v>
      </c>
      <c r="Q31" s="3" t="str">
        <f>VLOOKUP($A31,Hebrew!$A:$S,13,0)</f>
        <v>הגדה המערבית</v>
      </c>
      <c r="R31" s="3" t="s">
        <v>72</v>
      </c>
      <c r="S31" s="3" t="s">
        <v>29</v>
      </c>
      <c r="T31" s="3" t="s">
        <v>260</v>
      </c>
      <c r="U31" s="3" t="s">
        <v>253</v>
      </c>
      <c r="V31" s="3" t="s">
        <v>245</v>
      </c>
      <c r="W31" s="3" t="s">
        <v>261</v>
      </c>
      <c r="X31" s="2"/>
      <c r="Y31" s="2"/>
    </row>
    <row r="32" spans="1:25" x14ac:dyDescent="0.2">
      <c r="A32" s="3">
        <v>2414</v>
      </c>
      <c r="B32" s="4" t="s">
        <v>262</v>
      </c>
      <c r="C32" s="3" t="s">
        <v>263</v>
      </c>
      <c r="D32" s="3" t="str">
        <f>VLOOKUP(A32,Hebrew!A:C,3,0)</f>
        <v>בן גביר דורש מהמשטרה לתעדף הריסת מבנים לא חוקיים שמאכלסים משפחות</v>
      </c>
      <c r="E32" s="3" t="s">
        <v>264</v>
      </c>
      <c r="F32" s="3" t="str">
        <f>VLOOKUP($A32,Hebrew!$A:$S,4,0)</f>
        <v>השר לביטחון לאומי איתמר בן גביר התערב במדיניות האכיפה של המשטרה בהריסת מבנים לא חוקיים, והורה לבכירים בארגון לתעדף הריסת בתים המאוכלסים על ידי משפחות על אף שאין לו הסמכות לקבוע את מדיניות ההריסה</v>
      </c>
      <c r="G32" s="3" t="s">
        <v>265</v>
      </c>
      <c r="H32" s="2"/>
      <c r="I32" s="2"/>
      <c r="J32" s="3" t="s">
        <v>36</v>
      </c>
      <c r="K32" s="3" t="s">
        <v>266</v>
      </c>
      <c r="L32" s="3" t="str">
        <f>VLOOKUP($A32,Hebrew!$A:$S,9,0)</f>
        <v>יהושע (ג'וש) בריינר</v>
      </c>
      <c r="M32" s="2"/>
      <c r="N32" s="2"/>
      <c r="O32" s="3" t="s">
        <v>39</v>
      </c>
      <c r="P32" s="3" t="s">
        <v>267</v>
      </c>
      <c r="Q32" s="3" t="str">
        <f>VLOOKUP($A32,Hebrew!$A:$S,13,0)</f>
        <v>נגב</v>
      </c>
      <c r="R32" s="3" t="s">
        <v>72</v>
      </c>
      <c r="S32" s="3" t="s">
        <v>29</v>
      </c>
      <c r="T32" s="3" t="s">
        <v>246</v>
      </c>
      <c r="U32" s="3" t="s">
        <v>268</v>
      </c>
      <c r="V32" s="3" t="s">
        <v>267</v>
      </c>
      <c r="W32" s="3" t="s">
        <v>269</v>
      </c>
      <c r="X32" s="2"/>
      <c r="Y32" s="2"/>
    </row>
    <row r="33" spans="1:25" x14ac:dyDescent="0.2">
      <c r="A33" s="3">
        <v>2415</v>
      </c>
      <c r="B33" s="4" t="s">
        <v>270</v>
      </c>
      <c r="C33" s="3" t="s">
        <v>271</v>
      </c>
      <c r="D33" s="3" t="str">
        <f>VLOOKUP(A33,Hebrew!A:C,3,0)</f>
        <v>במחנה הפליטים שועפט לא מאמינים שהרשויות ייכנסו לנעלי אונר"א</v>
      </c>
      <c r="E33" s="3" t="s">
        <v>272</v>
      </c>
      <c r="F33" s="3" t="str">
        <f>VLOOKUP($A33,Hebrew!$A:$S,4,0)</f>
        <v>כמו בהחלטות רבות שנוגעות לירושלים מאז 1967, גם החוק לסילוק אונר"א לא הגיע על רקע רצון לפתור בעיה כלשהי, להקל על תושבי ירושלים או לקדם עתיד טוב יותר. גם אם יש בעיות בסוכנות, לא מדובר בארגון טרור, אלא בארגון שמספק שירותים חיוניים למאות אלפי בני אדם</v>
      </c>
      <c r="G33" s="3" t="s">
        <v>100</v>
      </c>
      <c r="H33" s="2"/>
      <c r="I33" s="2"/>
      <c r="J33" s="3" t="s">
        <v>36</v>
      </c>
      <c r="K33" s="3" t="s">
        <v>273</v>
      </c>
      <c r="L33" s="3" t="str">
        <f>VLOOKUP($A33,Hebrew!$A:$S,9,0)</f>
        <v>ניר חסון</v>
      </c>
      <c r="M33" s="2"/>
      <c r="N33" s="2"/>
      <c r="O33" s="3" t="s">
        <v>39</v>
      </c>
      <c r="P33" s="3" t="s">
        <v>274</v>
      </c>
      <c r="Q33" s="3" t="str">
        <f>VLOOKUP($A33,Hebrew!$A:$S,13,0)</f>
        <v>מזרח ירושלים</v>
      </c>
      <c r="R33" s="3" t="s">
        <v>41</v>
      </c>
      <c r="S33" s="3" t="s">
        <v>29</v>
      </c>
      <c r="T33" s="2"/>
      <c r="U33" s="3" t="s">
        <v>275</v>
      </c>
      <c r="V33" s="3" t="s">
        <v>168</v>
      </c>
      <c r="W33" s="2"/>
      <c r="X33" s="2"/>
      <c r="Y33" s="2"/>
    </row>
    <row r="34" spans="1:25" x14ac:dyDescent="0.2">
      <c r="A34" s="3">
        <v>2416</v>
      </c>
      <c r="B34" s="4" t="s">
        <v>276</v>
      </c>
      <c r="C34" s="3" t="s">
        <v>277</v>
      </c>
      <c r="D34" s="3" t="str">
        <f>VLOOKUP(A34,Hebrew!A:C,3,0)</f>
        <v>אושר בטרומית: המשטרה תוכל לחדור למחשב או לטלפון אישי בלא ידיעת בעליו</v>
      </c>
      <c r="E34" s="3" t="s">
        <v>278</v>
      </c>
      <c r="F34" s="3" t="str">
        <f>VLOOKUP($A34,Hebrew!$A:$S,4,0)</f>
        <v>מליאת הכנסת אישרה בקריאה טרומית הצעה, לפיה קצין בדרגת ניצב־משנה ומעלה יוכל לבקש אישור מנשיא בית המשפט המחוזי או מסגנו לחדור למחשבים אישיים ולהעתיק מהם חומרים, אם שוכנע שהפעולה נדרשת למניעת "פשע חמור". החוק לא יחול על עבירות שחיתות כגון שוחד, מרמה והפרת אמונים</v>
      </c>
      <c r="G34" s="3" t="s">
        <v>200</v>
      </c>
      <c r="H34" s="2"/>
      <c r="I34" s="2"/>
      <c r="J34" s="3" t="s">
        <v>36</v>
      </c>
      <c r="K34" s="3" t="s">
        <v>279</v>
      </c>
      <c r="L34" s="3" t="str">
        <f>VLOOKUP($A34,Hebrew!$A:$S,9,0)</f>
        <v>נעה שפיגל</v>
      </c>
      <c r="M34" s="2"/>
      <c r="N34" s="2"/>
      <c r="O34" s="3" t="s">
        <v>39</v>
      </c>
      <c r="P34" s="3" t="s">
        <v>60</v>
      </c>
      <c r="Q34" s="3" t="str">
        <f>VLOOKUP($A34,Hebrew!$A:$S,13,0)</f>
        <v>ישראל</v>
      </c>
      <c r="R34" s="3" t="s">
        <v>72</v>
      </c>
      <c r="S34" s="3" t="s">
        <v>29</v>
      </c>
      <c r="T34" s="3" t="s">
        <v>280</v>
      </c>
      <c r="U34" s="3" t="s">
        <v>268</v>
      </c>
      <c r="V34" s="3" t="s">
        <v>60</v>
      </c>
      <c r="W34" s="2"/>
      <c r="X34" s="2"/>
      <c r="Y34" s="2"/>
    </row>
    <row r="35" spans="1:25" x14ac:dyDescent="0.2">
      <c r="A35" s="3">
        <v>2417</v>
      </c>
      <c r="B35" s="4" t="s">
        <v>281</v>
      </c>
      <c r="C35" s="3" t="s">
        <v>282</v>
      </c>
      <c r="D35" s="3" t="str">
        <f>VLOOKUP(A35,Hebrew!A:C,3,0)</f>
        <v>מדוע נחשבים הנתונים שמספק משרד הבריאות הפלסטיני בעזה לגבי מספר המתים אמינים?</v>
      </c>
      <c r="E35" s="3" t="s">
        <v>283</v>
      </c>
      <c r="F35" s="3" t="str">
        <f>VLOOKUP($A35,Hebrew!$A:$S,4,0)</f>
        <v>המאמר סוקר את חילוקי הדעות לגבי נתונים שמספק משרד הבריאות בעזה. במאמר נטען שהנתונים אמינים ומקובלים.</v>
      </c>
      <c r="G35" s="3" t="s">
        <v>284</v>
      </c>
      <c r="H35" s="2"/>
      <c r="I35" s="2"/>
      <c r="J35" s="3" t="s">
        <v>285</v>
      </c>
      <c r="K35" s="3" t="s">
        <v>286</v>
      </c>
      <c r="L35" s="3" t="str">
        <f>VLOOKUP($A35,Hebrew!$A:$S,9,0)</f>
        <v>אסמה אעד</v>
      </c>
      <c r="M35" s="2"/>
      <c r="N35" s="2"/>
      <c r="O35" s="3" t="s">
        <v>26</v>
      </c>
      <c r="P35" s="3" t="s">
        <v>27</v>
      </c>
      <c r="Q35" s="3" t="str">
        <f>VLOOKUP($A35,Hebrew!$A:$S,13,0)</f>
        <v>רצועת עזה</v>
      </c>
      <c r="R35" s="3" t="s">
        <v>61</v>
      </c>
      <c r="S35" s="3" t="s">
        <v>29</v>
      </c>
      <c r="T35" s="3" t="s">
        <v>280</v>
      </c>
      <c r="U35" s="3" t="s">
        <v>287</v>
      </c>
      <c r="V35" s="3" t="s">
        <v>27</v>
      </c>
      <c r="W35" s="2"/>
      <c r="X35" s="2"/>
      <c r="Y35" s="2"/>
    </row>
    <row r="36" spans="1:25" x14ac:dyDescent="0.2">
      <c r="A36" s="3">
        <v>2418</v>
      </c>
      <c r="B36" s="4" t="s">
        <v>288</v>
      </c>
      <c r="C36" s="3" t="s">
        <v>289</v>
      </c>
      <c r="D36" s="3" t="str">
        <f>VLOOKUP(A36,Hebrew!A:C,3,0)</f>
        <v>פעילים ישראלים נעצרו על צביעת כביש בירושלים לפני שנה וחצי</v>
      </c>
      <c r="E36" s="3" t="s">
        <v>290</v>
      </c>
      <c r="F36" s="3" t="str">
        <f>VLOOKUP($A36,Hebrew!$A:$S,4,0)</f>
        <v>שני פעילים נעצרו לחקירה בחשד ששלפני יותר משנה צבעו כביש בירושלים במחאה נגד המהפכה המשטרית.</v>
      </c>
      <c r="G36" s="3" t="s">
        <v>291</v>
      </c>
      <c r="H36" s="2"/>
      <c r="I36" s="2"/>
      <c r="J36" s="3" t="s">
        <v>36</v>
      </c>
      <c r="K36" s="3" t="s">
        <v>292</v>
      </c>
      <c r="L36" s="3" t="str">
        <f>VLOOKUP($A36,Hebrew!$A:$S,9,0)</f>
        <v>בר פלג</v>
      </c>
      <c r="M36" s="2"/>
      <c r="N36" s="2"/>
      <c r="O36" s="3" t="s">
        <v>39</v>
      </c>
      <c r="P36" s="3" t="s">
        <v>168</v>
      </c>
      <c r="Q36" s="3" t="str">
        <f>VLOOKUP($A36,Hebrew!$A:$S,13,0)</f>
        <v>ירושלים</v>
      </c>
      <c r="R36" s="3" t="s">
        <v>72</v>
      </c>
      <c r="S36" s="3" t="s">
        <v>29</v>
      </c>
      <c r="T36" s="3" t="s">
        <v>293</v>
      </c>
      <c r="U36" s="2"/>
      <c r="V36" s="3" t="s">
        <v>168</v>
      </c>
      <c r="W36" s="2"/>
      <c r="X36" s="2"/>
      <c r="Y36" s="2"/>
    </row>
    <row r="37" spans="1:25" x14ac:dyDescent="0.2">
      <c r="A37" s="3">
        <v>2419</v>
      </c>
      <c r="B37" s="4" t="s">
        <v>294</v>
      </c>
      <c r="C37" s="3" t="s">
        <v>295</v>
      </c>
      <c r="D37" s="3" t="str">
        <f>VLOOKUP(A37,Hebrew!A:C,3,0)</f>
        <v>הריס מציעה תמיכה לישראל אך מדגישה את מצוקתם של הפלסטינים לאחר שיחה עם נתניהו</v>
      </c>
      <c r="E37" s="3" t="s">
        <v>296</v>
      </c>
      <c r="F37" s="3" t="str">
        <f>VLOOKUP($A37,Hebrew!$A:$S,4,0)</f>
        <v>סגנית הנשיא קמלה האריס מביעה תמיכה בזכותה של ישראל להגן על עצמה, אך גם מדגישה את הסבל של הפלסטינים במהלך פגישה עם ראש הממשלה בנימין נתניהו.</v>
      </c>
      <c r="G37" s="3" t="s">
        <v>297</v>
      </c>
      <c r="H37" s="2"/>
      <c r="I37" s="2"/>
      <c r="J37" s="3" t="s">
        <v>173</v>
      </c>
      <c r="K37" s="3" t="s">
        <v>298</v>
      </c>
      <c r="L37" s="3" t="str">
        <f>VLOOKUP($A37,Hebrew!$A:$S,9,0)</f>
        <v>פיטר בייקר</v>
      </c>
      <c r="M37" s="2"/>
      <c r="N37" s="2"/>
      <c r="O37" s="3" t="s">
        <v>26</v>
      </c>
      <c r="P37" s="2"/>
      <c r="Q37" s="3">
        <f>VLOOKUP($A37,Hebrew!$A:$S,13,0)</f>
        <v>0</v>
      </c>
      <c r="R37" s="3" t="s">
        <v>72</v>
      </c>
      <c r="S37" s="3" t="s">
        <v>29</v>
      </c>
      <c r="T37" s="3" t="s">
        <v>299</v>
      </c>
      <c r="U37" s="2"/>
      <c r="V37" s="2"/>
      <c r="W37" s="3" t="s">
        <v>300</v>
      </c>
      <c r="X37" s="2"/>
      <c r="Y37" s="2"/>
    </row>
    <row r="38" spans="1:25" x14ac:dyDescent="0.2">
      <c r="A38" s="3">
        <v>2420</v>
      </c>
      <c r="B38" s="4" t="s">
        <v>301</v>
      </c>
      <c r="C38" s="3" t="s">
        <v>302</v>
      </c>
      <c r="D38" s="3" t="str">
        <f>VLOOKUP(A38,Hebrew!A:C,3,0)</f>
        <v>כמה פקידים אמריקאים, ישראלים וערבים רואים את מוחמד דחלאן הפלסטיני כמנהיג אפשרי של כוח ביטחון זמני אחרי המלחמה.</v>
      </c>
      <c r="E38" s="3" t="s">
        <v>303</v>
      </c>
      <c r="F38" s="3" t="str">
        <f>VLOOKUP($A38,Hebrew!$A:$S,4,0)</f>
        <v>כחלק מהדיונים על מה שמכונה "היום שאחרי" בעזה, פקידים אמריקאים, ערבים וישראלים הציעו שמוחמד דחלאן, שהיה בעבר ראש כוחות הביטחון של הרשות הפלסטינית וחי כיום באבו דאבי, ימונה לאחראי על הביטחון ברצועת עזה, לאחר שהמלחמה תסתיים.</v>
      </c>
      <c r="G38" s="3" t="s">
        <v>297</v>
      </c>
      <c r="H38" s="2"/>
      <c r="I38" s="2"/>
      <c r="J38" s="3" t="s">
        <v>304</v>
      </c>
      <c r="K38" s="3" t="s">
        <v>305</v>
      </c>
      <c r="L38" s="3" t="str">
        <f>VLOOKUP($A38,Hebrew!$A:$S,9,0)</f>
        <v>סאמר סייד, פאטימה עבדולכרים, וסטיבן קלין</v>
      </c>
      <c r="M38" s="2"/>
      <c r="N38" s="2"/>
      <c r="O38" s="3" t="s">
        <v>26</v>
      </c>
      <c r="P38" s="2"/>
      <c r="Q38" s="3" t="str">
        <f>VLOOKUP($A38,Hebrew!$A:$S,13,0)</f>
        <v>רצועת עזה</v>
      </c>
      <c r="R38" s="3" t="s">
        <v>72</v>
      </c>
      <c r="S38" s="3" t="s">
        <v>29</v>
      </c>
      <c r="T38" s="2"/>
      <c r="U38" s="3" t="s">
        <v>306</v>
      </c>
      <c r="V38" s="2"/>
      <c r="W38" s="2"/>
      <c r="X38" s="2"/>
      <c r="Y38" s="2"/>
    </row>
    <row r="39" spans="1:25" x14ac:dyDescent="0.2">
      <c r="A39" s="3">
        <v>2421</v>
      </c>
      <c r="B39" s="4" t="s">
        <v>307</v>
      </c>
      <c r="C39" s="3" t="s">
        <v>308</v>
      </c>
      <c r="D39" s="3" t="str">
        <f>VLOOKUP(A39,Hebrew!A:C,3,0)</f>
        <v>ביבי במלחמה: בנימין נתניהו על המשבר ההיסטורי של ישראל ועל מדיניתו</v>
      </c>
      <c r="E39" s="3" t="s">
        <v>309</v>
      </c>
      <c r="F39" s="3" t="str">
        <f>VLOOKUP($A39,Hebrew!$A:$S,4,0)</f>
        <v>הנהגת בנימין נתניהו בתקופה של סכסוך וביקורת, עם דגש על אתגרי הביטחון של ישראל ויחסים בינלאומיים.</v>
      </c>
      <c r="G39" s="3" t="s">
        <v>310</v>
      </c>
      <c r="H39" s="2"/>
      <c r="I39" s="2"/>
      <c r="J39" s="3" t="s">
        <v>311</v>
      </c>
      <c r="K39" s="3" t="s">
        <v>312</v>
      </c>
      <c r="L39" s="3" t="str">
        <f>VLOOKUP($A39,Hebrew!$A:$S,9,0)</f>
        <v>אריק קורטלסה</v>
      </c>
      <c r="M39" s="2"/>
      <c r="N39" s="2"/>
      <c r="O39" s="3" t="s">
        <v>26</v>
      </c>
      <c r="P39" s="2"/>
      <c r="Q39" s="3">
        <f>VLOOKUP($A39,Hebrew!$A:$S,13,0)</f>
        <v>0</v>
      </c>
      <c r="R39" s="3" t="s">
        <v>72</v>
      </c>
      <c r="S39" s="3" t="s">
        <v>29</v>
      </c>
      <c r="T39" s="3" t="s">
        <v>313</v>
      </c>
      <c r="U39" s="3" t="s">
        <v>314</v>
      </c>
      <c r="V39" s="2"/>
      <c r="W39" s="3" t="s">
        <v>315</v>
      </c>
      <c r="X39" s="2"/>
      <c r="Y39" s="2"/>
    </row>
    <row r="40" spans="1:25" x14ac:dyDescent="0.2">
      <c r="A40" s="3">
        <v>2422</v>
      </c>
      <c r="B40" s="4" t="s">
        <v>316</v>
      </c>
      <c r="C40" s="3" t="s">
        <v>317</v>
      </c>
      <c r="D40" s="3" t="str">
        <f>VLOOKUP(A40,Hebrew!A:C,3,0)</f>
        <v>שנה של מאמץ אמריקאי לשחרר את בני הערובה, לסיים את הלחימה בעזה ולהביא שלום למזרח התיכון</v>
      </c>
      <c r="E40" s="3" t="s">
        <v>318</v>
      </c>
      <c r="F40" s="3" t="str">
        <f>VLOOKUP($A40,Hebrew!$A:$S,4,0)</f>
        <v>המאמר מספק תיאור כרונולוגי של המאמצים האמריקאיים לתווך שלום במזרח התיכון, תוך התמקדות במעורבות של ממשלת ביידן במהלך הסכסוך בין ישראל לחמאס.</v>
      </c>
      <c r="G40" s="3" t="s">
        <v>319</v>
      </c>
      <c r="H40" s="2"/>
      <c r="I40" s="2"/>
      <c r="J40" s="3" t="s">
        <v>320</v>
      </c>
      <c r="K40" s="3" t="s">
        <v>321</v>
      </c>
      <c r="L40" s="3" t="str">
        <f>VLOOKUP($A40,Hebrew!$A:$S,9,0)</f>
        <v>פרנקלין פויר</v>
      </c>
      <c r="M40" s="2"/>
      <c r="N40" s="2"/>
      <c r="O40" s="3" t="s">
        <v>26</v>
      </c>
      <c r="P40" s="3" t="s">
        <v>212</v>
      </c>
      <c r="Q40" s="3" t="str">
        <f>VLOOKUP($A40,Hebrew!$A:$S,13,0)</f>
        <v>צפון רצועת עזה</v>
      </c>
      <c r="R40" s="3" t="s">
        <v>72</v>
      </c>
      <c r="S40" s="3" t="s">
        <v>29</v>
      </c>
      <c r="T40" s="3" t="s">
        <v>322</v>
      </c>
      <c r="U40" s="3" t="s">
        <v>43</v>
      </c>
      <c r="V40" s="3" t="s">
        <v>212</v>
      </c>
      <c r="W40" s="3" t="s">
        <v>323</v>
      </c>
      <c r="X40" s="2"/>
      <c r="Y40" s="2"/>
    </row>
    <row r="41" spans="1:25" x14ac:dyDescent="0.2">
      <c r="A41" s="3">
        <v>2423</v>
      </c>
      <c r="B41" s="4" t="s">
        <v>324</v>
      </c>
      <c r="C41" s="3" t="s">
        <v>325</v>
      </c>
      <c r="D41" s="3" t="str">
        <f>VLOOKUP(A41,Hebrew!A:C,3,0)</f>
        <v>בבית לאחיא הנצורה, גופות מרקיבות מפוזרות בין ההריסות</v>
      </c>
      <c r="E41" s="3" t="s">
        <v>326</v>
      </c>
      <c r="F41" s="3" t="str">
        <f>VLOOKUP($A41,Hebrew!$A:$S,4,0)</f>
        <v>המאמר מתאר את המצב הקשה בבית לאהיא, עזה, שבו התושבים מתמודדים עם הפצצות ישראליות מתמשכות, מחסור במזון ובמים, ותנאי חיים מתדרדרים.</v>
      </c>
      <c r="G41" s="3" t="s">
        <v>327</v>
      </c>
      <c r="H41" s="2"/>
      <c r="I41" s="2"/>
      <c r="J41" s="3" t="s">
        <v>69</v>
      </c>
      <c r="K41" s="3" t="s">
        <v>328</v>
      </c>
      <c r="L41" s="3" t="str">
        <f>VLOOKUP($A41,Hebrew!$A:$S,9,0)</f>
        <v>איברהים מוחמד</v>
      </c>
      <c r="M41" s="2"/>
      <c r="N41" s="2"/>
      <c r="O41" s="3" t="s">
        <v>39</v>
      </c>
      <c r="P41" s="3" t="s">
        <v>105</v>
      </c>
      <c r="Q41" s="3" t="str">
        <f>VLOOKUP($A41,Hebrew!$A:$S,13,0)</f>
        <v>בית לאהיא</v>
      </c>
      <c r="R41" s="3" t="s">
        <v>72</v>
      </c>
      <c r="S41" s="3" t="s">
        <v>29</v>
      </c>
      <c r="T41" s="3" t="s">
        <v>329</v>
      </c>
      <c r="U41" s="3" t="s">
        <v>43</v>
      </c>
      <c r="V41" s="3" t="s">
        <v>105</v>
      </c>
      <c r="W41" s="2"/>
      <c r="X41" s="2"/>
      <c r="Y41" s="2"/>
    </row>
    <row r="42" spans="1:25" x14ac:dyDescent="0.2">
      <c r="A42" s="3">
        <v>2424</v>
      </c>
      <c r="B42" s="4" t="s">
        <v>330</v>
      </c>
      <c r="C42" s="3" t="s">
        <v>331</v>
      </c>
      <c r="D42" s="3" t="str">
        <f>VLOOKUP(A42,Hebrew!A:C,3,0)</f>
        <v>מצעד המוות מבית לאהיא</v>
      </c>
      <c r="E42" s="3" t="s">
        <v>332</v>
      </c>
      <c r="F42" s="3" t="str">
        <f>VLOOKUP($A42,Hebrew!$A:$S,4,0)</f>
        <v>חוסאם שבת מדווח על הגירוש ההמוני מבית לאהיא, עזה, תחת הפגזות ארטילריה כבדות וירי.</v>
      </c>
      <c r="G42" s="3" t="s">
        <v>257</v>
      </c>
      <c r="H42" s="2"/>
      <c r="I42" s="2"/>
      <c r="J42" s="3" t="s">
        <v>333</v>
      </c>
      <c r="K42" s="3" t="s">
        <v>334</v>
      </c>
      <c r="L42" s="3" t="str">
        <f>VLOOKUP($A42,Hebrew!$A:$S,9,0)</f>
        <v>חוסאם שבת</v>
      </c>
      <c r="M42" s="2"/>
      <c r="N42" s="2"/>
      <c r="O42" s="3" t="s">
        <v>26</v>
      </c>
      <c r="P42" s="3" t="s">
        <v>105</v>
      </c>
      <c r="Q42" s="3" t="str">
        <f>VLOOKUP($A42,Hebrew!$A:$S,13,0)</f>
        <v>בית לאהיא</v>
      </c>
      <c r="R42" s="3" t="s">
        <v>72</v>
      </c>
      <c r="S42" s="3" t="s">
        <v>29</v>
      </c>
      <c r="T42" s="3" t="s">
        <v>335</v>
      </c>
      <c r="U42" s="3" t="s">
        <v>43</v>
      </c>
      <c r="V42" s="3" t="s">
        <v>336</v>
      </c>
      <c r="W42" s="2"/>
      <c r="X42" s="2"/>
      <c r="Y42" s="2"/>
    </row>
    <row r="43" spans="1:25" x14ac:dyDescent="0.2">
      <c r="A43" s="3">
        <v>2425</v>
      </c>
      <c r="B43" s="4" t="s">
        <v>337</v>
      </c>
      <c r="C43" s="3" t="s">
        <v>338</v>
      </c>
      <c r="D43" s="3" t="str">
        <f>VLOOKUP(A43,Hebrew!A:C,3,0)</f>
        <v>דיווחים פלסטיניים: צה"ל מגביר את התקיפות על בתי חולים בצפון הרצועה ומפנה בכוח מטופלים</v>
      </c>
      <c r="E43" s="3" t="s">
        <v>339</v>
      </c>
      <c r="F43" s="3" t="str">
        <f>VLOOKUP($A43,Hebrew!$A:$S,4,0)</f>
        <v>דיווחים פלסטיניים מצביעים על כך שהצבא הישראלי מגביר את התקפותיו על בתי חולים בצפון רצועת עזה, מפנה בכוח מטופלים וגורם נזק.</v>
      </c>
      <c r="G43" s="3" t="s">
        <v>340</v>
      </c>
      <c r="H43" s="2"/>
      <c r="I43" s="2"/>
      <c r="J43" s="3" t="s">
        <v>36</v>
      </c>
      <c r="K43" s="3" t="s">
        <v>341</v>
      </c>
      <c r="L43" s="3" t="str">
        <f>VLOOKUP($A43,Hebrew!$A:$S,9,0)</f>
        <v>רואן סלימאן, ג'קי חורי</v>
      </c>
      <c r="M43" s="2"/>
      <c r="N43" s="2"/>
      <c r="O43" s="3" t="s">
        <v>39</v>
      </c>
      <c r="P43" s="3" t="s">
        <v>212</v>
      </c>
      <c r="Q43" s="3" t="str">
        <f>VLOOKUP($A43,Hebrew!$A:$S,13,0)</f>
        <v>צפון רצועת עזה</v>
      </c>
      <c r="R43" s="3" t="s">
        <v>72</v>
      </c>
      <c r="S43" s="3" t="s">
        <v>29</v>
      </c>
      <c r="T43" s="3" t="s">
        <v>342</v>
      </c>
      <c r="U43" s="3" t="s">
        <v>314</v>
      </c>
      <c r="V43" s="3" t="s">
        <v>343</v>
      </c>
      <c r="W43" s="2"/>
      <c r="X43" s="2"/>
      <c r="Y43" s="2"/>
    </row>
    <row r="44" spans="1:25" x14ac:dyDescent="0.2">
      <c r="A44" s="3">
        <v>2426</v>
      </c>
      <c r="B44" s="4" t="s">
        <v>344</v>
      </c>
      <c r="C44" s="3" t="s">
        <v>345</v>
      </c>
      <c r="D44" s="3" t="str">
        <f>VLOOKUP(A44,Hebrew!A:C,3,0)</f>
        <v>תוכנית ה'גנרלים' השנויה במחלוקת בצפון עזה צוברת תאוצה</v>
      </c>
      <c r="E44" s="3" t="s">
        <v>346</v>
      </c>
      <c r="F44" s="3" t="str">
        <f>VLOOKUP($A44,Hebrew!$A:$S,4,0)</f>
        <v>חברי ועדת החוץ והביטחון של הכנסת דורשים ממשרד הביטחון הישראלי ליישם את מה שמכונה "תוכנית הגנרלים", הכוללת פינוי כפוי של אזרחים ושלילת אנרגיה, מזון ומים בצפון עזה.</v>
      </c>
      <c r="G44" s="3" t="s">
        <v>347</v>
      </c>
      <c r="H44" s="2"/>
      <c r="I44" s="2"/>
      <c r="J44" s="3" t="s">
        <v>348</v>
      </c>
      <c r="K44" s="3" t="s">
        <v>349</v>
      </c>
      <c r="L44" s="3" t="str">
        <f>VLOOKUP($A44,Hebrew!$A:$S,9,0)</f>
        <v>שירית אביטן כהן</v>
      </c>
      <c r="M44" s="2"/>
      <c r="N44" s="2"/>
      <c r="O44" s="3" t="s">
        <v>26</v>
      </c>
      <c r="P44" s="3" t="s">
        <v>212</v>
      </c>
      <c r="Q44" s="3" t="str">
        <f>VLOOKUP($A44,Hebrew!$A:$S,13,0)</f>
        <v>צפון רצועת עזה</v>
      </c>
      <c r="R44" s="3" t="s">
        <v>72</v>
      </c>
      <c r="S44" s="3" t="s">
        <v>29</v>
      </c>
      <c r="T44" s="3" t="s">
        <v>350</v>
      </c>
      <c r="U44" s="3" t="s">
        <v>314</v>
      </c>
      <c r="V44" s="3" t="s">
        <v>212</v>
      </c>
      <c r="W44" s="2"/>
      <c r="X44" s="2"/>
      <c r="Y44" s="2"/>
    </row>
    <row r="45" spans="1:25" x14ac:dyDescent="0.2">
      <c r="A45" s="3">
        <v>2427</v>
      </c>
      <c r="B45" s="4" t="s">
        <v>351</v>
      </c>
      <c r="C45" s="3" t="s">
        <v>352</v>
      </c>
      <c r="D45" s="3" t="str">
        <f>VLOOKUP(A45,Hebrew!A:C,3,0)</f>
        <v>פשרת הרווארד ואנטישמיות - פיצוי</v>
      </c>
      <c r="E45" s="3" t="s">
        <v>353</v>
      </c>
      <c r="F45" s="3" t="str">
        <f>VLOOKUP($A45,Hebrew!$A:$S,4,0)</f>
        <v>אוניברסיטת הרווארד הגיעה להסכם עם סטודנטים יהודים ומרכז ברנדייס לזכויות האדם בעקבות האשמות על כך שלא טיפלה באנטישמיות בקמפוס. ההסכם כולל פיצוי, אימוץ ההגדרה של IHRA לאנטישמיות, והקמת שותפויות עם אוניברסיטאות ישראליות.</v>
      </c>
      <c r="G45" s="3" t="s">
        <v>354</v>
      </c>
      <c r="H45" s="2"/>
      <c r="I45" s="2"/>
      <c r="J45" s="3" t="s">
        <v>258</v>
      </c>
      <c r="K45" s="3" t="s">
        <v>355</v>
      </c>
      <c r="L45" s="3" t="str">
        <f>VLOOKUP($A45,Hebrew!$A:$S,9,0)</f>
        <v>דניאל אדלסון</v>
      </c>
      <c r="M45" s="2"/>
      <c r="N45" s="2"/>
      <c r="O45" s="3" t="s">
        <v>39</v>
      </c>
      <c r="P45" s="3" t="s">
        <v>95</v>
      </c>
      <c r="Q45" s="3" t="str">
        <f>VLOOKUP($A45,Hebrew!$A:$S,13,0)</f>
        <v>ארה"ב</v>
      </c>
      <c r="R45" s="3" t="s">
        <v>72</v>
      </c>
      <c r="S45" s="3" t="s">
        <v>29</v>
      </c>
      <c r="T45" s="3" t="s">
        <v>356</v>
      </c>
      <c r="U45" s="3" t="s">
        <v>95</v>
      </c>
      <c r="V45" s="3" t="s">
        <v>357</v>
      </c>
      <c r="W45" s="2"/>
      <c r="X45" s="2"/>
      <c r="Y45" s="2"/>
    </row>
    <row r="46" spans="1:25" x14ac:dyDescent="0.2">
      <c r="A46" s="3">
        <v>2428</v>
      </c>
      <c r="B46" s="4" t="s">
        <v>358</v>
      </c>
      <c r="C46" s="3" t="s">
        <v>359</v>
      </c>
      <c r="D46" s="3" t="str">
        <f>VLOOKUP(A46,Hebrew!A:C,3,0)</f>
        <v>סטודנטים ואנשי סגל במכללות מחפשים מרחב לדעות מורכבות על מלחמת ישראל-חמאס בקמפוסים המפולגים עמוקות.</v>
      </c>
      <c r="E46" s="3" t="s">
        <v>360</v>
      </c>
      <c r="F46" s="3" t="str">
        <f>VLOOKUP($A46,Hebrew!$A:$S,4,0)</f>
        <v>המאמר דן במאמצים של סטודנטים ואנשי סגל במכללות ליצור מרחב לדעות מורכבות על מלחמת ישראל-חמאס על רקע הפיצולים בקמפוסים.</v>
      </c>
      <c r="G46" s="3" t="s">
        <v>34</v>
      </c>
      <c r="H46" s="2"/>
      <c r="I46" s="2"/>
      <c r="J46" s="3" t="s">
        <v>173</v>
      </c>
      <c r="K46" s="3" t="s">
        <v>361</v>
      </c>
      <c r="L46" s="3" t="str">
        <f>VLOOKUP($A46,Hebrew!$A:$S,9,0)</f>
        <v>שרון אוטרמן</v>
      </c>
      <c r="M46" s="2"/>
      <c r="N46" s="2"/>
      <c r="O46" s="3" t="s">
        <v>26</v>
      </c>
      <c r="P46" s="3" t="s">
        <v>95</v>
      </c>
      <c r="Q46" s="3" t="str">
        <f>VLOOKUP($A46,Hebrew!$A:$S,13,0)</f>
        <v>ארה"ב</v>
      </c>
      <c r="R46" s="3" t="s">
        <v>72</v>
      </c>
      <c r="S46" s="3" t="s">
        <v>29</v>
      </c>
      <c r="T46" s="3" t="s">
        <v>362</v>
      </c>
      <c r="U46" s="2"/>
      <c r="V46" s="3" t="s">
        <v>357</v>
      </c>
      <c r="W46" s="2"/>
      <c r="X46" s="2"/>
      <c r="Y46" s="2"/>
    </row>
    <row r="47" spans="1:25" x14ac:dyDescent="0.2">
      <c r="A47" s="3">
        <v>2429</v>
      </c>
      <c r="B47" s="4" t="s">
        <v>363</v>
      </c>
      <c r="C47" s="3" t="s">
        <v>364</v>
      </c>
      <c r="D47" s="3" t="str">
        <f>VLOOKUP(A47,Hebrew!A:C,3,0)</f>
        <v>פרופסור מאוניברסיטת תל אביב האשים את ישראל בפשעי מלחמה</v>
      </c>
      <c r="E47" s="3" t="s">
        <v>365</v>
      </c>
      <c r="F47" s="3" t="str">
        <f>VLOOKUP($A47,Hebrew!$A:$S,4,0)</f>
        <v>CAMERA בקמפוס, ארגון המנטר את השיח בקמפוסים אוניברסיטאיים בארצות הברית ובישראל, הקליט בסתר שיחה מאורגנת על ידי סטודנטים על המצב בעזה עם הפרופסור הישראלי עידן לנדו באוניברסיטת תל אביב וסיפק לעיתון הימני "מקור ראשון" את ההקלטות, וטען כי פרופ' לנדו האשים את ישראל ללא בסיס בפשעי מלחמה בעזה.</v>
      </c>
      <c r="G47" s="3" t="s">
        <v>366</v>
      </c>
      <c r="H47" s="3" t="s">
        <v>367</v>
      </c>
      <c r="I47" s="3" t="s">
        <v>367</v>
      </c>
      <c r="J47" s="3" t="s">
        <v>368</v>
      </c>
      <c r="K47" s="3" t="s">
        <v>369</v>
      </c>
      <c r="L47" s="3" t="str">
        <f>VLOOKUP($A47,Hebrew!$A:$S,9,0)</f>
        <v>אביגיל זית</v>
      </c>
      <c r="M47" s="2"/>
      <c r="N47" s="2"/>
      <c r="O47" s="3" t="s">
        <v>39</v>
      </c>
      <c r="P47" s="2"/>
      <c r="Q47" s="3">
        <f>VLOOKUP($A47,Hebrew!$A:$S,13,0)</f>
        <v>0</v>
      </c>
      <c r="R47" s="3" t="s">
        <v>72</v>
      </c>
      <c r="S47" s="3" t="s">
        <v>29</v>
      </c>
      <c r="T47" s="3" t="s">
        <v>370</v>
      </c>
      <c r="U47" s="3" t="s">
        <v>314</v>
      </c>
      <c r="V47" s="2"/>
      <c r="W47" s="2"/>
      <c r="X47" s="2"/>
      <c r="Y47" s="2"/>
    </row>
    <row r="48" spans="1:25" x14ac:dyDescent="0.2">
      <c r="A48" s="3">
        <v>2430</v>
      </c>
      <c r="B48" s="4" t="s">
        <v>371</v>
      </c>
      <c r="C48" s="3" t="s">
        <v>372</v>
      </c>
      <c r="D48" s="3" t="str">
        <f>VLOOKUP(A48,Hebrew!A:C,3,0)</f>
        <v>70 אנשים הודו שהם העמידו פנים שהם קורבנות של ה-7 באוקטובר</v>
      </c>
      <c r="E48" s="3" t="s">
        <v>373</v>
      </c>
      <c r="F48" s="3" t="str">
        <f>VLOOKUP($A48,Hebrew!$A:$S,4,0)</f>
        <v>עשרות חשודים נמצאים בחקירה על כך שטוענים שהם קורבנות הטבח במפגש 'סופרנובה סוכות' (נובה) ליד קיבוץ רעים וקהילות בגבול עזה ב-7 באוקטובר. החוקרים חושדים בטענות שקריות על טראומה כדי לקבל מענק מביטוח לאומי ושוקלים להגיש נגדם כתבי אישום.</v>
      </c>
      <c r="G48" s="3" t="s">
        <v>354</v>
      </c>
      <c r="H48" s="2"/>
      <c r="I48" s="2"/>
      <c r="J48" s="3" t="s">
        <v>374</v>
      </c>
      <c r="K48" s="3" t="s">
        <v>375</v>
      </c>
      <c r="L48" s="3" t="str">
        <f>VLOOKUP($A48,Hebrew!$A:$S,9,0)</f>
        <v>אלי סניור, אביעד גליקמן</v>
      </c>
      <c r="M48" s="2"/>
      <c r="N48" s="2"/>
      <c r="O48" s="3" t="s">
        <v>39</v>
      </c>
      <c r="P48" s="2"/>
      <c r="Q48" s="3">
        <f>VLOOKUP($A48,Hebrew!$A:$S,13,0)</f>
        <v>0</v>
      </c>
      <c r="R48" s="3" t="s">
        <v>72</v>
      </c>
      <c r="S48" s="3" t="s">
        <v>29</v>
      </c>
      <c r="T48" s="3" t="s">
        <v>159</v>
      </c>
      <c r="U48" s="3" t="s">
        <v>268</v>
      </c>
      <c r="V48" s="2"/>
      <c r="W48" s="2"/>
      <c r="X48" s="2"/>
      <c r="Y48" s="2"/>
    </row>
    <row r="49" spans="1:25" x14ac:dyDescent="0.2">
      <c r="A49" s="3">
        <v>2431</v>
      </c>
      <c r="B49" s="4" t="s">
        <v>376</v>
      </c>
      <c r="C49" s="3" t="s">
        <v>377</v>
      </c>
      <c r="D49" s="3" t="str">
        <f>VLOOKUP(A49,Hebrew!A:C,3,0)</f>
        <v>כנס היסטוריונים מגנה את השמדת הידע והחינוך בעזה</v>
      </c>
      <c r="E49" s="3" t="s">
        <v>378</v>
      </c>
      <c r="F49" s="3" t="str">
        <f>VLOOKUP($A49,Hebrew!$A:$S,4,0)</f>
        <v>חברי האגודה ההיסטורית האמריקאית בכנס השנתי הצביעו נהשמדת הידע והחינוך בעזה ומימון המלחמה של ישראל על ידי ארצות הברית, וקוראים להפסקת אש קבועה ולתמיכה בתשתית החינוכית של עזה.</v>
      </c>
      <c r="G49" s="3" t="s">
        <v>379</v>
      </c>
      <c r="H49" s="2"/>
      <c r="I49" s="2"/>
      <c r="J49" s="3" t="s">
        <v>380</v>
      </c>
      <c r="K49" s="3" t="s">
        <v>381</v>
      </c>
      <c r="L49" s="3" t="str">
        <f>VLOOKUP($A49,Hebrew!$A:$S,9,0)</f>
        <v>ראיין קווין</v>
      </c>
      <c r="M49" s="2"/>
      <c r="N49" s="2"/>
      <c r="O49" s="3" t="s">
        <v>26</v>
      </c>
      <c r="P49" s="2"/>
      <c r="Q49" s="3">
        <f>VLOOKUP($A49,Hebrew!$A:$S,13,0)</f>
        <v>0</v>
      </c>
      <c r="R49" s="3" t="s">
        <v>72</v>
      </c>
      <c r="S49" s="3" t="s">
        <v>29</v>
      </c>
      <c r="T49" s="3" t="s">
        <v>382</v>
      </c>
      <c r="U49" s="3" t="s">
        <v>383</v>
      </c>
      <c r="V49" s="2"/>
      <c r="W49" s="2"/>
      <c r="X49" s="2"/>
      <c r="Y49" s="2"/>
    </row>
    <row r="50" spans="1:25" x14ac:dyDescent="0.2">
      <c r="A50" s="3">
        <v>2432</v>
      </c>
      <c r="B50" s="4" t="s">
        <v>384</v>
      </c>
      <c r="C50" s="3" t="s">
        <v>385</v>
      </c>
      <c r="D50" s="3" t="str">
        <f>VLOOKUP(A50,Hebrew!A:C,3,0)</f>
        <v>בן גביר וחשוד בפשע: מתברר שהדמות הדומיננטית במשטרה היא המפקח על שירות בתי הסוהר הישראלי קובי יעקבי.</v>
      </c>
      <c r="E50" s="3" t="s">
        <v>386</v>
      </c>
      <c r="F50" s="3" t="str">
        <f>VLOOKUP($A50,Hebrew!$A:$S,4,0)</f>
        <v>דרמה במשרדו של שר הביטחון הלאומי, איתמר בן גביר, עם סירובו של מפקד משטרה ללוות אותו להר הבית, חושפת מאבקים על סמכויות בתוך כוחות המשטרה.</v>
      </c>
      <c r="G50" s="3" t="s">
        <v>291</v>
      </c>
      <c r="H50" s="2"/>
      <c r="I50" s="2"/>
      <c r="J50" s="3" t="s">
        <v>36</v>
      </c>
      <c r="K50" s="3" t="s">
        <v>266</v>
      </c>
      <c r="L50" s="3" t="str">
        <f>VLOOKUP($A50,Hebrew!$A:$S,9,0)</f>
        <v>יהושע (ג'וש) בריינר</v>
      </c>
      <c r="M50" s="2"/>
      <c r="N50" s="2"/>
      <c r="O50" s="3" t="s">
        <v>39</v>
      </c>
      <c r="P50" s="3" t="s">
        <v>168</v>
      </c>
      <c r="Q50" s="3" t="str">
        <f>VLOOKUP($A50,Hebrew!$A:$S,13,0)</f>
        <v>ירושלים</v>
      </c>
      <c r="R50" s="3" t="s">
        <v>72</v>
      </c>
      <c r="S50" s="3" t="s">
        <v>29</v>
      </c>
      <c r="T50" s="2"/>
      <c r="U50" s="3" t="s">
        <v>387</v>
      </c>
      <c r="V50" s="3" t="s">
        <v>168</v>
      </c>
      <c r="W50" s="3" t="s">
        <v>388</v>
      </c>
      <c r="X50" s="2"/>
      <c r="Y50" s="2"/>
    </row>
    <row r="51" spans="1:25" x14ac:dyDescent="0.2">
      <c r="A51" s="3">
        <v>354</v>
      </c>
      <c r="B51" s="4" t="s">
        <v>389</v>
      </c>
      <c r="C51" s="3" t="s">
        <v>390</v>
      </c>
      <c r="D51" s="3" t="str">
        <f>VLOOKUP(A51,Hebrew!A:C,3,0)</f>
        <v>משפחה שנאלצה בעקבות הנסיבות לעזוב את האוהל ולחפש מקלט בדירה שכורה</v>
      </c>
      <c r="E51" s="3" t="s">
        <v>391</v>
      </c>
      <c r="F51" s="3" t="str">
        <f>VLOOKUP($A51,Hebrew!$A:$S,4,0)</f>
        <v>משפחה נאלצה לעזוב את האוהל ולחפש מגורים בשכירות בדירה שרופה ב-1200 ש"ח (330$), בגלל התנאים הקשים באזורים המוגדרים בטוחים.</v>
      </c>
      <c r="G51" s="3" t="s">
        <v>392</v>
      </c>
      <c r="H51" s="3" t="s">
        <v>392</v>
      </c>
      <c r="I51" s="3" t="s">
        <v>392</v>
      </c>
      <c r="J51" s="3" t="s">
        <v>393</v>
      </c>
      <c r="K51" s="3" t="s">
        <v>394</v>
      </c>
      <c r="L51" s="3" t="str">
        <f>VLOOKUP($A51,Hebrew!$A:$S,9,0)</f>
        <v>Ibrahim Massri (@IamIbrahim21)</v>
      </c>
      <c r="M51" s="2"/>
      <c r="N51" s="2"/>
      <c r="O51" s="3" t="s">
        <v>26</v>
      </c>
      <c r="P51" s="3" t="s">
        <v>395</v>
      </c>
      <c r="Q51" s="3" t="str">
        <f>VLOOKUP($A51,Hebrew!$A:$S,13,0)</f>
        <v>חאן יונס</v>
      </c>
      <c r="R51" s="3" t="s">
        <v>396</v>
      </c>
      <c r="S51" s="3" t="s">
        <v>397</v>
      </c>
      <c r="T51" s="3" t="s">
        <v>398</v>
      </c>
      <c r="U51" s="2"/>
      <c r="V51" s="3" t="s">
        <v>395</v>
      </c>
      <c r="W51" s="2"/>
      <c r="X51" s="2"/>
      <c r="Y51" s="2"/>
    </row>
    <row r="52" spans="1:25" x14ac:dyDescent="0.2">
      <c r="A52" s="3">
        <v>355</v>
      </c>
      <c r="B52" s="4" t="s">
        <v>399</v>
      </c>
      <c r="C52" s="3" t="s">
        <v>400</v>
      </c>
      <c r="D52" s="3" t="str">
        <f>VLOOKUP(A52,Hebrew!A:C,3,0)</f>
        <v>תיעוד של מתקפת רחפן של צה"ל על עזה</v>
      </c>
      <c r="E52" s="3" t="s">
        <v>401</v>
      </c>
      <c r="F52" s="3" t="str">
        <f>VLOOKUP($A52,Hebrew!$A:$S,4,0)</f>
        <v>התקפת רחפן על עזה תועדה על ידי חיילי צה"ל. הרחפן הופל והצילומים שלו שודרו על ידי אל ג'זירה.</v>
      </c>
      <c r="G52" s="3" t="s">
        <v>402</v>
      </c>
      <c r="H52" s="3" t="s">
        <v>403</v>
      </c>
      <c r="I52" s="3" t="s">
        <v>403</v>
      </c>
      <c r="J52" s="3" t="s">
        <v>393</v>
      </c>
      <c r="K52" s="3" t="s">
        <v>404</v>
      </c>
      <c r="L52" s="3" t="str">
        <f>VLOOKUP($A52,Hebrew!$A:$S,9,0)</f>
        <v>Jalal (@JalalAK_jojo)</v>
      </c>
      <c r="M52" s="2"/>
      <c r="N52" s="2"/>
      <c r="O52" s="3" t="s">
        <v>26</v>
      </c>
      <c r="P52" s="3" t="s">
        <v>27</v>
      </c>
      <c r="Q52" s="3" t="str">
        <f>VLOOKUP($A52,Hebrew!$A:$S,13,0)</f>
        <v>רצועת עזה</v>
      </c>
      <c r="R52" s="3" t="s">
        <v>396</v>
      </c>
      <c r="S52" s="3" t="s">
        <v>405</v>
      </c>
      <c r="T52" s="3" t="s">
        <v>406</v>
      </c>
      <c r="U52" s="3" t="s">
        <v>43</v>
      </c>
      <c r="V52" s="3" t="s">
        <v>27</v>
      </c>
      <c r="W52" s="2"/>
      <c r="X52" s="2"/>
      <c r="Y52" s="2"/>
    </row>
    <row r="53" spans="1:25" x14ac:dyDescent="0.2">
      <c r="A53" s="3">
        <v>356</v>
      </c>
      <c r="B53" s="4" t="s">
        <v>407</v>
      </c>
      <c r="C53" s="3" t="s">
        <v>408</v>
      </c>
      <c r="D53" s="3" t="str">
        <f>VLOOKUP(A53,Hebrew!A:C,3,0)</f>
        <v>איתמר בן-גביר מכריז על כוונה ליישב מחדש את עזה ולפנות אותה מפלסטינים</v>
      </c>
      <c r="E53" s="3" t="s">
        <v>409</v>
      </c>
      <c r="F53" s="3" t="str">
        <f>VLOOKUP($A53,Hebrew!$A:$S,4,0)</f>
        <v>איתמר בן גביר מכריז על כוונה לפנות את עזה מפלסטינים, במטרה לכבוש אותה ולהקים בה יישובים.</v>
      </c>
      <c r="G53" s="3" t="s">
        <v>410</v>
      </c>
      <c r="H53" s="3" t="s">
        <v>410</v>
      </c>
      <c r="I53" s="3" t="s">
        <v>410</v>
      </c>
      <c r="J53" s="3" t="s">
        <v>393</v>
      </c>
      <c r="K53" s="3" t="s">
        <v>411</v>
      </c>
      <c r="L53" s="3" t="str">
        <f>VLOOKUP($A53,Hebrew!$A:$S,9,0)</f>
        <v>Khaled Yousry (@KhaledYousry22)</v>
      </c>
      <c r="M53" s="2"/>
      <c r="N53" s="2"/>
      <c r="O53" s="3" t="s">
        <v>412</v>
      </c>
      <c r="P53" s="3" t="s">
        <v>60</v>
      </c>
      <c r="Q53" s="3" t="str">
        <f>VLOOKUP($A53,Hebrew!$A:$S,13,0)</f>
        <v>ישראל</v>
      </c>
      <c r="R53" s="3" t="s">
        <v>396</v>
      </c>
      <c r="S53" s="3" t="s">
        <v>413</v>
      </c>
      <c r="T53" s="3" t="s">
        <v>414</v>
      </c>
      <c r="U53" s="3" t="s">
        <v>253</v>
      </c>
      <c r="V53" s="3" t="s">
        <v>60</v>
      </c>
      <c r="W53" s="3" t="s">
        <v>269</v>
      </c>
      <c r="X53" s="2"/>
      <c r="Y53" s="2"/>
    </row>
    <row r="54" spans="1:25" x14ac:dyDescent="0.2">
      <c r="A54" s="3">
        <v>357</v>
      </c>
      <c r="B54" s="4" t="s">
        <v>415</v>
      </c>
      <c r="C54" s="3" t="s">
        <v>416</v>
      </c>
      <c r="D54" s="3" t="str">
        <f>VLOOKUP(A54,Hebrew!A:C,3,0)</f>
        <v>בצלאל סמוטריץ' קורא לשוב לגוש קטיף</v>
      </c>
      <c r="E54" s="3" t="s">
        <v>417</v>
      </c>
      <c r="F54" s="3" t="str">
        <f>VLOOKUP($A54,Hebrew!$A:$S,4,0)</f>
        <v>בצלאל סמוטריץ' קורא לשוב לגוש קטיף בטקס במרכז התורה והארץ.</v>
      </c>
      <c r="G54" s="3" t="s">
        <v>410</v>
      </c>
      <c r="H54" s="3" t="s">
        <v>410</v>
      </c>
      <c r="I54" s="3" t="s">
        <v>410</v>
      </c>
      <c r="J54" s="3" t="s">
        <v>393</v>
      </c>
      <c r="K54" s="3" t="s">
        <v>418</v>
      </c>
      <c r="L54" s="3" t="str">
        <f>VLOOKUP($A54,Hebrew!$A:$S,9,0)</f>
        <v>N12 חדשות (@N12News)</v>
      </c>
      <c r="M54" s="2"/>
      <c r="N54" s="2"/>
      <c r="O54" s="3" t="s">
        <v>39</v>
      </c>
      <c r="P54" s="3" t="s">
        <v>60</v>
      </c>
      <c r="Q54" s="3" t="str">
        <f>VLOOKUP($A54,Hebrew!$A:$S,13,0)</f>
        <v>ישראל</v>
      </c>
      <c r="R54" s="3" t="s">
        <v>396</v>
      </c>
      <c r="S54" s="3" t="s">
        <v>405</v>
      </c>
      <c r="T54" s="3" t="s">
        <v>419</v>
      </c>
      <c r="U54" s="3" t="s">
        <v>420</v>
      </c>
      <c r="V54" s="3" t="s">
        <v>60</v>
      </c>
      <c r="W54" s="3" t="s">
        <v>261</v>
      </c>
      <c r="X54" s="2"/>
      <c r="Y54" s="2"/>
    </row>
    <row r="55" spans="1:25" x14ac:dyDescent="0.2">
      <c r="A55" s="3">
        <v>358</v>
      </c>
      <c r="B55" s="4" t="s">
        <v>421</v>
      </c>
      <c r="C55" s="3" t="s">
        <v>422</v>
      </c>
      <c r="D55" s="3" t="str">
        <f>VLOOKUP(A55,Hebrew!A:C,3,0)</f>
        <v>אמנים המופיעים בפני חיילי צה"ל מחזקים מגמות של הסתה, גזענות ופוליטיקה קיצועית</v>
      </c>
      <c r="E55" s="3" t="s">
        <v>423</v>
      </c>
      <c r="F55" s="3" t="str">
        <f>VLOOKUP($A55,Hebrew!$A:$S,4,0)</f>
        <v>שרשור של 19 ציוצים שכולל מספר מקרים של אמנים המופיעים בפני חיילי צה"ל ומחזקים מגמות קיימות של גזענות וקיצוניות וקריאות לשוב ולהקים התנחלויות בעזה. השרשור כולל דוגמאות נוספות לגזענות ולדה-הומניזציה, כמו גם תקוות לפגוע באנשים חפים מפשע בעזה.</v>
      </c>
      <c r="G55" s="3" t="s">
        <v>424</v>
      </c>
      <c r="H55" s="2"/>
      <c r="I55" s="2"/>
      <c r="J55" s="3" t="s">
        <v>393</v>
      </c>
      <c r="K55" s="3" t="s">
        <v>425</v>
      </c>
      <c r="L55" s="3" t="str">
        <f>VLOOKUP($A55,Hebrew!$A:$S,9,0)</f>
        <v>יהודה שאול (@YehudaShaul)</v>
      </c>
      <c r="M55" s="2"/>
      <c r="N55" s="2"/>
      <c r="O55" s="3" t="s">
        <v>426</v>
      </c>
      <c r="P55" s="3" t="s">
        <v>27</v>
      </c>
      <c r="Q55" s="3" t="str">
        <f>VLOOKUP($A55,Hebrew!$A:$S,13,0)</f>
        <v>רצועת עזה</v>
      </c>
      <c r="R55" s="3" t="s">
        <v>396</v>
      </c>
      <c r="S55" s="3" t="s">
        <v>413</v>
      </c>
      <c r="T55" s="3" t="s">
        <v>427</v>
      </c>
      <c r="U55" s="3" t="s">
        <v>43</v>
      </c>
      <c r="V55" s="3" t="s">
        <v>27</v>
      </c>
      <c r="W55" s="2"/>
      <c r="X55" s="2"/>
      <c r="Y55" s="2"/>
    </row>
    <row r="56" spans="1:25" x14ac:dyDescent="0.2">
      <c r="A56" s="3">
        <v>359</v>
      </c>
      <c r="B56" s="4" t="s">
        <v>428</v>
      </c>
      <c r="C56" s="3" t="s">
        <v>429</v>
      </c>
      <c r="D56" s="3" t="str">
        <f>VLOOKUP(A56,Hebrew!A:C,3,0)</f>
        <v>חייל צה"ל תועד משחית רכוש בית ספר בעזה</v>
      </c>
      <c r="E56" s="3" t="s">
        <v>430</v>
      </c>
      <c r="F56" s="3" t="str">
        <f>VLOOKUP($A56,Hebrew!$A:$S,4,0)</f>
        <v>חייל ישראלי מצלם את עצמו בבית ספר יסודי כשהוא הורס תעודות המוקירות תלמידים מוכשרים בעזה, תוך כדי שהוא מכריז על כוונתו לחזור לגוש קטיף וליישב מחדש את עזה.</v>
      </c>
      <c r="G56" s="3" t="s">
        <v>431</v>
      </c>
      <c r="H56" s="2"/>
      <c r="I56" s="2"/>
      <c r="J56" s="3" t="s">
        <v>393</v>
      </c>
      <c r="K56" s="3" t="s">
        <v>432</v>
      </c>
      <c r="L56" s="3" t="str">
        <f>VLOOKUP($A56,Hebrew!$A:$S,9,0)</f>
        <v>Abier (@abierkhatib)</v>
      </c>
      <c r="M56" s="2"/>
      <c r="N56" s="2"/>
      <c r="O56" s="3" t="s">
        <v>426</v>
      </c>
      <c r="P56" s="3" t="s">
        <v>27</v>
      </c>
      <c r="Q56" s="3" t="str">
        <f>VLOOKUP($A56,Hebrew!$A:$S,13,0)</f>
        <v>רצועת עזה</v>
      </c>
      <c r="R56" s="3" t="s">
        <v>396</v>
      </c>
      <c r="S56" s="3" t="s">
        <v>405</v>
      </c>
      <c r="T56" s="3" t="s">
        <v>433</v>
      </c>
      <c r="U56" s="3" t="s">
        <v>43</v>
      </c>
      <c r="V56" s="3" t="s">
        <v>27</v>
      </c>
      <c r="W56" s="2"/>
      <c r="X56" s="2"/>
      <c r="Y56" s="2"/>
    </row>
    <row r="57" spans="1:25" x14ac:dyDescent="0.2">
      <c r="A57" s="3">
        <v>361</v>
      </c>
      <c r="B57" s="4" t="s">
        <v>434</v>
      </c>
      <c r="C57" s="3" t="s">
        <v>435</v>
      </c>
      <c r="D57" s="3" t="str">
        <f>VLOOKUP(A57,Hebrew!A:C,3,0)</f>
        <v>חוסר בהירות לגבי המסרים של צה"ל על אזורי בטיחות בעזה</v>
      </c>
      <c r="E57" s="3" t="s">
        <v>436</v>
      </c>
      <c r="F57" s="3" t="str">
        <f>VLOOKUP($A57,Hebrew!$A:$S,4,0)</f>
        <v>מפות צה"ל של "אזורי בטיחות" בעזה אינן מדויקות, עם אנימציות שמרחיבות אזורים ויוצרות בלבול אצל אזרחים. מארק אוון ג'ונס מדגיש חוסר עקביות וגבולות לא ברורים.</v>
      </c>
      <c r="G57" s="3" t="s">
        <v>437</v>
      </c>
      <c r="H57" s="3" t="s">
        <v>437</v>
      </c>
      <c r="I57" s="3" t="s">
        <v>437</v>
      </c>
      <c r="J57" s="3" t="s">
        <v>393</v>
      </c>
      <c r="K57" s="3" t="s">
        <v>438</v>
      </c>
      <c r="L57" s="3" t="str">
        <f>VLOOKUP($A57,Hebrew!$A:$S,9,0)</f>
        <v>Marc Owen Jones (@marcowenjones)</v>
      </c>
      <c r="M57" s="2"/>
      <c r="N57" s="2"/>
      <c r="O57" s="3" t="s">
        <v>412</v>
      </c>
      <c r="P57" s="3" t="s">
        <v>439</v>
      </c>
      <c r="Q57" s="3" t="str">
        <f>VLOOKUP($A57,Hebrew!$A:$S,13,0)</f>
        <v>רפיח</v>
      </c>
      <c r="R57" s="3" t="s">
        <v>396</v>
      </c>
      <c r="S57" s="3" t="s">
        <v>405</v>
      </c>
      <c r="T57" s="3" t="s">
        <v>440</v>
      </c>
      <c r="U57" s="3" t="s">
        <v>43</v>
      </c>
      <c r="V57" s="3" t="s">
        <v>439</v>
      </c>
      <c r="W57" s="3" t="s">
        <v>441</v>
      </c>
      <c r="X57" s="2"/>
      <c r="Y57" s="2"/>
    </row>
    <row r="58" spans="1:25" x14ac:dyDescent="0.2">
      <c r="A58" s="3">
        <v>362</v>
      </c>
      <c r="B58" s="4" t="s">
        <v>442</v>
      </c>
      <c r="C58" s="3" t="s">
        <v>443</v>
      </c>
      <c r="D58" s="3" t="str">
        <f>VLOOKUP(A58,Hebrew!A:C,3,0)</f>
        <v>הבאת מגילת תורה למעבר נצרים</v>
      </c>
      <c r="E58" s="3" t="s">
        <v>444</v>
      </c>
      <c r="F58" s="3" t="str">
        <f>VLOOKUP($A58,Hebrew!$A:$S,4,0)</f>
        <v>חיילי צה"ל שרים ורוקדים כשהם מביאים ספר תורה למעבר נצרים, עזה.</v>
      </c>
      <c r="G58" s="3" t="s">
        <v>445</v>
      </c>
      <c r="H58" s="2"/>
      <c r="I58" s="2"/>
      <c r="J58" s="3" t="s">
        <v>393</v>
      </c>
      <c r="K58" s="3" t="s">
        <v>446</v>
      </c>
      <c r="L58" s="3" t="str">
        <f>VLOOKUP($A58,Hebrew!$A:$S,9,0)</f>
        <v>משה בן שטרית (@moshebs11)</v>
      </c>
      <c r="M58" s="2"/>
      <c r="N58" s="2"/>
      <c r="O58" s="3" t="s">
        <v>39</v>
      </c>
      <c r="P58" s="3" t="s">
        <v>40</v>
      </c>
      <c r="Q58" s="3" t="str">
        <f>VLOOKUP($A58,Hebrew!$A:$S,13,0)</f>
        <v>מסדרון נצרים</v>
      </c>
      <c r="R58" s="3" t="s">
        <v>396</v>
      </c>
      <c r="S58" s="3" t="s">
        <v>413</v>
      </c>
      <c r="T58" s="3" t="s">
        <v>447</v>
      </c>
      <c r="U58" s="3" t="s">
        <v>43</v>
      </c>
      <c r="V58" s="3" t="s">
        <v>40</v>
      </c>
      <c r="W58" s="2"/>
      <c r="X58" s="2"/>
      <c r="Y58" s="2"/>
    </row>
    <row r="59" spans="1:25" x14ac:dyDescent="0.2">
      <c r="A59" s="3">
        <v>363</v>
      </c>
      <c r="B59" s="4" t="s">
        <v>448</v>
      </c>
      <c r="C59" s="3" t="s">
        <v>449</v>
      </c>
      <c r="D59" s="3" t="str">
        <f>VLOOKUP(A59,Hebrew!A:C,3,0)</f>
        <v>חייל צה"ל מפרט את הריסת ח'וּזַ֫אעַה (חִ֫'רְבֶּת אֶחְ'זַ֫אעַה) כנקמה, כחלק ממבצע "עוז וניר"</v>
      </c>
      <c r="E59" s="3" t="s">
        <v>450</v>
      </c>
      <c r="F59" s="3" t="str">
        <f>VLOOKUP($A59,Hebrew!$A:$S,4,0)</f>
        <v>חייל צה"ל מתאר את חלקו בהריסת הכפר ח'וּזַ֫אעַה (חִ֫'רְבֶּת אֶחְ'זַ֫אעַה) בעזה, כנקמה על ה-7 באוקטובר. הפוסט טוען לחשוף את מבצע רצח עם "עוז וניר".</v>
      </c>
      <c r="G59" s="3" t="s">
        <v>451</v>
      </c>
      <c r="H59" s="3" t="s">
        <v>452</v>
      </c>
      <c r="I59" s="3" t="s">
        <v>452</v>
      </c>
      <c r="J59" s="3" t="s">
        <v>393</v>
      </c>
      <c r="K59" s="3" t="s">
        <v>453</v>
      </c>
      <c r="L59" s="3" t="str">
        <f>VLOOKUP($A59,Hebrew!$A:$S,9,0)</f>
        <v>Younis Tirawi (@ytirawi)</v>
      </c>
      <c r="M59" s="2"/>
      <c r="N59" s="2"/>
      <c r="O59" s="3" t="s">
        <v>39</v>
      </c>
      <c r="P59" s="3" t="s">
        <v>454</v>
      </c>
      <c r="Q59" s="3" t="str">
        <f>VLOOKUP($A59,Hebrew!$A:$S,13,0)</f>
        <v>ח'וזעה</v>
      </c>
      <c r="R59" s="3" t="s">
        <v>396</v>
      </c>
      <c r="S59" s="3" t="s">
        <v>455</v>
      </c>
      <c r="T59" s="3" t="s">
        <v>456</v>
      </c>
      <c r="U59" s="3" t="s">
        <v>43</v>
      </c>
      <c r="V59" s="3" t="s">
        <v>457</v>
      </c>
      <c r="W59" s="2"/>
      <c r="X59" s="2"/>
      <c r="Y59" s="2"/>
    </row>
    <row r="60" spans="1:25" x14ac:dyDescent="0.2">
      <c r="A60" s="3">
        <v>364</v>
      </c>
      <c r="B60" s="4" t="s">
        <v>458</v>
      </c>
      <c r="C60" s="3" t="s">
        <v>459</v>
      </c>
      <c r="D60" s="3" t="str">
        <f>VLOOKUP(A60,Hebrew!A:C,3,0)</f>
        <v>צה"ל משתמש בבית חולים בתור בסיס צבאי</v>
      </c>
      <c r="E60" s="3" t="s">
        <v>460</v>
      </c>
      <c r="F60" s="3" t="str">
        <f>VLOOKUP($A60,Hebrew!$A:$S,4,0)</f>
        <v>חיילי צה"ל נחים על מיטות בבית החולים לדיאליזה נורה קאבי במחנה הפליטים ג'באליה. חיוכים ואווירה טובה שוררים.</v>
      </c>
      <c r="G60" s="3" t="s">
        <v>403</v>
      </c>
      <c r="H60" s="2"/>
      <c r="I60" s="2"/>
      <c r="J60" s="3" t="s">
        <v>393</v>
      </c>
      <c r="K60" s="3" t="s">
        <v>453</v>
      </c>
      <c r="L60" s="3" t="str">
        <f>VLOOKUP($A60,Hebrew!$A:$S,9,0)</f>
        <v>Younis Tirawi (@ytirawi)</v>
      </c>
      <c r="M60" s="2"/>
      <c r="N60" s="2"/>
      <c r="O60" s="3" t="s">
        <v>26</v>
      </c>
      <c r="P60" s="3" t="s">
        <v>461</v>
      </c>
      <c r="Q60" s="3" t="str">
        <f>VLOOKUP($A60,Hebrew!$A:$S,13,0)</f>
        <v>ג'באליה</v>
      </c>
      <c r="R60" s="3" t="s">
        <v>396</v>
      </c>
      <c r="S60" s="3" t="s">
        <v>455</v>
      </c>
      <c r="T60" s="3" t="s">
        <v>462</v>
      </c>
      <c r="U60" s="3" t="s">
        <v>43</v>
      </c>
      <c r="V60" s="3" t="s">
        <v>461</v>
      </c>
      <c r="W60" s="2"/>
      <c r="X60" s="2"/>
      <c r="Y60" s="2"/>
    </row>
    <row r="61" spans="1:25" x14ac:dyDescent="0.2">
      <c r="A61" s="3">
        <v>368</v>
      </c>
      <c r="B61" s="4" t="s">
        <v>463</v>
      </c>
      <c r="C61" s="3" t="s">
        <v>464</v>
      </c>
      <c r="D61" s="3" t="str">
        <f>VLOOKUP(A61,Hebrew!A:C,3,0)</f>
        <v>דובר הליכוד מזהיר את משפחות החטופים מפני קריאה לבחירות</v>
      </c>
      <c r="E61" s="3" t="s">
        <v>465</v>
      </c>
      <c r="F61" s="3" t="str">
        <f>VLOOKUP($A61,Hebrew!$A:$S,4,0)</f>
        <v>דובר הליכוד גיא לוי נפגש עם משפחות של חטופים ישראלים ודחק בהן להתנגד לבחירות חדשות והזהיר שההשלכות הפוליטיות יהיו הרבה יותר גרועות מלפני ה-7 באוקטובר. כמה מהנוכחים תיארו את דבריו כאיום ישיר.</v>
      </c>
      <c r="G61" s="3" t="s">
        <v>466</v>
      </c>
      <c r="H61" s="3" t="s">
        <v>467</v>
      </c>
      <c r="I61" s="3" t="s">
        <v>467</v>
      </c>
      <c r="J61" s="3" t="s">
        <v>393</v>
      </c>
      <c r="K61" s="3" t="s">
        <v>468</v>
      </c>
      <c r="L61" s="3" t="str">
        <f>VLOOKUP($A61,Hebrew!$A:$S,9,0)</f>
        <v>בר שם-אור (@Bar_ShemUr)</v>
      </c>
      <c r="M61" s="3" t="s">
        <v>469</v>
      </c>
      <c r="N61" s="4" t="s">
        <v>470</v>
      </c>
      <c r="O61" s="3" t="s">
        <v>39</v>
      </c>
      <c r="P61" s="2"/>
      <c r="Q61" s="3">
        <f>VLOOKUP($A61,Hebrew!$A:$S,13,0)</f>
        <v>0</v>
      </c>
      <c r="R61" s="3" t="s">
        <v>396</v>
      </c>
      <c r="S61" s="3" t="s">
        <v>397</v>
      </c>
      <c r="T61" s="3" t="s">
        <v>471</v>
      </c>
      <c r="U61" s="3" t="s">
        <v>472</v>
      </c>
      <c r="V61" s="2"/>
      <c r="W61" s="2"/>
      <c r="X61" s="2"/>
      <c r="Y61" s="2"/>
    </row>
    <row r="62" spans="1:25" x14ac:dyDescent="0.2">
      <c r="A62" s="3">
        <v>369</v>
      </c>
      <c r="B62" s="4" t="s">
        <v>473</v>
      </c>
      <c r="C62" s="3" t="s">
        <v>474</v>
      </c>
      <c r="D62" s="3" t="str">
        <f>VLOOKUP(A62,Hebrew!A:C,3,0)</f>
        <v>עדויות של מנהלי משא ומתן על מצב חטופים</v>
      </c>
      <c r="E62" s="3" t="s">
        <v>475</v>
      </c>
      <c r="F62" s="3" t="str">
        <f>VLOOKUP($A62,Hebrew!$A:$S,4,0)</f>
        <v>סרט תיעודי טלוויזיוני מציג דיווחים מאנשים מעורבים לאחרונה במשא ומתן להחזרת החטופים הישראלים. העדויות מספקות תובנה על התנאים המידרדרים של החטופים ועל דחיפות המו"מ.</v>
      </c>
      <c r="G62" s="3" t="s">
        <v>476</v>
      </c>
      <c r="H62" s="2"/>
      <c r="I62" s="2"/>
      <c r="J62" s="3" t="s">
        <v>393</v>
      </c>
      <c r="K62" s="3" t="s">
        <v>477</v>
      </c>
      <c r="L62" s="3" t="str">
        <f>VLOOKUP($A62,Hebrew!$A:$S,9,0)</f>
        <v>עובדה עם אילנה דיין (@Uvda_tweet)</v>
      </c>
      <c r="M62" s="2"/>
      <c r="N62" s="2"/>
      <c r="O62" s="3" t="s">
        <v>39</v>
      </c>
      <c r="P62" s="2"/>
      <c r="Q62" s="3">
        <f>VLOOKUP($A62,Hebrew!$A:$S,13,0)</f>
        <v>0</v>
      </c>
      <c r="R62" s="3" t="s">
        <v>396</v>
      </c>
      <c r="S62" s="3" t="s">
        <v>405</v>
      </c>
      <c r="T62" s="3" t="s">
        <v>478</v>
      </c>
      <c r="U62" s="3" t="s">
        <v>479</v>
      </c>
      <c r="V62" s="2"/>
      <c r="W62" s="2"/>
      <c r="X62" s="2"/>
      <c r="Y62" s="2"/>
    </row>
    <row r="63" spans="1:25" x14ac:dyDescent="0.2">
      <c r="A63" s="3">
        <v>370</v>
      </c>
      <c r="B63" s="4" t="s">
        <v>480</v>
      </c>
      <c r="C63" s="3" t="s">
        <v>481</v>
      </c>
      <c r="D63" s="3" t="str">
        <f>VLOOKUP(A63,Hebrew!A:C,3,0)</f>
        <v>ראיון עם יועץ לראש ממשלת קטאר: עסקת בני הערובה נחסמה שוב ושוב בשלבים הסופיים</v>
      </c>
      <c r="E63" s="3" t="s">
        <v>482</v>
      </c>
      <c r="F63" s="3" t="str">
        <f>VLOOKUP($A63,Hebrew!$A:$S,4,0)</f>
        <v>בכיר קטארי הצהיר כי "כל פעם שעסקה [חטופים] הייתה קרובה, היא נחסמה"</v>
      </c>
      <c r="G63" s="3" t="s">
        <v>483</v>
      </c>
      <c r="H63" s="3" t="s">
        <v>483</v>
      </c>
      <c r="I63" s="3" t="s">
        <v>483</v>
      </c>
      <c r="J63" s="3" t="s">
        <v>393</v>
      </c>
      <c r="K63" s="3" t="s">
        <v>484</v>
      </c>
      <c r="L63" s="3" t="str">
        <f>VLOOKUP($A63,Hebrew!$A:$S,9,0)</f>
        <v>Sof (@selftitled)</v>
      </c>
      <c r="M63" s="3" t="s">
        <v>36</v>
      </c>
      <c r="N63" s="2"/>
      <c r="O63" s="3" t="s">
        <v>39</v>
      </c>
      <c r="P63" s="2"/>
      <c r="Q63" s="3">
        <f>VLOOKUP($A63,Hebrew!$A:$S,13,0)</f>
        <v>0</v>
      </c>
      <c r="R63" s="3" t="s">
        <v>396</v>
      </c>
      <c r="S63" s="3" t="s">
        <v>455</v>
      </c>
      <c r="T63" s="3" t="s">
        <v>485</v>
      </c>
      <c r="U63" s="3" t="s">
        <v>486</v>
      </c>
      <c r="V63" s="2"/>
      <c r="W63" s="2"/>
      <c r="X63" s="2"/>
      <c r="Y63" s="2"/>
    </row>
    <row r="64" spans="1:25" x14ac:dyDescent="0.2">
      <c r="A64" s="3">
        <v>360</v>
      </c>
      <c r="B64" s="4" t="s">
        <v>487</v>
      </c>
      <c r="C64" s="3" t="s">
        <v>488</v>
      </c>
      <c r="D64" s="3" t="str">
        <f>VLOOKUP(A64,Hebrew!A:C,3,0)</f>
        <v>הצהרת משה פייגלין על הצורך לכבוש את עזה</v>
      </c>
      <c r="E64" s="3" t="s">
        <v>489</v>
      </c>
      <c r="F64" s="3" t="str">
        <f>VLOOKUP($A64,Hebrew!$A:$S,4,0)</f>
        <v>משה פייגלין טוען שישראל לא יכולה לסבול את קיומו של "איסלאמו-נאצי" אחד, אם היא רוצה לשרוד. "זה אנחנו או הם" עם התייחסות מפורשת להצהרתו של היטלר נגד היהודים.</v>
      </c>
      <c r="G64" s="3" t="s">
        <v>490</v>
      </c>
      <c r="H64" s="2"/>
      <c r="I64" s="2"/>
      <c r="J64" s="3" t="s">
        <v>393</v>
      </c>
      <c r="K64" s="3" t="s">
        <v>491</v>
      </c>
      <c r="L64" s="3" t="str">
        <f>VLOOKUP($A64,Hebrew!$A:$S,9,0)</f>
        <v>B.M. (@ireallyhateyou)</v>
      </c>
      <c r="M64" s="3" t="s">
        <v>492</v>
      </c>
      <c r="N64" s="2"/>
      <c r="O64" s="3" t="s">
        <v>493</v>
      </c>
      <c r="P64" s="3" t="s">
        <v>60</v>
      </c>
      <c r="Q64" s="3" t="str">
        <f>VLOOKUP($A64,Hebrew!$A:$S,13,0)</f>
        <v>ישראל</v>
      </c>
      <c r="R64" s="3" t="s">
        <v>396</v>
      </c>
      <c r="S64" s="3" t="s">
        <v>405</v>
      </c>
      <c r="T64" s="3" t="s">
        <v>494</v>
      </c>
      <c r="U64" s="2"/>
      <c r="V64" s="3" t="s">
        <v>60</v>
      </c>
      <c r="W64" s="3" t="s">
        <v>495</v>
      </c>
      <c r="X64" s="2"/>
      <c r="Y64" s="2"/>
    </row>
    <row r="65" spans="1:25" x14ac:dyDescent="0.2">
      <c r="A65" s="3">
        <v>365</v>
      </c>
      <c r="B65" s="4" t="s">
        <v>496</v>
      </c>
      <c r="C65" s="3" t="s">
        <v>497</v>
      </c>
      <c r="D65" s="3" t="str">
        <f>VLOOKUP(A65,Hebrew!A:C,3,0)</f>
        <v>חייל צה"ל מדבר על מבצע "עוז וניר" בח'וּזַ֫אעַה (חִ֫'רְבֶּת אֶחְ'זַ֫אעַה)</v>
      </c>
      <c r="E65" s="3" t="s">
        <v>498</v>
      </c>
      <c r="F65" s="3" t="str">
        <f>VLOOKUP($A65,Hebrew!$A:$S,4,0)</f>
        <v>ראיון עם חייל צה"ל בנוגע להריסת ח'וּזַ֫אעַה (חִ֫'רְבֶּת אֶחְ'זַ֫אעַה), כחלק ממבצע "עוז וניר". העיירה של 13,000 פלסטינים נהרסה לחלוטין.</v>
      </c>
      <c r="G65" s="3" t="s">
        <v>410</v>
      </c>
      <c r="H65" s="2"/>
      <c r="I65" s="2"/>
      <c r="J65" s="3" t="s">
        <v>393</v>
      </c>
      <c r="K65" s="3" t="s">
        <v>453</v>
      </c>
      <c r="L65" s="3" t="str">
        <f>VLOOKUP($A65,Hebrew!$A:$S,9,0)</f>
        <v>Younis Tirawi (@ytirawi)</v>
      </c>
      <c r="M65" s="2"/>
      <c r="N65" s="4" t="s">
        <v>499</v>
      </c>
      <c r="O65" s="3" t="s">
        <v>26</v>
      </c>
      <c r="P65" s="3" t="s">
        <v>454</v>
      </c>
      <c r="Q65" s="3" t="str">
        <f>VLOOKUP($A65,Hebrew!$A:$S,13,0)</f>
        <v>ח'וזעה</v>
      </c>
      <c r="R65" s="3" t="s">
        <v>396</v>
      </c>
      <c r="S65" s="3" t="s">
        <v>500</v>
      </c>
      <c r="T65" s="3" t="s">
        <v>501</v>
      </c>
      <c r="U65" s="3" t="s">
        <v>43</v>
      </c>
      <c r="V65" s="3" t="s">
        <v>502</v>
      </c>
      <c r="W65" s="2"/>
      <c r="X65" s="2"/>
      <c r="Y65" s="2"/>
    </row>
    <row r="66" spans="1:25" x14ac:dyDescent="0.2">
      <c r="A66" s="3">
        <v>371</v>
      </c>
      <c r="B66" s="4" t="s">
        <v>503</v>
      </c>
      <c r="C66" s="3" t="s">
        <v>504</v>
      </c>
      <c r="D66" s="3" t="str">
        <f>VLOOKUP(A66,Hebrew!A:C,3,0)</f>
        <v>חוסר בהירות לגבי סיבת המוות של בני הערובה שרמן, בייזר וטולדנו</v>
      </c>
      <c r="E66" s="3" t="s">
        <v>505</v>
      </c>
      <c r="F66" s="3" t="str">
        <f>VLOOKUP($A66,Hebrew!$A:$S,4,0)</f>
        <v>סקר של סיבות אפשריות למותם של שלושה חיילים-חטופים בעקבות הצהרת דובר צה"ל כי ייתכן שהם נחנקו או הורעלו. הכותב מעלה שאלה האם צה"ל הרג בכוונה את בני הערובה ומציין כחלק ממדיניות של נטישה או הרג של החטופים הנותרים ואם כן, מה יהיו ההשלכות על החברה הישראלית.</v>
      </c>
      <c r="G66" s="3" t="s">
        <v>506</v>
      </c>
      <c r="H66" s="3" t="s">
        <v>506</v>
      </c>
      <c r="I66" s="3" t="s">
        <v>506</v>
      </c>
      <c r="J66" s="3" t="s">
        <v>393</v>
      </c>
      <c r="K66" s="3" t="s">
        <v>507</v>
      </c>
      <c r="L66" s="3" t="str">
        <f>VLOOKUP($A66,Hebrew!$A:$S,9,0)</f>
        <v>תומר שרון (@tomashinyu3)</v>
      </c>
      <c r="M66" s="2"/>
      <c r="N66" s="2"/>
      <c r="O66" s="3" t="s">
        <v>39</v>
      </c>
      <c r="P66" s="3" t="s">
        <v>27</v>
      </c>
      <c r="Q66" s="3" t="str">
        <f>VLOOKUP($A66,Hebrew!$A:$S,13,0)</f>
        <v>רצועת עזה</v>
      </c>
      <c r="R66" s="3" t="s">
        <v>396</v>
      </c>
      <c r="S66" s="3" t="s">
        <v>29</v>
      </c>
      <c r="T66" s="3" t="s">
        <v>508</v>
      </c>
      <c r="U66" s="3" t="s">
        <v>509</v>
      </c>
      <c r="V66" s="3" t="s">
        <v>27</v>
      </c>
      <c r="W66" s="2"/>
      <c r="X66" s="2"/>
      <c r="Y66" s="2"/>
    </row>
    <row r="67" spans="1:25" x14ac:dyDescent="0.2">
      <c r="A67" s="3">
        <v>1450</v>
      </c>
      <c r="B67" s="4" t="s">
        <v>510</v>
      </c>
      <c r="C67" s="3" t="s">
        <v>511</v>
      </c>
      <c r="D67" s="3" t="str">
        <f>VLOOKUP(A67,Hebrew!A:C,3,0)</f>
        <v>אין מילים כדי לתאר את אירועי שבת, 7 באוקטובר</v>
      </c>
      <c r="E67" s="3" t="s">
        <v>512</v>
      </c>
      <c r="F67" s="3" t="str">
        <f>VLOOKUP($A67,Hebrew!$A:$S,4,0)</f>
        <v>המחבר, עורך בכיר של ניוזוויק באותה תקופה, מתאר את דעותיו לגבי הסיבות ל-7 באוקטובר, וטוען בעצם שאין פתרון של שלום. הוא ממליץ במקום זאת על גירוש בכוח של אוכלוסייה אזרחית "ניתנת לזיהוי" מעזה למצרים, הריסת תשתיות, חיסול כל חברי חמאס ותשתיותיהם, חזרה לסיפוח רצועת עזה והקמת משטר בובות בה. הוא מאשים את הממשלות והפקידים הדמוקרטיים בארצות הברית.</v>
      </c>
      <c r="G67" s="3" t="s">
        <v>513</v>
      </c>
      <c r="H67" s="3" t="s">
        <v>514</v>
      </c>
      <c r="I67" s="3" t="s">
        <v>514</v>
      </c>
      <c r="J67" s="3" t="s">
        <v>393</v>
      </c>
      <c r="K67" s="3" t="s">
        <v>515</v>
      </c>
      <c r="L67" s="3" t="str">
        <f>VLOOKUP($A67,Hebrew!$A:$S,9,0)</f>
        <v>Josh Hammer (@josh_hammer)</v>
      </c>
      <c r="M67" s="2"/>
      <c r="N67" s="2"/>
      <c r="O67" s="3" t="s">
        <v>26</v>
      </c>
      <c r="P67" s="2"/>
      <c r="Q67" s="3">
        <f>VLOOKUP($A67,Hebrew!$A:$S,13,0)</f>
        <v>0</v>
      </c>
      <c r="R67" s="3" t="s">
        <v>396</v>
      </c>
      <c r="S67" s="3" t="s">
        <v>29</v>
      </c>
      <c r="T67" s="3" t="s">
        <v>516</v>
      </c>
      <c r="U67" s="3" t="s">
        <v>517</v>
      </c>
      <c r="V67" s="2"/>
      <c r="W67" s="3" t="s">
        <v>518</v>
      </c>
      <c r="X67" s="2"/>
      <c r="Y67" s="2"/>
    </row>
    <row r="68" spans="1:25" x14ac:dyDescent="0.2">
      <c r="A68" s="3">
        <v>1451</v>
      </c>
      <c r="B68" s="4" t="s">
        <v>519</v>
      </c>
      <c r="C68" s="3" t="s">
        <v>520</v>
      </c>
      <c r="D68" s="3" t="str">
        <f>VLOOKUP(A68,Hebrew!A:C,3,0)</f>
        <v>האם יש רעב בעזה כפי שטוענת ה-WFO?</v>
      </c>
      <c r="E68" s="3" t="s">
        <v>521</v>
      </c>
      <c r="F68" s="3" t="str">
        <f>VLOOKUP($A68,Hebrew!$A:$S,4,0)</f>
        <v>שאול אמסטרדמסקי בראיון עם נורית יוחנן, כתבת לענייני פלסטינים ב"כאן", שמנתחת את הנתונים של ארגון המזון העולמי לגבי רעב/תת תזונה בעזה בעקבות פרסום דוח סיווג שלב הביטחון התזונתי של תוכנית המזון העולמית. יוחנן מעריכה שהנתונים של WFP מדויקים ברובם.</v>
      </c>
      <c r="G68" s="3" t="s">
        <v>522</v>
      </c>
      <c r="H68" s="3" t="s">
        <v>523</v>
      </c>
      <c r="I68" s="3" t="s">
        <v>523</v>
      </c>
      <c r="J68" s="3" t="s">
        <v>393</v>
      </c>
      <c r="K68" s="3" t="s">
        <v>524</v>
      </c>
      <c r="L68" s="3" t="str">
        <f>VLOOKUP($A68,Hebrew!$A:$S,9,0)</f>
        <v>חדשות כאן(@kann_news)</v>
      </c>
      <c r="M68" s="2"/>
      <c r="N68" s="6" t="s">
        <v>525</v>
      </c>
      <c r="O68" s="3" t="s">
        <v>39</v>
      </c>
      <c r="P68" s="3" t="s">
        <v>27</v>
      </c>
      <c r="Q68" s="3" t="str">
        <f>VLOOKUP($A68,Hebrew!$A:$S,13,0)</f>
        <v>רצועת עזה</v>
      </c>
      <c r="R68" s="3" t="s">
        <v>396</v>
      </c>
      <c r="S68" s="3" t="s">
        <v>405</v>
      </c>
      <c r="T68" s="3" t="s">
        <v>526</v>
      </c>
      <c r="U68" s="3" t="s">
        <v>527</v>
      </c>
      <c r="V68" s="3" t="s">
        <v>27</v>
      </c>
      <c r="W68" s="2"/>
      <c r="X68" s="2"/>
      <c r="Y68" s="2"/>
    </row>
    <row r="69" spans="1:25" x14ac:dyDescent="0.2">
      <c r="A69" s="3">
        <v>1453</v>
      </c>
      <c r="B69" s="4" t="s">
        <v>528</v>
      </c>
      <c r="C69" s="3" t="s">
        <v>529</v>
      </c>
      <c r="D69" s="3" t="str">
        <f>VLOOKUP(A69,Hebrew!A:C,3,0)</f>
        <v>המשטרה פלשה למטה מפלגת חד"ש בנצרת לפני הפגנת 1 במאי</v>
      </c>
      <c r="E69" s="3" t="s">
        <v>530</v>
      </c>
      <c r="F69" s="3" t="str">
        <f>VLOOKUP($A69,Hebrew!$A:$S,4,0)</f>
        <v>המשטרה עשתה חיפוש במועדון מפלגת חד"ש בנצרת והשחיתה יצירות אמנות לקראת מצעד ה-1 במאי . שני אנשים נעצרו.</v>
      </c>
      <c r="G69" s="3" t="s">
        <v>531</v>
      </c>
      <c r="H69" s="3" t="s">
        <v>531</v>
      </c>
      <c r="I69" s="3" t="s">
        <v>531</v>
      </c>
      <c r="J69" s="3" t="s">
        <v>393</v>
      </c>
      <c r="K69" s="3" t="s">
        <v>532</v>
      </c>
      <c r="L69" s="3" t="str">
        <f>VLOOKUP($A69,Hebrew!$A:$S,9,0)</f>
        <v>עופר כסיף (@ofercass)</v>
      </c>
      <c r="M69" s="2"/>
      <c r="N69" s="2"/>
      <c r="O69" s="3" t="s">
        <v>493</v>
      </c>
      <c r="P69" s="2"/>
      <c r="Q69" s="3">
        <f>VLOOKUP($A69,Hebrew!$A:$S,13,0)</f>
        <v>0</v>
      </c>
      <c r="R69" s="3" t="s">
        <v>396</v>
      </c>
      <c r="S69" s="3" t="s">
        <v>405</v>
      </c>
      <c r="T69" s="3" t="s">
        <v>533</v>
      </c>
      <c r="U69" s="3" t="s">
        <v>268</v>
      </c>
      <c r="V69" s="2"/>
      <c r="W69" s="2"/>
      <c r="X69" s="2"/>
      <c r="Y69" s="2"/>
    </row>
    <row r="70" spans="1:25" x14ac:dyDescent="0.2">
      <c r="A70" s="3">
        <v>1454</v>
      </c>
      <c r="B70" s="4" t="s">
        <v>534</v>
      </c>
      <c r="C70" s="3" t="s">
        <v>535</v>
      </c>
      <c r="D70" s="3" t="str">
        <f>VLOOKUP(A70,Hebrew!A:C,3,0)</f>
        <v>קמפיין פרו-ישראלי להפרכת נתוני משרד הבריאות בעזה</v>
      </c>
      <c r="E70" s="3" t="s">
        <v>536</v>
      </c>
      <c r="F70" s="3" t="str">
        <f>VLOOKUP($A70,Hebrew!$A:$S,4,0)</f>
        <v>דו"ח המנסה לערער על טענת משרד הבריאות בעזה, וטוען כי ישראל הרגה "רק" 22,000 ולא 30,000 פלסטינים בעזה עד אפריל 2024. לכאורה, זה היה מציב את היחס בין לוחמים לאזרחים לא מעורבים על 1:1.</v>
      </c>
      <c r="G70" s="3" t="s">
        <v>476</v>
      </c>
      <c r="H70" s="3" t="s">
        <v>537</v>
      </c>
      <c r="I70" s="3" t="s">
        <v>537</v>
      </c>
      <c r="J70" s="3" t="s">
        <v>393</v>
      </c>
      <c r="K70" s="3" t="s">
        <v>538</v>
      </c>
      <c r="L70" s="3" t="str">
        <f>VLOOKUP($A70,Hebrew!$A:$S,9,0)</f>
        <v>Peter Savodnik (@petersavodnik)</v>
      </c>
      <c r="M70" s="2"/>
      <c r="N70" s="4" t="s">
        <v>539</v>
      </c>
      <c r="O70" s="3" t="s">
        <v>26</v>
      </c>
      <c r="P70" s="3" t="s">
        <v>27</v>
      </c>
      <c r="Q70" s="3" t="str">
        <f>VLOOKUP($A70,Hebrew!$A:$S,13,0)</f>
        <v>רצועת עזה</v>
      </c>
      <c r="R70" s="3" t="s">
        <v>396</v>
      </c>
      <c r="S70" s="3" t="s">
        <v>455</v>
      </c>
      <c r="T70" s="3" t="s">
        <v>540</v>
      </c>
      <c r="U70" s="3" t="s">
        <v>541</v>
      </c>
      <c r="V70" s="3" t="s">
        <v>27</v>
      </c>
      <c r="W70" s="2"/>
      <c r="X70" s="2"/>
      <c r="Y70" s="2"/>
    </row>
    <row r="71" spans="1:25" x14ac:dyDescent="0.2">
      <c r="A71" s="3">
        <v>428</v>
      </c>
      <c r="B71" s="4" t="s">
        <v>542</v>
      </c>
      <c r="C71" s="3" t="s">
        <v>543</v>
      </c>
      <c r="D71" s="3" t="str">
        <f>VLOOKUP(A71,Hebrew!A:C,3,0)</f>
        <v>ערוץ טלגרם ישראלי פופולרי לועג לילד פלסטיני שמת מרעב.</v>
      </c>
      <c r="E71" s="3" t="s">
        <v>544</v>
      </c>
      <c r="F71" s="3" t="str">
        <f>VLOOKUP($A71,Hebrew!$A:$S,4,0)</f>
        <v>חשבון טלגרם ישראלי פרסם פוסטר לועג, המציג את הילד הפלסטיני המנוח עם שיתוק מוחין, יזן אל-כפרנה, כאילו היה חייזר.</v>
      </c>
      <c r="G71" s="3" t="s">
        <v>545</v>
      </c>
      <c r="H71" s="3" t="s">
        <v>546</v>
      </c>
      <c r="I71" s="3" t="s">
        <v>545</v>
      </c>
      <c r="J71" s="3" t="s">
        <v>393</v>
      </c>
      <c r="K71" s="3" t="s">
        <v>547</v>
      </c>
      <c r="L71" s="3" t="str">
        <f>VLOOKUP($A71,Hebrew!$A:$S,9,0)</f>
        <v>גברים מצונזרים (@CensoredMen)</v>
      </c>
      <c r="M71" s="2"/>
      <c r="N71" s="2"/>
      <c r="O71" s="3" t="s">
        <v>426</v>
      </c>
      <c r="P71" s="2"/>
      <c r="Q71" s="3">
        <f>VLOOKUP($A71,Hebrew!$A:$S,13,0)</f>
        <v>0</v>
      </c>
      <c r="R71" s="3" t="s">
        <v>396</v>
      </c>
      <c r="S71" s="3" t="s">
        <v>397</v>
      </c>
      <c r="T71" s="3" t="s">
        <v>548</v>
      </c>
      <c r="U71" s="2"/>
      <c r="V71" s="2"/>
      <c r="W71" s="2"/>
      <c r="X71" s="2"/>
      <c r="Y71" s="2"/>
    </row>
    <row r="72" spans="1:25" x14ac:dyDescent="0.2">
      <c r="A72" s="3">
        <v>429</v>
      </c>
      <c r="B72" s="4" t="s">
        <v>549</v>
      </c>
      <c r="C72" s="3" t="s">
        <v>550</v>
      </c>
      <c r="D72" s="3" t="str">
        <f>VLOOKUP(A72,Hebrew!A:C,3,0)</f>
        <v>חיילות צה"ל מחייכות תוך צילום סלפי על רקע חורבות עזה.</v>
      </c>
      <c r="E72" s="3" t="s">
        <v>551</v>
      </c>
      <c r="F72" s="3" t="str">
        <f>VLOOKUP($A72,Hebrew!$A:$S,4,0)</f>
        <v>חיילות צה"ל מחייכות תוך כדי צילום סלפי על רקע חורבות הבתים ההרוסים בעזה.</v>
      </c>
      <c r="G72" s="3" t="s">
        <v>552</v>
      </c>
      <c r="H72" s="2"/>
      <c r="I72" s="2"/>
      <c r="J72" s="3" t="s">
        <v>393</v>
      </c>
      <c r="K72" s="3" t="s">
        <v>553</v>
      </c>
      <c r="L72" s="3" t="str">
        <f>VLOOKUP($A72,Hebrew!$A:$S,9,0)</f>
        <v>Emilio Morenatti (@EmilioMorenatti)</v>
      </c>
      <c r="M72" s="2"/>
      <c r="N72" s="2"/>
      <c r="O72" s="3" t="s">
        <v>26</v>
      </c>
      <c r="P72" s="3" t="s">
        <v>27</v>
      </c>
      <c r="Q72" s="3" t="str">
        <f>VLOOKUP($A72,Hebrew!$A:$S,13,0)</f>
        <v>רצועת עזה</v>
      </c>
      <c r="R72" s="3" t="s">
        <v>396</v>
      </c>
      <c r="S72" s="3" t="s">
        <v>397</v>
      </c>
      <c r="T72" s="3" t="s">
        <v>554</v>
      </c>
      <c r="U72" s="3" t="s">
        <v>43</v>
      </c>
      <c r="V72" s="3" t="s">
        <v>27</v>
      </c>
      <c r="W72" s="2"/>
      <c r="X72" s="2"/>
      <c r="Y72" s="2"/>
    </row>
    <row r="73" spans="1:25" x14ac:dyDescent="0.2">
      <c r="A73" s="3">
        <v>430</v>
      </c>
      <c r="B73" s="4" t="s">
        <v>555</v>
      </c>
      <c r="C73" s="3" t="s">
        <v>556</v>
      </c>
      <c r="D73" s="3" t="str">
        <f>VLOOKUP(A73,Hebrew!A:C,3,0)</f>
        <v>ראש אכ"א לשעבר לאילנה דיין בגל"צ קורא להתיישבות מחדש בחבל עזה.</v>
      </c>
      <c r="E73" s="3" t="s">
        <v>557</v>
      </c>
      <c r="F73" s="3" t="str">
        <f>VLOOKUP($A73,Hebrew!$A:$S,4,0)</f>
        <v>מרדכי (מוטי) אלמוז, ראש א"כ לשעבר, תומך בהתיישבות מחדש בעזה, ומאשים את הפלסטינים בתוקפנות מתמדת ומכנה אותם "חיות אדם."</v>
      </c>
      <c r="G73" s="3" t="s">
        <v>558</v>
      </c>
      <c r="H73" s="3" t="s">
        <v>558</v>
      </c>
      <c r="I73" s="3" t="s">
        <v>558</v>
      </c>
      <c r="J73" s="3" t="s">
        <v>393</v>
      </c>
      <c r="K73" s="3" t="s">
        <v>559</v>
      </c>
      <c r="L73" s="3" t="str">
        <f>VLOOKUP($A73,Hebrew!$A:$S,9,0)</f>
        <v>גל"צ (@GLZRadio)</v>
      </c>
      <c r="M73" s="2"/>
      <c r="N73" s="2"/>
      <c r="O73" s="3" t="s">
        <v>39</v>
      </c>
      <c r="P73" s="2"/>
      <c r="Q73" s="3">
        <f>VLOOKUP($A73,Hebrew!$A:$S,13,0)</f>
        <v>0</v>
      </c>
      <c r="R73" s="3" t="s">
        <v>396</v>
      </c>
      <c r="S73" s="3" t="s">
        <v>397</v>
      </c>
      <c r="T73" s="3" t="s">
        <v>560</v>
      </c>
      <c r="U73" s="3" t="s">
        <v>43</v>
      </c>
      <c r="V73" s="2"/>
      <c r="W73" s="2"/>
      <c r="X73" s="2"/>
      <c r="Y73" s="2"/>
    </row>
    <row r="74" spans="1:25" x14ac:dyDescent="0.2">
      <c r="A74" s="3">
        <v>431</v>
      </c>
      <c r="B74" s="4" t="s">
        <v>561</v>
      </c>
      <c r="C74" s="3" t="s">
        <v>562</v>
      </c>
      <c r="D74" s="3" t="str">
        <f>VLOOKUP(A74,Hebrew!A:C,3,0)</f>
        <v>סמוטריץ' מתאר את אזרחי עזה כנאצים וקורא להטיל שלטון צבאי בעזה.</v>
      </c>
      <c r="E74" s="3" t="s">
        <v>563</v>
      </c>
      <c r="F74" s="3" t="str">
        <f>VLOOKUP($A74,Hebrew!$A:$S,4,0)</f>
        <v>שר האוצר בצלאל סמוטריץ' טוען שכל האזרחים בעזה ("2 מיליון אנשים") הם נאצים "שרוצים לשחוט, לאנוס ולרצוח כל יהודי", וטוען שישראל צריכה לשלוט בעזה עד שתימצא אזרחית מקומית מתונה.</v>
      </c>
      <c r="G74" s="3" t="s">
        <v>564</v>
      </c>
      <c r="H74" s="3" t="s">
        <v>564</v>
      </c>
      <c r="I74" s="3" t="s">
        <v>564</v>
      </c>
      <c r="J74" s="3" t="s">
        <v>393</v>
      </c>
      <c r="K74" s="3" t="s">
        <v>559</v>
      </c>
      <c r="L74" s="3" t="str">
        <f>VLOOKUP($A74,Hebrew!$A:$S,9,0)</f>
        <v>גל"צ (@GLZRadio)</v>
      </c>
      <c r="M74" s="2"/>
      <c r="N74" s="2"/>
      <c r="O74" s="3" t="s">
        <v>39</v>
      </c>
      <c r="P74" s="3" t="s">
        <v>60</v>
      </c>
      <c r="Q74" s="3" t="str">
        <f>VLOOKUP($A74,Hebrew!$A:$S,13,0)</f>
        <v>ישראל</v>
      </c>
      <c r="R74" s="3" t="s">
        <v>396</v>
      </c>
      <c r="S74" s="3" t="s">
        <v>397</v>
      </c>
      <c r="T74" s="3" t="s">
        <v>565</v>
      </c>
      <c r="U74" s="3" t="s">
        <v>253</v>
      </c>
      <c r="V74" s="3" t="s">
        <v>60</v>
      </c>
      <c r="W74" s="3" t="s">
        <v>261</v>
      </c>
      <c r="X74" s="2"/>
      <c r="Y74" s="2"/>
    </row>
    <row r="75" spans="1:25" x14ac:dyDescent="0.2">
      <c r="A75" s="3">
        <v>438</v>
      </c>
      <c r="B75" s="4" t="s">
        <v>566</v>
      </c>
      <c r="C75" s="3" t="s">
        <v>567</v>
      </c>
      <c r="D75" s="3" t="str">
        <f>VLOOKUP(A75,Hebrew!A:C,3,0)</f>
        <v>חיילים, רובם ללא חולצות, רוקדים תוך כדי לעג לעצורים מעזה ולעג לדבקה הפלסטינית.</v>
      </c>
      <c r="E75" s="3" t="s">
        <v>568</v>
      </c>
      <c r="F75" s="3" t="str">
        <f>VLOOKUP($A75,Hebrew!$A:$S,4,0)</f>
        <v>עשרות חיילי צה"ל ערכו מופע לגלוג, כאשר אחד מהם עמד על דלי של דחפור לבוש במדי עבודה לבנים כמו אלו של עצורים מעזה, בעוד אחרים הצטרפו בחיקוי ולגלוג לריקוד הדבקה המסורתי הפלסטיני.</v>
      </c>
      <c r="G75" s="3" t="s">
        <v>569</v>
      </c>
      <c r="H75" s="2"/>
      <c r="I75" s="2"/>
      <c r="J75" s="3" t="s">
        <v>393</v>
      </c>
      <c r="K75" s="3" t="s">
        <v>570</v>
      </c>
      <c r="L75" s="3" t="str">
        <f>VLOOKUP($A75,Hebrew!$A:$S,9,0)</f>
        <v>Dr Lens Veritatis (@LensVeritatis)</v>
      </c>
      <c r="M75" s="2"/>
      <c r="N75" s="2"/>
      <c r="O75" s="3" t="s">
        <v>26</v>
      </c>
      <c r="P75" s="2"/>
      <c r="Q75" s="3">
        <f>VLOOKUP($A75,Hebrew!$A:$S,13,0)</f>
        <v>0</v>
      </c>
      <c r="R75" s="3" t="s">
        <v>396</v>
      </c>
      <c r="S75" s="3" t="s">
        <v>413</v>
      </c>
      <c r="T75" s="3" t="s">
        <v>571</v>
      </c>
      <c r="U75" s="3" t="s">
        <v>43</v>
      </c>
      <c r="V75" s="2"/>
      <c r="W75" s="2"/>
      <c r="X75" s="2"/>
      <c r="Y75" s="2"/>
    </row>
    <row r="76" spans="1:25" x14ac:dyDescent="0.2">
      <c r="A76" s="3">
        <v>440</v>
      </c>
      <c r="B76" s="4" t="s">
        <v>572</v>
      </c>
      <c r="C76" s="3" t="s">
        <v>573</v>
      </c>
      <c r="D76" s="3" t="str">
        <f>VLOOKUP(A76,Hebrew!A:C,3,0)</f>
        <v>בכיר בליכוד קורא להרג חסר הבחנה של אזרחים ברפיח.</v>
      </c>
      <c r="E76" s="3" t="s">
        <v>574</v>
      </c>
      <c r="F76" s="3" t="str">
        <f>VLOOKUP($A76,Hebrew!$A:$S,4,0)</f>
        <v>שמעון בוקר, סגן יושב ראש הליכוד העולמי, בראיון לאופירה אסייג וחיים לוינסון, ערוץ 12: "אנחנו צריכים להכות בהם(...) היינו צריכים להיכנס לרפיח כבר אתמול(...) אין שם אנשים לא מעורבים. אנחנו צריכים להיכנס ולقتل, ולقتل, ולقتل."</v>
      </c>
      <c r="G76" s="3" t="s">
        <v>575</v>
      </c>
      <c r="H76" s="2"/>
      <c r="I76" s="2"/>
      <c r="J76" s="3" t="s">
        <v>393</v>
      </c>
      <c r="K76" s="3" t="s">
        <v>576</v>
      </c>
      <c r="L76" s="3" t="str">
        <f>VLOOKUP($A76,Hebrew!$A:$S,9,0)</f>
        <v>Bruno Macaes (@MacaesBruno)</v>
      </c>
      <c r="M76" s="3" t="s">
        <v>492</v>
      </c>
      <c r="N76" s="2"/>
      <c r="O76" s="3" t="s">
        <v>426</v>
      </c>
      <c r="P76" s="3" t="s">
        <v>60</v>
      </c>
      <c r="Q76" s="3" t="str">
        <f>VLOOKUP($A76,Hebrew!$A:$S,13,0)</f>
        <v>ישראל</v>
      </c>
      <c r="R76" s="3" t="s">
        <v>396</v>
      </c>
      <c r="S76" s="3" t="s">
        <v>413</v>
      </c>
      <c r="T76" s="3" t="s">
        <v>577</v>
      </c>
      <c r="U76" s="3" t="s">
        <v>253</v>
      </c>
      <c r="V76" s="3" t="s">
        <v>578</v>
      </c>
      <c r="W76" s="3" t="s">
        <v>579</v>
      </c>
      <c r="X76" s="2"/>
      <c r="Y76" s="2"/>
    </row>
    <row r="77" spans="1:25" x14ac:dyDescent="0.2">
      <c r="A77" s="3">
        <v>1455</v>
      </c>
      <c r="B77" s="4" t="s">
        <v>580</v>
      </c>
      <c r="C77" s="3" t="s">
        <v>581</v>
      </c>
      <c r="D77" s="3" t="str">
        <f>VLOOKUP(A77,Hebrew!A:C,3,0)</f>
        <v>ניסיון הכפשה נגד העיתונאי הפלסטיני יוניס טיראווי.</v>
      </c>
      <c r="E77" s="3" t="s">
        <v>582</v>
      </c>
      <c r="F77" s="3" t="str">
        <f>VLOOKUP($A77,Hebrew!$A:$S,4,0)</f>
        <v>טיראווי: פנה אליו עיתונאי מחדשות-13 שטוען שהוא, טיראווי, לא עומד בסטנדרטים עיתונאיים בפוסטים שלו על חיילי צה"ל בעזה.</v>
      </c>
      <c r="G77" s="3" t="s">
        <v>583</v>
      </c>
      <c r="H77" s="3" t="s">
        <v>583</v>
      </c>
      <c r="I77" s="3" t="s">
        <v>583</v>
      </c>
      <c r="J77" s="3" t="s">
        <v>393</v>
      </c>
      <c r="K77" s="3" t="s">
        <v>453</v>
      </c>
      <c r="L77" s="3" t="str">
        <f>VLOOKUP($A77,Hebrew!$A:$S,9,0)</f>
        <v>Younis Tirawi (@ytirawi)</v>
      </c>
      <c r="M77" s="2"/>
      <c r="N77" s="2"/>
      <c r="O77" s="3" t="s">
        <v>26</v>
      </c>
      <c r="P77" s="3" t="s">
        <v>27</v>
      </c>
      <c r="Q77" s="3" t="str">
        <f>VLOOKUP($A77,Hebrew!$A:$S,13,0)</f>
        <v>רצועת עזה</v>
      </c>
      <c r="R77" s="3" t="s">
        <v>396</v>
      </c>
      <c r="S77" s="3" t="s">
        <v>29</v>
      </c>
      <c r="T77" s="3" t="s">
        <v>584</v>
      </c>
      <c r="U77" s="3" t="s">
        <v>43</v>
      </c>
      <c r="V77" s="3" t="s">
        <v>27</v>
      </c>
      <c r="W77" s="2"/>
      <c r="X77" s="2"/>
      <c r="Y77" s="2"/>
    </row>
    <row r="78" spans="1:25" x14ac:dyDescent="0.2">
      <c r="A78" s="3">
        <v>1662</v>
      </c>
      <c r="B78" s="4" t="s">
        <v>585</v>
      </c>
      <c r="C78" s="3" t="s">
        <v>586</v>
      </c>
      <c r="D78" s="3" t="str">
        <f>VLOOKUP(A78,Hebrew!A:C,3,0)</f>
        <v>הכיסוי העולמי של חילוץ ארבעת חטופים חיים אינו מתייחס למאות הפלסטינים שנהרגו במהלך האירוע.</v>
      </c>
      <c r="E78" s="3" t="s">
        <v>587</v>
      </c>
      <c r="F78" s="3" t="str">
        <f>VLOOKUP($A78,Hebrew!$A:$S,4,0)</f>
        <v>דיווחים מצוטטים לגבי מבצע צה"ל לשחרור 4 חטופים חיים לא מציינים את 200+ הפלסטינים שנהרגו במהלך האירוע הזה.</v>
      </c>
      <c r="G78" s="3" t="s">
        <v>588</v>
      </c>
      <c r="H78" s="3" t="s">
        <v>588</v>
      </c>
      <c r="I78" s="3" t="s">
        <v>588</v>
      </c>
      <c r="J78" s="3" t="s">
        <v>393</v>
      </c>
      <c r="K78" s="3" t="s">
        <v>589</v>
      </c>
      <c r="L78" s="3" t="str">
        <f>VLOOKUP($A78,Hebrew!$A:$S,9,0)</f>
        <v>Assal Rad (@AssalRad)</v>
      </c>
      <c r="M78" s="2"/>
      <c r="N78" s="2"/>
      <c r="O78" s="3" t="s">
        <v>26</v>
      </c>
      <c r="P78" s="3" t="s">
        <v>27</v>
      </c>
      <c r="Q78" s="3" t="str">
        <f>VLOOKUP($A78,Hebrew!$A:$S,13,0)</f>
        <v>רצועת עזה</v>
      </c>
      <c r="R78" s="3" t="s">
        <v>396</v>
      </c>
      <c r="S78" s="3" t="s">
        <v>397</v>
      </c>
      <c r="T78" s="3" t="s">
        <v>590</v>
      </c>
      <c r="U78" s="3" t="s">
        <v>314</v>
      </c>
      <c r="V78" s="3" t="s">
        <v>27</v>
      </c>
      <c r="W78" s="2"/>
      <c r="X78" s="2"/>
      <c r="Y78" s="2"/>
    </row>
    <row r="79" spans="1:25" x14ac:dyDescent="0.2">
      <c r="A79" s="3">
        <v>1663</v>
      </c>
      <c r="B79" s="4" t="s">
        <v>591</v>
      </c>
      <c r="C79" s="3" t="s">
        <v>592</v>
      </c>
      <c r="D79" s="3" t="str">
        <f>VLOOKUP(A79,Hebrew!A:C,3,0)</f>
        <v>עיתונאית ערוץ 13: ישנה הוראה לא להראות לציבור בישראל צילומי תוצאות ההפצצות בעזה</v>
      </c>
      <c r="E79" s="3" t="s">
        <v>593</v>
      </c>
      <c r="F79" s="3" t="str">
        <f>VLOOKUP($A79,Hebrew!$A:$S,4,0)</f>
        <v>הילה אלרואי בחדשות ערוץ 13 מודה שיש הוראה לא לחשוף את הישראלים לתוצאות ההפצצות של ישראל על עזה.</v>
      </c>
      <c r="G79" s="3" t="s">
        <v>588</v>
      </c>
      <c r="H79" s="3" t="s">
        <v>588</v>
      </c>
      <c r="I79" s="3" t="s">
        <v>588</v>
      </c>
      <c r="J79" s="3" t="s">
        <v>393</v>
      </c>
      <c r="K79" s="3" t="s">
        <v>594</v>
      </c>
      <c r="L79" s="3" t="str">
        <f>VLOOKUP($A79,Hebrew!$A:$S,9,0)</f>
        <v>Stop the Genocide (@morpheus1099)</v>
      </c>
      <c r="M79" s="3" t="s">
        <v>374</v>
      </c>
      <c r="N79" s="2"/>
      <c r="O79" s="3" t="s">
        <v>39</v>
      </c>
      <c r="P79" s="3" t="s">
        <v>27</v>
      </c>
      <c r="Q79" s="3" t="str">
        <f>VLOOKUP($A79,Hebrew!$A:$S,13,0)</f>
        <v>רצועת עזה</v>
      </c>
      <c r="R79" s="3" t="s">
        <v>396</v>
      </c>
      <c r="S79" s="3" t="s">
        <v>413</v>
      </c>
      <c r="T79" s="3" t="s">
        <v>595</v>
      </c>
      <c r="U79" s="3" t="s">
        <v>314</v>
      </c>
      <c r="V79" s="3" t="s">
        <v>27</v>
      </c>
      <c r="W79" s="2"/>
      <c r="X79" s="2"/>
      <c r="Y79" s="2"/>
    </row>
    <row r="80" spans="1:25" x14ac:dyDescent="0.2">
      <c r="A80" s="3">
        <v>1666</v>
      </c>
      <c r="B80" s="6" t="s">
        <v>596</v>
      </c>
      <c r="C80" s="3" t="s">
        <v>597</v>
      </c>
      <c r="D80" s="3" t="str">
        <f>VLOOKUP(A80,Hebrew!A:C,3,0)</f>
        <v>מעצר של אזרחית פלסטינית בישראל לאחר פוסט ברשתות החברתיות המביע סולידריות ועצב בעקבות הטבח ברפיח</v>
      </c>
      <c r="E80" s="3" t="s">
        <v>598</v>
      </c>
      <c r="F80" s="3" t="str">
        <f>VLOOKUP($A80,Hebrew!$A:$S,4,0)</f>
        <v>מעצר אזרחית פלסטינית ישראלית בעקבות פוסט ברשתות החברתיות שמביע סולידריות עם אזרחים בעזה לאחר הטבח במחנה האוהלים ברפיח. צילומים מראים את המשטרה עוצרת את האישה, קושרת את ידיה עם אזיקון, מכסה את עיניה ומובילה אותה לרכב המשטרתי.</v>
      </c>
      <c r="G80" s="3" t="s">
        <v>599</v>
      </c>
      <c r="H80" s="3" t="s">
        <v>600</v>
      </c>
      <c r="I80" s="3" t="s">
        <v>600</v>
      </c>
      <c r="J80" s="3" t="s">
        <v>393</v>
      </c>
      <c r="K80" s="3" t="s">
        <v>601</v>
      </c>
      <c r="L80" s="3" t="str">
        <f>VLOOKUP($A80,Hebrew!$A:$S,9,0)</f>
        <v>רפאל שימונוב (@rafaelshimunov)</v>
      </c>
      <c r="M80" s="2"/>
      <c r="N80" s="2"/>
      <c r="O80" s="3" t="s">
        <v>602</v>
      </c>
      <c r="P80" s="3" t="s">
        <v>603</v>
      </c>
      <c r="Q80" s="3" t="str">
        <f>VLOOKUP($A80,Hebrew!$A:$S,13,0)</f>
        <v>מג'ד אל-כרום</v>
      </c>
      <c r="R80" s="3" t="s">
        <v>396</v>
      </c>
      <c r="S80" s="3" t="s">
        <v>413</v>
      </c>
      <c r="T80" s="3" t="s">
        <v>604</v>
      </c>
      <c r="U80" s="3" t="s">
        <v>268</v>
      </c>
      <c r="V80" s="3" t="s">
        <v>60</v>
      </c>
      <c r="W80" s="2"/>
      <c r="X80" s="2"/>
      <c r="Y80" s="2"/>
    </row>
    <row r="81" spans="1:25" x14ac:dyDescent="0.2">
      <c r="A81" s="3">
        <v>2109</v>
      </c>
      <c r="B81" s="4" t="s">
        <v>605</v>
      </c>
      <c r="C81" s="3" t="s">
        <v>606</v>
      </c>
      <c r="D81" s="3" t="str">
        <f>VLOOKUP(A81,Hebrew!A:C,3,0)</f>
        <v>עדות מבית החולים קמאל אדואן תחת הפצצות כבדות</v>
      </c>
      <c r="E81" s="3" t="s">
        <v>607</v>
      </c>
      <c r="F81" s="3" t="str">
        <f>VLOOKUP($A81,Hebrew!$A:$S,4,0)</f>
        <v>המנתח האורתופדי ד"ר מוחמד עבאיד, העובד עם רופאים ללא גבולות, מתאר את המשבר ההומניטרי והרפואי החמור בבית החולים קמאל עדואן בצפון עזה בעדות מוקלטת מ-22 באוקטובר. הוא מתאר הפצצות מתמשכות, משאבים מועטים, וחוסר היכולת לטפל בהרבה מהפצועים. (ד"ר עבאיד נעצר מאוחר יותר על ידי צה"ל.)</v>
      </c>
      <c r="G81" s="3" t="s">
        <v>608</v>
      </c>
      <c r="H81" s="3" t="s">
        <v>22</v>
      </c>
      <c r="I81" s="3" t="s">
        <v>22</v>
      </c>
      <c r="J81" s="3" t="s">
        <v>393</v>
      </c>
      <c r="K81" s="3" t="s">
        <v>609</v>
      </c>
      <c r="L81" s="3" t="str">
        <f>VLOOKUP($A81,Hebrew!$A:$S,9,0)</f>
        <v>Ahmed El Mokhallati (@AMokhallalati)</v>
      </c>
      <c r="M81" s="2"/>
      <c r="N81" s="4" t="s">
        <v>610</v>
      </c>
      <c r="O81" s="3" t="s">
        <v>26</v>
      </c>
      <c r="P81" s="3" t="s">
        <v>51</v>
      </c>
      <c r="Q81" s="3" t="str">
        <f>VLOOKUP($A81,Hebrew!$A:$S,13,0)</f>
        <v>בית החולים כמאל עדואן</v>
      </c>
      <c r="R81" s="3" t="s">
        <v>396</v>
      </c>
      <c r="S81" s="3" t="s">
        <v>455</v>
      </c>
      <c r="T81" s="3" t="s">
        <v>611</v>
      </c>
      <c r="U81" s="3" t="s">
        <v>612</v>
      </c>
      <c r="V81" s="3" t="s">
        <v>613</v>
      </c>
      <c r="W81" s="3" t="s">
        <v>579</v>
      </c>
      <c r="X81" s="2"/>
      <c r="Y81" s="2"/>
    </row>
    <row r="82" spans="1:25" x14ac:dyDescent="0.2">
      <c r="A82" s="3">
        <v>2121</v>
      </c>
      <c r="B82" s="4" t="s">
        <v>614</v>
      </c>
      <c r="C82" s="3" t="s">
        <v>615</v>
      </c>
      <c r="D82" s="3" t="str">
        <f>VLOOKUP(A82,Hebrew!A:C,3,0)</f>
        <v>צה"ל מפוצץ בניינים במחנה ג'בליה</v>
      </c>
      <c r="E82" s="3" t="s">
        <v>616</v>
      </c>
      <c r="F82" s="3" t="str">
        <f>VLOOKUP($A82,Hebrew!$A:$S,4,0)</f>
        <v>צה"ל מטמין חומרי נפץ בלב מחנה ג'באליה, הורס עשרות בתים, רבים מהם מאוכלסים.</v>
      </c>
      <c r="G82" s="3" t="s">
        <v>617</v>
      </c>
      <c r="H82" s="3" t="s">
        <v>617</v>
      </c>
      <c r="I82" s="3" t="s">
        <v>617</v>
      </c>
      <c r="J82" s="3" t="s">
        <v>393</v>
      </c>
      <c r="K82" s="3" t="s">
        <v>618</v>
      </c>
      <c r="L82" s="3" t="str">
        <f>VLOOKUP($A82,Hebrew!$A:$S,9,0)</f>
        <v>Motasem Dalloul (@abujoummaaGaza)</v>
      </c>
      <c r="M82" s="2"/>
      <c r="N82" s="2"/>
      <c r="O82" s="3" t="s">
        <v>26</v>
      </c>
      <c r="P82" s="3" t="s">
        <v>461</v>
      </c>
      <c r="Q82" s="3" t="str">
        <f>VLOOKUP($A82,Hebrew!$A:$S,13,0)</f>
        <v>ג'באליה</v>
      </c>
      <c r="R82" s="3" t="s">
        <v>396</v>
      </c>
      <c r="S82" s="3" t="s">
        <v>413</v>
      </c>
      <c r="T82" s="3" t="s">
        <v>619</v>
      </c>
      <c r="U82" s="3" t="s">
        <v>43</v>
      </c>
      <c r="V82" s="3" t="s">
        <v>620</v>
      </c>
      <c r="W82" s="2"/>
      <c r="X82" s="2"/>
      <c r="Y82" s="2"/>
    </row>
    <row r="83" spans="1:25" x14ac:dyDescent="0.2">
      <c r="A83" s="3">
        <v>2122</v>
      </c>
      <c r="B83" s="4" t="s">
        <v>621</v>
      </c>
      <c r="C83" s="3" t="s">
        <v>622</v>
      </c>
      <c r="D83" s="3" t="str">
        <f>VLOOKUP(A83,Hebrew!A:C,3,0)</f>
        <v>עדכונים על התקפות צה"ל על עזה 25 באוקטובר 2024</v>
      </c>
      <c r="E83" s="3" t="s">
        <v>623</v>
      </c>
      <c r="F83" s="3" t="str">
        <f>VLOOKUP($A83,Hebrew!$A:$S,4,0)</f>
        <v>עדכון על התקפות ברחבי עזה שגרמו ליותר מ-200 הרוגים אזרחיים. נדרשים פרמדיקים ואנשי הגנה אזרחית להיכנע לצה"ל. כוחות ישראליים דיווחו על כך שהקיפו את בית החולים קמאל אדואן ופגעו במפעל החמצן שלו, מה שהוביל למותם של מטופלים במצב קריטי.</v>
      </c>
      <c r="G83" s="3" t="s">
        <v>624</v>
      </c>
      <c r="H83" s="3" t="s">
        <v>625</v>
      </c>
      <c r="I83" s="3" t="s">
        <v>624</v>
      </c>
      <c r="J83" s="3" t="s">
        <v>393</v>
      </c>
      <c r="K83" s="3" t="s">
        <v>618</v>
      </c>
      <c r="L83" s="3" t="str">
        <f>VLOOKUP($A83,Hebrew!$A:$S,9,0)</f>
        <v>Motasem Dalloul (@abujoummaaGaza)</v>
      </c>
      <c r="M83" s="2"/>
      <c r="N83" s="2"/>
      <c r="O83" s="3" t="s">
        <v>26</v>
      </c>
      <c r="P83" s="3" t="s">
        <v>626</v>
      </c>
      <c r="Q83" s="3" t="str">
        <f>VLOOKUP($A83,Hebrew!$A:$S,13,0)</f>
        <v>בית החולים כמאל עדואן, בית לאהיא, ג'באליה, חאן יונס</v>
      </c>
      <c r="R83" s="3" t="s">
        <v>396</v>
      </c>
      <c r="S83" s="3" t="s">
        <v>29</v>
      </c>
      <c r="T83" s="3" t="s">
        <v>627</v>
      </c>
      <c r="U83" s="3" t="s">
        <v>628</v>
      </c>
      <c r="V83" s="3" t="s">
        <v>629</v>
      </c>
      <c r="W83" s="3" t="s">
        <v>630</v>
      </c>
      <c r="X83" s="2"/>
      <c r="Y83" s="2"/>
    </row>
    <row r="84" spans="1:25" x14ac:dyDescent="0.2">
      <c r="A84" s="3">
        <v>2123</v>
      </c>
      <c r="B84" s="6" t="s">
        <v>631</v>
      </c>
      <c r="C84" s="3" t="s">
        <v>632</v>
      </c>
      <c r="D84" s="3" t="str">
        <f>VLOOKUP(A84,Hebrew!A:C,3,0)</f>
        <v>61 נהרגו בהתקפות צה"ל על עזה מאז הבוקר</v>
      </c>
      <c r="E84" s="3" t="s">
        <v>633</v>
      </c>
      <c r="F84" s="3" t="str">
        <f>VLOOKUP($A84,Hebrew!$A:$S,4,0)</f>
        <v>מקורות רפואיים מדווחים על 61 הרוגים בהתקפות צה"ל - 46 מהם בג'באליה, בית חנון ובית לאהיה בצפון עזה.</v>
      </c>
      <c r="G84" s="3" t="s">
        <v>125</v>
      </c>
      <c r="H84" s="3" t="s">
        <v>125</v>
      </c>
      <c r="I84" s="3" t="s">
        <v>125</v>
      </c>
      <c r="J84" s="3" t="s">
        <v>393</v>
      </c>
      <c r="K84" s="3" t="s">
        <v>618</v>
      </c>
      <c r="L84" s="3" t="str">
        <f>VLOOKUP($A84,Hebrew!$A:$S,9,0)</f>
        <v>Motasem Dalloul (@abujoummaaGaza)</v>
      </c>
      <c r="M84" s="2"/>
      <c r="N84" s="2"/>
      <c r="O84" s="3" t="s">
        <v>26</v>
      </c>
      <c r="P84" s="3" t="s">
        <v>634</v>
      </c>
      <c r="Q84" s="3" t="str">
        <f>VLOOKUP($A84,Hebrew!$A:$S,13,0)</f>
        <v>ג'באליה, בית חאנון, בית לאהיא</v>
      </c>
      <c r="R84" s="3" t="s">
        <v>396</v>
      </c>
      <c r="S84" s="3" t="s">
        <v>397</v>
      </c>
      <c r="T84" s="3" t="s">
        <v>635</v>
      </c>
      <c r="U84" s="3" t="s">
        <v>628</v>
      </c>
      <c r="V84" s="3" t="s">
        <v>636</v>
      </c>
      <c r="W84" s="2"/>
      <c r="X84" s="2"/>
      <c r="Y84" s="2"/>
    </row>
    <row r="85" spans="1:25" x14ac:dyDescent="0.2">
      <c r="A85" s="3">
        <v>2124</v>
      </c>
      <c r="B85" s="4" t="s">
        <v>637</v>
      </c>
      <c r="C85" s="3" t="s">
        <v>638</v>
      </c>
      <c r="D85" s="3" t="str">
        <f>VLOOKUP(A85,Hebrew!A:C,3,0)</f>
        <v>עיתונאי מעזה מתאר כיצד הוא חי</v>
      </c>
      <c r="E85" s="3" t="s">
        <v>639</v>
      </c>
      <c r="F85" s="3" t="str">
        <f>VLOOKUP($A85,Hebrew!$A:$S,4,0)</f>
        <v>זה המקום החמישי שבו הסופר מצא מקלט עם משפחתו ואחיו הנותרים בתנאים קשים.</v>
      </c>
      <c r="G85" s="3" t="s">
        <v>124</v>
      </c>
      <c r="H85" s="2"/>
      <c r="I85" s="2"/>
      <c r="J85" s="3" t="s">
        <v>393</v>
      </c>
      <c r="K85" s="3" t="s">
        <v>618</v>
      </c>
      <c r="L85" s="3" t="str">
        <f>VLOOKUP($A85,Hebrew!$A:$S,9,0)</f>
        <v>Motasem Dalloul (@abujoummaaGaza)</v>
      </c>
      <c r="M85" s="2"/>
      <c r="N85" s="2"/>
      <c r="O85" s="3" t="s">
        <v>26</v>
      </c>
      <c r="P85" s="3" t="s">
        <v>27</v>
      </c>
      <c r="Q85" s="3" t="str">
        <f>VLOOKUP($A85,Hebrew!$A:$S,13,0)</f>
        <v>רצועת עזה</v>
      </c>
      <c r="R85" s="3" t="s">
        <v>396</v>
      </c>
      <c r="S85" s="3" t="s">
        <v>29</v>
      </c>
      <c r="T85" s="3" t="s">
        <v>640</v>
      </c>
      <c r="U85" s="2"/>
      <c r="V85" s="3" t="s">
        <v>27</v>
      </c>
      <c r="W85" s="2"/>
      <c r="X85" s="2"/>
      <c r="Y85" s="2"/>
    </row>
    <row r="86" spans="1:25" x14ac:dyDescent="0.2">
      <c r="A86" s="3">
        <v>2126</v>
      </c>
      <c r="B86" s="4" t="s">
        <v>641</v>
      </c>
      <c r="C86" s="3" t="s">
        <v>642</v>
      </c>
      <c r="D86" s="3" t="str">
        <f>VLOOKUP(A86,Hebrew!A:C,3,0)</f>
        <v>משבר בבית החולים כמאל עדואן במהלך מבצע צבאי בסוף 2024 בצפון עזה</v>
      </c>
      <c r="E86" s="3" t="s">
        <v>643</v>
      </c>
      <c r="F86" s="3" t="str">
        <f>VLOOKUP($A86,Hebrew!$A:$S,4,0)</f>
        <v>ד"ר חוסאם אבו ספיה מדווח על משבר רפואי נואש בבית החולים כמאל עדואן בעקבות חדירת צה"ל</v>
      </c>
      <c r="G86" s="3" t="s">
        <v>644</v>
      </c>
      <c r="H86" s="3" t="s">
        <v>644</v>
      </c>
      <c r="I86" s="3" t="s">
        <v>644</v>
      </c>
      <c r="J86" s="3" t="s">
        <v>393</v>
      </c>
      <c r="K86" s="3" t="s">
        <v>618</v>
      </c>
      <c r="L86" s="3" t="str">
        <f>VLOOKUP($A86,Hebrew!$A:$S,9,0)</f>
        <v>Motasem Dalloul (@abujoummaaGaza)</v>
      </c>
      <c r="M86" s="2"/>
      <c r="N86" s="2"/>
      <c r="O86" s="3" t="s">
        <v>645</v>
      </c>
      <c r="P86" s="3" t="s">
        <v>51</v>
      </c>
      <c r="Q86" s="3" t="str">
        <f>VLOOKUP($A86,Hebrew!$A:$S,13,0)</f>
        <v>בית החולים כמאל עדואן</v>
      </c>
      <c r="R86" s="3" t="s">
        <v>396</v>
      </c>
      <c r="S86" s="3" t="s">
        <v>405</v>
      </c>
      <c r="T86" s="3" t="s">
        <v>646</v>
      </c>
      <c r="U86" s="3" t="s">
        <v>628</v>
      </c>
      <c r="V86" s="3" t="s">
        <v>51</v>
      </c>
      <c r="W86" s="3" t="s">
        <v>630</v>
      </c>
      <c r="X86" s="2"/>
      <c r="Y86" s="2"/>
    </row>
    <row r="87" spans="1:25" x14ac:dyDescent="0.2">
      <c r="A87" s="3">
        <v>2127</v>
      </c>
      <c r="B87" s="4" t="s">
        <v>647</v>
      </c>
      <c r="C87" s="3" t="s">
        <v>648</v>
      </c>
      <c r="D87" s="3" t="str">
        <f>VLOOKUP(A87,Hebrew!A:C,3,0)</f>
        <v>דוח מד"ר חוסאם אבו ספיה על מקרי המוות בבית החולים כמאל עדואן</v>
      </c>
      <c r="E87" s="3" t="s">
        <v>649</v>
      </c>
      <c r="F87" s="3" t="str">
        <f>VLOOKUP($A87,Hebrew!$A:$S,4,0)</f>
        <v>ד"ר חוסאם אבו ספיה מדווח שבמהלך 24 השעות בין ה-19 ל-20 בנובמבר, אדם אחד מת מהתייבשות ובית החולים קיבל 17 מקרים של התייבשות ותת תזונה בקרב ילדים.</v>
      </c>
      <c r="G87" s="3" t="s">
        <v>650</v>
      </c>
      <c r="H87" s="3" t="s">
        <v>216</v>
      </c>
      <c r="I87" s="3" t="s">
        <v>650</v>
      </c>
      <c r="J87" s="3" t="s">
        <v>393</v>
      </c>
      <c r="K87" s="3" t="s">
        <v>618</v>
      </c>
      <c r="L87" s="3" t="str">
        <f>VLOOKUP($A87,Hebrew!$A:$S,9,0)</f>
        <v>Motasem Dalloul (@abujoummaaGaza)</v>
      </c>
      <c r="M87" s="2"/>
      <c r="N87" s="2"/>
      <c r="O87" s="3" t="s">
        <v>26</v>
      </c>
      <c r="P87" s="3" t="s">
        <v>51</v>
      </c>
      <c r="Q87" s="3" t="str">
        <f>VLOOKUP($A87,Hebrew!$A:$S,13,0)</f>
        <v>בית החולים כמאל עדואן</v>
      </c>
      <c r="R87" s="3" t="s">
        <v>396</v>
      </c>
      <c r="S87" s="3" t="s">
        <v>413</v>
      </c>
      <c r="T87" s="3" t="s">
        <v>651</v>
      </c>
      <c r="U87" s="3" t="s">
        <v>652</v>
      </c>
      <c r="V87" s="3" t="s">
        <v>653</v>
      </c>
      <c r="W87" s="3" t="s">
        <v>630</v>
      </c>
      <c r="X87" s="2"/>
      <c r="Y87" s="2"/>
    </row>
    <row r="88" spans="1:25" x14ac:dyDescent="0.2">
      <c r="A88" s="3">
        <v>464</v>
      </c>
      <c r="B88" s="4" t="s">
        <v>654</v>
      </c>
      <c r="C88" s="3" t="s">
        <v>655</v>
      </c>
      <c r="D88" s="3" t="str">
        <f>VLOOKUP(A88,Hebrew!A:C,3,0)</f>
        <v>הצילומים מראים כוחות ישראליים הורגים פלסטיני שנושא דגל לבן.</v>
      </c>
      <c r="E88" s="3" t="s">
        <v>656</v>
      </c>
      <c r="F88" s="3" t="str">
        <f>VLOOKUP($A88,Hebrew!$A:$S,4,0)</f>
        <v>עיתונאי פלסטיני תיעד את הריגתו של רמזי אבו סהלול בן ה-51 באזור המוואסי, ב-22 בינואר 2024. האירוע התרחש לאחר שהתושבים נאלצו לברוח מאזור שהוכרז קודם לכן כבטוח על ידי הצבא הישראלי. אבו סהלול, שהחזיק בדגל לבן, ניסה לפנות את משפחתו כאשר נורה ונורה למוות על ידי כוחות ישראליים.</v>
      </c>
      <c r="G88" s="3" t="s">
        <v>657</v>
      </c>
      <c r="H88" s="3" t="s">
        <v>658</v>
      </c>
      <c r="I88" s="3" t="s">
        <v>658</v>
      </c>
      <c r="J88" s="3" t="s">
        <v>393</v>
      </c>
      <c r="K88" s="3" t="s">
        <v>659</v>
      </c>
      <c r="L88" s="3" t="str">
        <f>VLOOKUP($A88,Hebrew!$A:$S,9,0)</f>
        <v>Ramy Abdu (@RamAbdu)</v>
      </c>
      <c r="M88" s="3" t="s">
        <v>660</v>
      </c>
      <c r="N88" s="2"/>
      <c r="O88" s="3" t="s">
        <v>412</v>
      </c>
      <c r="P88" s="3" t="s">
        <v>661</v>
      </c>
      <c r="Q88" s="3" t="str">
        <f>VLOOKUP($A88,Hebrew!$A:$S,13,0)</f>
        <v>אל-מוואסי</v>
      </c>
      <c r="R88" s="3" t="s">
        <v>396</v>
      </c>
      <c r="S88" s="3" t="s">
        <v>413</v>
      </c>
      <c r="T88" s="3" t="s">
        <v>662</v>
      </c>
      <c r="U88" s="3" t="s">
        <v>43</v>
      </c>
      <c r="V88" s="3" t="s">
        <v>663</v>
      </c>
      <c r="W88" s="2"/>
      <c r="X88" s="2"/>
      <c r="Y88" s="2"/>
    </row>
    <row r="89" spans="1:25" x14ac:dyDescent="0.2">
      <c r="A89" s="3">
        <v>465</v>
      </c>
      <c r="B89" s="4" t="s">
        <v>664</v>
      </c>
      <c r="C89" s="3" t="s">
        <v>665</v>
      </c>
      <c r="D89" s="3" t="str">
        <f>VLOOKUP(A89,Hebrew!A:C,3,0)</f>
        <v>חיילי צה"ל לועגים למעוכבים פלסטינים עם כיסוי עיניים</v>
      </c>
      <c r="E89" s="3" t="s">
        <v>666</v>
      </c>
      <c r="F89" s="3" t="str">
        <f>VLOOKUP($A89,Hebrew!$A:$S,4,0)</f>
        <v>חיילות צה"ל שיתפו סרטון המראה עצורים פלסטינים עם כיסוי עיניים, על ברכיהם, תוך כדי שחיילי צה"ל לועגים להם ומאשימים אותם בכך שהם חברים ב"ג'יהאד האסלאמי" או ב"נוחבה". הן גם לגלגו על עצור שהשתין במכנסיו.</v>
      </c>
      <c r="G89" s="3" t="s">
        <v>546</v>
      </c>
      <c r="H89" s="2"/>
      <c r="I89" s="2"/>
      <c r="J89" s="3" t="s">
        <v>393</v>
      </c>
      <c r="K89" s="3" t="s">
        <v>659</v>
      </c>
      <c r="L89" s="3" t="str">
        <f>VLOOKUP($A89,Hebrew!$A:$S,9,0)</f>
        <v>Ramy Abdu (@RamAbdu)</v>
      </c>
      <c r="M89" s="2"/>
      <c r="N89" s="2"/>
      <c r="O89" s="3" t="s">
        <v>426</v>
      </c>
      <c r="P89" s="2"/>
      <c r="Q89" s="3">
        <f>VLOOKUP($A89,Hebrew!$A:$S,13,0)</f>
        <v>0</v>
      </c>
      <c r="R89" s="3" t="s">
        <v>396</v>
      </c>
      <c r="S89" s="3" t="s">
        <v>413</v>
      </c>
      <c r="T89" s="3" t="s">
        <v>667</v>
      </c>
      <c r="U89" s="3" t="s">
        <v>43</v>
      </c>
      <c r="V89" s="2"/>
      <c r="W89" s="2"/>
      <c r="X89" s="2"/>
      <c r="Y89" s="2"/>
    </row>
    <row r="90" spans="1:25" x14ac:dyDescent="0.2">
      <c r="A90" s="3">
        <v>468</v>
      </c>
      <c r="B90" s="4" t="s">
        <v>668</v>
      </c>
      <c r="C90" s="3" t="s">
        <v>669</v>
      </c>
      <c r="D90" s="3" t="str">
        <f>VLOOKUP(A90,Hebrew!A:C,3,0)</f>
        <v>ילד פלסטיני עונה במעצר של צה"ל</v>
      </c>
      <c r="E90" s="3" t="s">
        <v>670</v>
      </c>
      <c r="F90" s="3" t="str">
        <f>VLOOKUP($A90,Hebrew!$A:$S,4,0)</f>
        <v>ילד פלסטיני, ששוחרר לאחרונה ממעצר ישראלי, מעיד כי הוכה עם מוטות ברזל, הופשט, עונה ללא רחמים, ונמנעה ממנו שינה.</v>
      </c>
      <c r="G90" s="3" t="s">
        <v>671</v>
      </c>
      <c r="H90" s="2"/>
      <c r="I90" s="2"/>
      <c r="J90" s="3" t="s">
        <v>393</v>
      </c>
      <c r="K90" s="3" t="s">
        <v>659</v>
      </c>
      <c r="L90" s="3" t="str">
        <f>VLOOKUP($A90,Hebrew!$A:$S,9,0)</f>
        <v>Ramy Abdu (@RamAbdu)</v>
      </c>
      <c r="M90" s="2"/>
      <c r="N90" s="2"/>
      <c r="O90" s="3" t="s">
        <v>412</v>
      </c>
      <c r="P90" s="2"/>
      <c r="Q90" s="3">
        <f>VLOOKUP($A90,Hebrew!$A:$S,13,0)</f>
        <v>0</v>
      </c>
      <c r="R90" s="3" t="s">
        <v>396</v>
      </c>
      <c r="S90" s="3" t="s">
        <v>413</v>
      </c>
      <c r="T90" s="3" t="s">
        <v>672</v>
      </c>
      <c r="U90" s="3" t="s">
        <v>673</v>
      </c>
      <c r="V90" s="2"/>
      <c r="W90" s="2"/>
      <c r="X90" s="2"/>
      <c r="Y90" s="2"/>
    </row>
    <row r="91" spans="1:25" x14ac:dyDescent="0.2">
      <c r="A91" s="3">
        <v>469</v>
      </c>
      <c r="B91" s="4" t="s">
        <v>674</v>
      </c>
      <c r="C91" s="3" t="s">
        <v>675</v>
      </c>
      <c r="D91" s="3" t="str">
        <f>VLOOKUP(A91,Hebrew!A:C,3,0)</f>
        <v>שניים פלסטינים מתים במעצר; אלפים נלקחו בכוח ונעלמו.</v>
      </c>
      <c r="E91" s="3" t="s">
        <v>676</v>
      </c>
      <c r="F91" s="3" t="str">
        <f>VLOOKUP($A91,Hebrew!$A:$S,4,0)</f>
        <v>שני עצורים מעזה מתו במרכזי מעצר ישראליים במהלך חקירתם. אלפי פלסטינים נלקחו בכוח ונעלמו, גורלם לא ידוע, על רקע דיווחים תכופים על עשרות שנרצחו בתוך בתי הכלא הישראלים.</v>
      </c>
      <c r="G91" s="3" t="s">
        <v>677</v>
      </c>
      <c r="H91" s="2"/>
      <c r="I91" s="2"/>
      <c r="J91" s="3" t="s">
        <v>393</v>
      </c>
      <c r="K91" s="3" t="s">
        <v>659</v>
      </c>
      <c r="L91" s="3" t="str">
        <f>VLOOKUP($A91,Hebrew!$A:$S,9,0)</f>
        <v>Ramy Abdu (@RamAbdu)</v>
      </c>
      <c r="M91" s="3" t="s">
        <v>201</v>
      </c>
      <c r="N91" s="6" t="s">
        <v>678</v>
      </c>
      <c r="O91" s="3" t="s">
        <v>426</v>
      </c>
      <c r="P91" s="2"/>
      <c r="Q91" s="3">
        <f>VLOOKUP($A91,Hebrew!$A:$S,13,0)</f>
        <v>0</v>
      </c>
      <c r="R91" s="3" t="s">
        <v>396</v>
      </c>
      <c r="S91" s="3" t="s">
        <v>29</v>
      </c>
      <c r="T91" s="3" t="s">
        <v>679</v>
      </c>
      <c r="U91" s="3" t="s">
        <v>43</v>
      </c>
      <c r="V91" s="2"/>
      <c r="W91" s="2"/>
      <c r="X91" s="2"/>
      <c r="Y91" s="2"/>
    </row>
    <row r="92" spans="1:25" x14ac:dyDescent="0.2">
      <c r="A92" s="3">
        <v>470</v>
      </c>
      <c r="B92" s="4" t="s">
        <v>680</v>
      </c>
      <c r="C92" s="3" t="s">
        <v>681</v>
      </c>
      <c r="D92" s="3" t="str">
        <f>VLOOKUP(A92,Hebrew!A:C,3,0)</f>
        <v>חיילי צה"ל מצטלמים בזמן שהם לובשים בגדי נשים פלסטיניות בבית בעזה</v>
      </c>
      <c r="E92" s="3" t="s">
        <v>682</v>
      </c>
      <c r="F92" s="3" t="str">
        <f>VLOOKUP($A92,Hebrew!$A:$S,4,0)</f>
        <v>בעת שדווח על הריגת יותר מ-10,000 נשים, חיילי צה"ל מתלבשים בבגדי נשים פלסטיניות עקורות ומצלמים תמונות.</v>
      </c>
      <c r="G92" s="3" t="s">
        <v>683</v>
      </c>
      <c r="H92" s="2"/>
      <c r="I92" s="2"/>
      <c r="J92" s="3" t="s">
        <v>393</v>
      </c>
      <c r="K92" s="3" t="s">
        <v>659</v>
      </c>
      <c r="L92" s="3" t="str">
        <f>VLOOKUP($A92,Hebrew!$A:$S,9,0)</f>
        <v>Ramy Abdu (@RamAbdu)</v>
      </c>
      <c r="M92" s="2"/>
      <c r="N92" s="2"/>
      <c r="O92" s="3" t="s">
        <v>26</v>
      </c>
      <c r="P92" s="3" t="s">
        <v>27</v>
      </c>
      <c r="Q92" s="3" t="str">
        <f>VLOOKUP($A92,Hebrew!$A:$S,13,0)</f>
        <v>רצועת עזה</v>
      </c>
      <c r="R92" s="3" t="s">
        <v>396</v>
      </c>
      <c r="S92" s="3" t="s">
        <v>397</v>
      </c>
      <c r="T92" s="3" t="s">
        <v>684</v>
      </c>
      <c r="U92" s="3" t="s">
        <v>43</v>
      </c>
      <c r="V92" s="3" t="s">
        <v>27</v>
      </c>
      <c r="W92" s="2"/>
      <c r="X92" s="2"/>
      <c r="Y92" s="2"/>
    </row>
    <row r="93" spans="1:25" x14ac:dyDescent="0.2">
      <c r="A93" s="3">
        <v>471</v>
      </c>
      <c r="B93" s="4" t="s">
        <v>685</v>
      </c>
      <c r="C93" s="3" t="s">
        <v>686</v>
      </c>
      <c r="D93" s="3" t="str">
        <f>VLOOKUP(A93,Hebrew!A:C,3,0)</f>
        <v>עציר פלסטיני מתאר התעללות פיזית ונפשית על ידי צה"ל</v>
      </c>
      <c r="E93" s="3" t="s">
        <v>687</v>
      </c>
      <c r="F93" s="3" t="str">
        <f>VLOOKUP($A93,Hebrew!$A:$S,4,0)</f>
        <v>ג'מאל אל-עיסאווי, פלסטיני ששוחרר לאחרונה ממעצר צה"ל, מתאר חוויות של התעללות מתמשכת, כולל השפלה, שלילת כבוד, מכות עם מוטות ברזל, התקפות כלבים וצורות אחרות של עינויים והטרדות קשות.</v>
      </c>
      <c r="G93" s="3" t="s">
        <v>688</v>
      </c>
      <c r="H93" s="2"/>
      <c r="I93" s="2"/>
      <c r="J93" s="3" t="s">
        <v>393</v>
      </c>
      <c r="K93" s="3" t="s">
        <v>659</v>
      </c>
      <c r="L93" s="3" t="str">
        <f>VLOOKUP($A93,Hebrew!$A:$S,9,0)</f>
        <v>Ramy Abdu (@RamAbdu)</v>
      </c>
      <c r="M93" s="2"/>
      <c r="N93" s="2"/>
      <c r="O93" s="3" t="s">
        <v>412</v>
      </c>
      <c r="P93" s="2"/>
      <c r="Q93" s="3">
        <f>VLOOKUP($A93,Hebrew!$A:$S,13,0)</f>
        <v>0</v>
      </c>
      <c r="R93" s="3" t="s">
        <v>396</v>
      </c>
      <c r="S93" s="3" t="s">
        <v>413</v>
      </c>
      <c r="T93" s="3" t="s">
        <v>689</v>
      </c>
      <c r="U93" s="3" t="s">
        <v>43</v>
      </c>
      <c r="V93" s="2"/>
      <c r="W93" s="2"/>
      <c r="X93" s="2"/>
      <c r="Y93" s="2"/>
    </row>
    <row r="94" spans="1:25" x14ac:dyDescent="0.2">
      <c r="A94" s="3">
        <v>425</v>
      </c>
      <c r="B94" s="4" t="s">
        <v>690</v>
      </c>
      <c r="C94" s="3" t="s">
        <v>691</v>
      </c>
      <c r="D94" s="3" t="str">
        <f>VLOOKUP(A94,Hebrew!A:C,3,0)</f>
        <v>טנק של צה"ל נכנס לרצועת עזה, חוצה את מעבר רפיח למצרים ויורה באקראי.</v>
      </c>
      <c r="E94" s="3" t="s">
        <v>692</v>
      </c>
      <c r="F94" s="3" t="str">
        <f>VLOOKUP($A94,Hebrew!$A:$S,4,0)</f>
        <v>חיילי צה"ל נוהגים טנק לעבר שלט "עזה" ליד בניין ההגעה במעבר רפיח ממצרים, פוגעים בשלט "אני ❤️ עזה" הסמוך, ומקליטים את עצמם יורים באקראי מטנק לעבר מבנים אזרחיים בעיר עזה.</v>
      </c>
      <c r="G94" s="3" t="s">
        <v>545</v>
      </c>
      <c r="H94" s="2"/>
      <c r="I94" s="2"/>
      <c r="J94" s="3" t="s">
        <v>393</v>
      </c>
      <c r="K94" s="3" t="s">
        <v>693</v>
      </c>
      <c r="L94" s="3" t="str">
        <f>VLOOKUP($A94,Hebrew!$A:$S,9,0)</f>
        <v>אלון-לי גרין (@AlonLeeGreen)</v>
      </c>
      <c r="M94" s="2"/>
      <c r="N94" s="2"/>
      <c r="O94" s="3" t="s">
        <v>39</v>
      </c>
      <c r="P94" s="3" t="s">
        <v>439</v>
      </c>
      <c r="Q94" s="3" t="str">
        <f>VLOOKUP($A94,Hebrew!$A:$S,13,0)</f>
        <v>רפיח</v>
      </c>
      <c r="R94" s="3" t="s">
        <v>396</v>
      </c>
      <c r="S94" s="3" t="s">
        <v>413</v>
      </c>
      <c r="T94" s="3" t="s">
        <v>694</v>
      </c>
      <c r="U94" s="3" t="s">
        <v>43</v>
      </c>
      <c r="V94" s="3" t="s">
        <v>439</v>
      </c>
      <c r="W94" s="2"/>
      <c r="X94" s="2"/>
      <c r="Y94" s="2"/>
    </row>
    <row r="95" spans="1:25" x14ac:dyDescent="0.2">
      <c r="A95" s="3">
        <v>522</v>
      </c>
      <c r="B95" s="4" t="s">
        <v>695</v>
      </c>
      <c r="C95" s="3" t="s">
        <v>696</v>
      </c>
      <c r="D95" s="3" t="str">
        <f>VLOOKUP(A95,Hebrew!A:C,3,0)</f>
        <v>גבר לובש חולצת טי עם הכיתוב "שיישרף לכם הכפר" במושב משמר השרון</v>
      </c>
      <c r="E95" s="3" t="s">
        <v>697</v>
      </c>
      <c r="F95" s="3" t="str">
        <f>VLOOKUP($A95,Hebrew!$A:$S,4,0)</f>
        <v>תמונה שצולמה על ידי העיתונאי ניב הדס מהארץ מתעדת צעיר שלובש חולצה עם הסלוגן "שישרף לכם הכפר" במושב משמר השרון, במקום שבו עובדים רבים ערבים. נראה כי האיש שייך לזרם הדתי-ימני.</v>
      </c>
      <c r="G95" s="3" t="s">
        <v>671</v>
      </c>
      <c r="H95" s="3" t="s">
        <v>671</v>
      </c>
      <c r="I95" s="3" t="s">
        <v>671</v>
      </c>
      <c r="J95" s="3" t="s">
        <v>393</v>
      </c>
      <c r="K95" s="3" t="s">
        <v>491</v>
      </c>
      <c r="L95" s="3" t="str">
        <f>VLOOKUP($A95,Hebrew!$A:$S,9,0)</f>
        <v>B.M. (@ireallyhateyou)</v>
      </c>
      <c r="M95" s="2"/>
      <c r="N95" s="4" t="s">
        <v>698</v>
      </c>
      <c r="O95" s="3" t="s">
        <v>493</v>
      </c>
      <c r="P95" s="3" t="s">
        <v>699</v>
      </c>
      <c r="Q95" s="3" t="str">
        <f>VLOOKUP($A95,Hebrew!$A:$S,13,0)</f>
        <v>משמר השרון</v>
      </c>
      <c r="R95" s="3" t="s">
        <v>396</v>
      </c>
      <c r="S95" s="3" t="s">
        <v>700</v>
      </c>
      <c r="T95" s="3" t="s">
        <v>701</v>
      </c>
      <c r="U95" s="2"/>
      <c r="V95" s="3" t="s">
        <v>60</v>
      </c>
      <c r="W95" s="2"/>
      <c r="X95" s="2"/>
      <c r="Y95" s="2"/>
    </row>
    <row r="96" spans="1:25" x14ac:dyDescent="0.2">
      <c r="A96" s="3">
        <v>523</v>
      </c>
      <c r="B96" s="4" t="s">
        <v>702</v>
      </c>
      <c r="C96" s="3" t="s">
        <v>703</v>
      </c>
      <c r="D96" s="3" t="str">
        <f>VLOOKUP(A96,Hebrew!A:C,3,0)</f>
        <v>שר האוצר של ישראל, בצלאל סמוטריץ', מתראיין בגלצ ואומר שכל תושבי עזה נאצים.</v>
      </c>
      <c r="E96" s="3" t="s">
        <v>704</v>
      </c>
      <c r="F96" s="3" t="str">
        <f>VLOOKUP($A96,Hebrew!$A:$S,4,0)</f>
        <v>שר האוצר של ישראל, בצלאל סמוטריץ', טוען שכל 2 מיליון תושבי עזה הם נאצים "שרוצים לשחוט, לאנוס ולרצוח כל יהודי". הוא מוסיף שישראל חייבת לכבוש את עזה עד שחמאס יובס ויוחלף.</v>
      </c>
      <c r="G96" s="3" t="s">
        <v>705</v>
      </c>
      <c r="H96" s="3" t="s">
        <v>705</v>
      </c>
      <c r="I96" s="3" t="s">
        <v>705</v>
      </c>
      <c r="J96" s="3" t="s">
        <v>393</v>
      </c>
      <c r="K96" s="3" t="s">
        <v>491</v>
      </c>
      <c r="L96" s="3" t="str">
        <f>VLOOKUP($A96,Hebrew!$A:$S,9,0)</f>
        <v>B.M. (@ireallyhateyou)</v>
      </c>
      <c r="M96" s="3" t="s">
        <v>706</v>
      </c>
      <c r="N96" s="2"/>
      <c r="O96" s="3" t="s">
        <v>493</v>
      </c>
      <c r="P96" s="3" t="s">
        <v>60</v>
      </c>
      <c r="Q96" s="3" t="str">
        <f>VLOOKUP($A96,Hebrew!$A:$S,13,0)</f>
        <v>ישראל</v>
      </c>
      <c r="R96" s="3" t="s">
        <v>396</v>
      </c>
      <c r="S96" s="3" t="s">
        <v>707</v>
      </c>
      <c r="T96" s="3" t="s">
        <v>708</v>
      </c>
      <c r="U96" s="3" t="s">
        <v>253</v>
      </c>
      <c r="V96" s="3" t="s">
        <v>709</v>
      </c>
      <c r="W96" s="3" t="s">
        <v>261</v>
      </c>
      <c r="X96" s="2"/>
      <c r="Y96" s="2"/>
    </row>
    <row r="97" spans="1:25" x14ac:dyDescent="0.2">
      <c r="A97" s="3">
        <v>883</v>
      </c>
      <c r="B97" s="4" t="s">
        <v>710</v>
      </c>
      <c r="C97" s="3" t="s">
        <v>711</v>
      </c>
      <c r="D97" s="3" t="str">
        <f>VLOOKUP(A97,Hebrew!A:C,3,0)</f>
        <v>סקר על ההפרות השיטתיות של ישראל את החוק ההומניטרי הבינלאומי</v>
      </c>
      <c r="E97" s="3" t="s">
        <v>712</v>
      </c>
      <c r="F97" s="3" t="str">
        <f>VLOOKUP($A97,Hebrew!$A:$S,4,0)</f>
        <v>ישראל מפרה חוקי מלחמה ארוכי שנים על ידי תקיפת מקומות מוגנים כמו שגרירויות ובתי חולים, חסימת משלוחי סיוע, וככל הנראה שימוש ברעב כנשק - פעולות שעשויות להיחשב כפשעי מלחמה. אלו לא הפרות מקריות, אלא נראות כחלק מניסיון מכוון להתעלם או לשנות חוקים בינלאומיים, דבר שגם נתמך על ידי ממשלת ארצות הברית.</v>
      </c>
      <c r="G97" s="3" t="s">
        <v>583</v>
      </c>
      <c r="H97" s="2"/>
      <c r="I97" s="2"/>
      <c r="J97" s="3" t="s">
        <v>393</v>
      </c>
      <c r="K97" s="3" t="s">
        <v>713</v>
      </c>
      <c r="L97" s="3" t="str">
        <f>VLOOKUP($A97,Hebrew!$A:$S,9,0)</f>
        <v>Trita Parsi (@tparsi)</v>
      </c>
      <c r="M97" s="2"/>
      <c r="N97" s="2"/>
      <c r="O97" s="3" t="s">
        <v>26</v>
      </c>
      <c r="P97" s="2"/>
      <c r="Q97" s="3">
        <f>VLOOKUP($A97,Hebrew!$A:$S,13,0)</f>
        <v>0</v>
      </c>
      <c r="R97" s="3" t="s">
        <v>396</v>
      </c>
      <c r="S97" s="3" t="s">
        <v>397</v>
      </c>
      <c r="T97" s="3" t="s">
        <v>714</v>
      </c>
      <c r="U97" s="3" t="s">
        <v>715</v>
      </c>
      <c r="V97" s="2"/>
      <c r="W97" s="3" t="s">
        <v>716</v>
      </c>
      <c r="X97" s="2"/>
      <c r="Y97" s="2"/>
    </row>
    <row r="98" spans="1:25" x14ac:dyDescent="0.2">
      <c r="A98" s="3">
        <v>1020</v>
      </c>
      <c r="B98" s="4" t="s">
        <v>717</v>
      </c>
      <c r="C98" s="3" t="s">
        <v>718</v>
      </c>
      <c r="D98" s="3" t="str">
        <f>VLOOKUP(A98,Hebrew!A:C,3,0)</f>
        <v>פקידים שונים באומות המאוחדות מזהירים מפני השמדת עזה, אך ארצות הברית מסיטה את מבטה.</v>
      </c>
      <c r="E98" s="3" t="s">
        <v>719</v>
      </c>
      <c r="F98" s="3" t="str">
        <f>VLOOKUP($A98,Hebrew!$A:$S,4,0)</f>
        <v>סוכנויות האומות המאוחדות מזהירות על משבר הומניטרי קטסטרופלי בעזה, עם דיווחים על רעב המוני, התקפות אקראיות ופוטנציאל למחיקה אתנית—בעוד שהארצות הברית מתעלמת מהפניות שלהן, ומערערת את טענתה שהיא שומרת על החוק הבינלאומי.</v>
      </c>
      <c r="G98" s="3" t="s">
        <v>720</v>
      </c>
      <c r="H98" s="2"/>
      <c r="I98" s="2"/>
      <c r="J98" s="3" t="s">
        <v>393</v>
      </c>
      <c r="K98" s="3" t="s">
        <v>589</v>
      </c>
      <c r="L98" s="3" t="str">
        <f>VLOOKUP($A98,Hebrew!$A:$S,9,0)</f>
        <v>Assal Rad (@AssalRad)</v>
      </c>
      <c r="M98" s="2"/>
      <c r="N98" s="2"/>
      <c r="O98" s="3" t="s">
        <v>26</v>
      </c>
      <c r="P98" s="3" t="s">
        <v>27</v>
      </c>
      <c r="Q98" s="3" t="str">
        <f>VLOOKUP($A98,Hebrew!$A:$S,13,0)</f>
        <v>רצועת עזה</v>
      </c>
      <c r="R98" s="3" t="s">
        <v>396</v>
      </c>
      <c r="S98" s="3" t="s">
        <v>29</v>
      </c>
      <c r="T98" s="3" t="s">
        <v>721</v>
      </c>
      <c r="U98" s="3" t="s">
        <v>722</v>
      </c>
      <c r="V98" s="3" t="s">
        <v>27</v>
      </c>
      <c r="W98" s="2"/>
      <c r="X98" s="2"/>
      <c r="Y98" s="2"/>
    </row>
    <row r="99" spans="1:25" x14ac:dyDescent="0.2">
      <c r="A99" s="3">
        <v>446</v>
      </c>
      <c r="B99" s="4" t="s">
        <v>723</v>
      </c>
      <c r="C99" s="3" t="s">
        <v>724</v>
      </c>
      <c r="D99" s="3" t="str">
        <f>VLOOKUP(A99,Hebrew!A:C,3,0)</f>
        <v>צה"ל מפיץ שטרות מזויפים שבהם סינוואר מאוייר כעכבר</v>
      </c>
      <c r="E99" s="3" t="s">
        <v>725</v>
      </c>
      <c r="F99" s="3" t="str">
        <f>VLOOKUP($A99,Hebrew!$A:$S,4,0)</f>
        <v>מקורות פלסטיניים מדווחים כי צה"ל הפיץ שטרות מזויפים של 20 שקלים בדיר אל-בלאח, במרכז עזה, בהם יחיא סינוואר מאויר כעכבר, ואשר נושאים את המסר: "הכסף שלכם אצל סינוואר."</v>
      </c>
      <c r="G99" s="3" t="s">
        <v>677</v>
      </c>
      <c r="H99" s="2"/>
      <c r="I99" s="2"/>
      <c r="J99" s="3" t="s">
        <v>393</v>
      </c>
      <c r="K99" s="3" t="s">
        <v>418</v>
      </c>
      <c r="L99" s="3" t="str">
        <f>VLOOKUP($A99,Hebrew!$A:$S,9,0)</f>
        <v>N12 חדשות (@N12News)</v>
      </c>
      <c r="M99" s="2"/>
      <c r="N99" s="2"/>
      <c r="O99" s="3" t="s">
        <v>39</v>
      </c>
      <c r="P99" s="3" t="s">
        <v>726</v>
      </c>
      <c r="Q99" s="3" t="str">
        <f>VLOOKUP($A99,Hebrew!$A:$S,13,0)</f>
        <v>דיר אל-בלח</v>
      </c>
      <c r="R99" s="3" t="s">
        <v>396</v>
      </c>
      <c r="S99" s="3" t="s">
        <v>397</v>
      </c>
      <c r="T99" s="3" t="s">
        <v>727</v>
      </c>
      <c r="U99" s="3" t="s">
        <v>43</v>
      </c>
      <c r="V99" s="3" t="s">
        <v>728</v>
      </c>
      <c r="W99" s="3" t="s">
        <v>729</v>
      </c>
      <c r="X99" s="2"/>
      <c r="Y99" s="2"/>
    </row>
    <row r="100" spans="1:25" x14ac:dyDescent="0.2">
      <c r="A100" s="3">
        <v>447</v>
      </c>
      <c r="B100" s="4" t="s">
        <v>730</v>
      </c>
      <c r="C100" s="3" t="s">
        <v>731</v>
      </c>
      <c r="D100" s="3" t="str">
        <f>VLOOKUP(A100,Hebrew!A:C,3,0)</f>
        <v>חיילי צה"ל חוגגים הריסת בתים פלסטיניים.</v>
      </c>
      <c r="E100" s="3" t="s">
        <v>732</v>
      </c>
      <c r="F100" s="3" t="str">
        <f>VLOOKUP($A100,Hebrew!$A:$S,4,0)</f>
        <v>וידאו המראה חיילי צה"ל חוגגים בהתלהבות כאשר הם הורסים חלק נרחב מבנייני מגורים פלסטיניים.</v>
      </c>
      <c r="G100" s="3" t="s">
        <v>657</v>
      </c>
      <c r="H100" s="2"/>
      <c r="I100" s="2"/>
      <c r="J100" s="3" t="s">
        <v>393</v>
      </c>
      <c r="K100" s="3" t="s">
        <v>733</v>
      </c>
      <c r="L100" s="3" t="str">
        <f>VLOOKUP($A100,Hebrew!$A:$S,9,0)</f>
        <v>Nabeel Rajab @NABEELRAJAB</v>
      </c>
      <c r="M100" s="2"/>
      <c r="N100" s="2"/>
      <c r="O100" s="3" t="s">
        <v>426</v>
      </c>
      <c r="P100" s="3" t="s">
        <v>27</v>
      </c>
      <c r="Q100" s="3" t="str">
        <f>VLOOKUP($A100,Hebrew!$A:$S,13,0)</f>
        <v>רצועת עזה</v>
      </c>
      <c r="R100" s="3" t="s">
        <v>396</v>
      </c>
      <c r="S100" s="3" t="s">
        <v>413</v>
      </c>
      <c r="T100" s="3" t="s">
        <v>734</v>
      </c>
      <c r="U100" s="3" t="s">
        <v>43</v>
      </c>
      <c r="V100" s="3" t="s">
        <v>27</v>
      </c>
      <c r="W100" s="2"/>
      <c r="X100" s="2"/>
      <c r="Y100" s="2"/>
    </row>
    <row r="101" spans="1:25" x14ac:dyDescent="0.2">
      <c r="A101" s="3">
        <v>449</v>
      </c>
      <c r="B101" s="4" t="s">
        <v>735</v>
      </c>
      <c r="C101" s="3" t="s">
        <v>736</v>
      </c>
      <c r="D101" s="3" t="str">
        <f>VLOOKUP(A101,Hebrew!A:C,3,0)</f>
        <v>חיילי צה"ל דורכים על דגל פלסטין במהלך מפגש חברתי</v>
      </c>
      <c r="E101" s="3" t="s">
        <v>737</v>
      </c>
      <c r="F101" s="3" t="str">
        <f>VLOOKUP($A101,Hebrew!$A:$S,4,0)</f>
        <v>חיילי צה"ל ארגנו מפגש חברתי שכלל על האש ונרגילות ליד גבול עזה, שבו הוזמנו המשתתפים לדרוך על הדגל הפלסטיני.</v>
      </c>
      <c r="G101" s="3" t="s">
        <v>738</v>
      </c>
      <c r="H101" s="2"/>
      <c r="I101" s="2"/>
      <c r="J101" s="3" t="s">
        <v>393</v>
      </c>
      <c r="K101" s="3" t="s">
        <v>739</v>
      </c>
      <c r="L101" s="3" t="str">
        <f>VLOOKUP($A101,Hebrew!$A:$S,9,0)</f>
        <v>Nour Naim (@NourNaim88)</v>
      </c>
      <c r="M101" s="2"/>
      <c r="N101" s="2"/>
      <c r="O101" s="3" t="s">
        <v>426</v>
      </c>
      <c r="P101" s="3" t="s">
        <v>740</v>
      </c>
      <c r="Q101" s="3" t="str">
        <f>VLOOKUP($A101,Hebrew!$A:$S,13,0)</f>
        <v>גבול ישראל - עזה</v>
      </c>
      <c r="R101" s="3" t="s">
        <v>396</v>
      </c>
      <c r="S101" s="3" t="s">
        <v>413</v>
      </c>
      <c r="T101" s="3" t="s">
        <v>741</v>
      </c>
      <c r="U101" s="3" t="s">
        <v>43</v>
      </c>
      <c r="V101" s="3" t="s">
        <v>186</v>
      </c>
      <c r="W101" s="2"/>
      <c r="X101" s="2"/>
      <c r="Y101" s="2"/>
    </row>
    <row r="102" spans="1:25" x14ac:dyDescent="0.2">
      <c r="A102" s="3">
        <v>450</v>
      </c>
      <c r="B102" s="4" t="s">
        <v>742</v>
      </c>
      <c r="C102" s="3" t="s">
        <v>743</v>
      </c>
      <c r="D102" s="3" t="str">
        <f>VLOOKUP(A102,Hebrew!A:C,3,0)</f>
        <v>חייל מתגאה בהפצצת אוניברסיטה בעזה.</v>
      </c>
      <c r="E102" s="3" t="s">
        <v>744</v>
      </c>
      <c r="F102" s="3" t="str">
        <f>VLOOKUP($A102,Hebrew!$A:$S,4,0)</f>
        <v>חייל צה"ל צילם את עצמו מול אוניברסיטת אל-אזהר ההרוסה, ואמר: "לכל מי ששואל למה אין חינוך בעזה, הפצצנו אותם... לכן אתם לא תהפכו למהנדסים יותר."</v>
      </c>
      <c r="G102" s="3" t="s">
        <v>745</v>
      </c>
      <c r="H102" s="2"/>
      <c r="I102" s="2"/>
      <c r="J102" s="3" t="s">
        <v>393</v>
      </c>
      <c r="K102" s="3" t="s">
        <v>739</v>
      </c>
      <c r="L102" s="3" t="str">
        <f>VLOOKUP($A102,Hebrew!$A:$S,9,0)</f>
        <v>Nour Naim (@NourNaim88)</v>
      </c>
      <c r="M102" s="2"/>
      <c r="N102" s="2"/>
      <c r="O102" s="3" t="s">
        <v>426</v>
      </c>
      <c r="P102" s="3" t="s">
        <v>746</v>
      </c>
      <c r="Q102" s="3" t="str">
        <f>VLOOKUP($A102,Hebrew!$A:$S,13,0)</f>
        <v>אוניברסיטת אל-אזהר</v>
      </c>
      <c r="R102" s="3" t="s">
        <v>396</v>
      </c>
      <c r="S102" s="3" t="s">
        <v>413</v>
      </c>
      <c r="T102" s="3" t="s">
        <v>747</v>
      </c>
      <c r="U102" s="3" t="s">
        <v>43</v>
      </c>
      <c r="V102" s="3" t="s">
        <v>71</v>
      </c>
      <c r="W102" s="2"/>
      <c r="X102" s="2"/>
      <c r="Y102" s="2"/>
    </row>
    <row r="103" spans="1:25" x14ac:dyDescent="0.2">
      <c r="A103" s="3">
        <v>453</v>
      </c>
      <c r="B103" s="4" t="s">
        <v>748</v>
      </c>
      <c r="C103" s="3" t="s">
        <v>749</v>
      </c>
      <c r="D103" s="3" t="str">
        <f>VLOOKUP(A103,Hebrew!A:C,3,0)</f>
        <v>צה"ל הורס בתים בעזה</v>
      </c>
      <c r="E103" s="3" t="s">
        <v>750</v>
      </c>
      <c r="F103" s="3" t="str">
        <f>VLOOKUP($A103,Hebrew!$A:$S,4,0)</f>
        <v>שני סרטונים מראים את הריסת בנייני מגורים בצפון עזה על ידי חיילי צה"ל, כאשר ברקע נשמעים חיילים מתבדחים ומתגאים במעשיהם.</v>
      </c>
      <c r="G103" s="3" t="s">
        <v>751</v>
      </c>
      <c r="H103" s="2"/>
      <c r="I103" s="2"/>
      <c r="J103" s="3" t="s">
        <v>393</v>
      </c>
      <c r="K103" s="3" t="s">
        <v>739</v>
      </c>
      <c r="L103" s="3" t="str">
        <f>VLOOKUP($A103,Hebrew!$A:$S,9,0)</f>
        <v>Nour Naim (@NourNaim88)</v>
      </c>
      <c r="M103" s="2"/>
      <c r="N103" s="2"/>
      <c r="O103" s="3" t="s">
        <v>426</v>
      </c>
      <c r="P103" s="3" t="s">
        <v>212</v>
      </c>
      <c r="Q103" s="3" t="str">
        <f>VLOOKUP($A103,Hebrew!$A:$S,13,0)</f>
        <v>צפון רצועת עזה</v>
      </c>
      <c r="R103" s="3" t="s">
        <v>396</v>
      </c>
      <c r="S103" s="3" t="s">
        <v>413</v>
      </c>
      <c r="T103" s="3" t="s">
        <v>752</v>
      </c>
      <c r="U103" s="3" t="s">
        <v>43</v>
      </c>
      <c r="V103" s="3" t="s">
        <v>212</v>
      </c>
      <c r="W103" s="2"/>
      <c r="X103" s="2"/>
      <c r="Y103" s="2"/>
    </row>
    <row r="104" spans="1:25" x14ac:dyDescent="0.2">
      <c r="A104" s="3">
        <v>457</v>
      </c>
      <c r="B104" s="4" t="s">
        <v>753</v>
      </c>
      <c r="C104" s="3" t="s">
        <v>754</v>
      </c>
      <c r="D104" s="3" t="str">
        <f>VLOOKUP(A104,Hebrew!A:C,3,0)</f>
        <v>חייל צה"ל שבר תמונה של מסגד אל-אקצא.</v>
      </c>
      <c r="E104" s="3" t="s">
        <v>755</v>
      </c>
      <c r="F104" s="3" t="str">
        <f>VLOOKUP($A104,Hebrew!$A:$S,4,0)</f>
        <v>חייל צה"ל צולם משמיד בגאווה תמונה של מסגד אל-אקצא בתוך בית בעזה. החייל נהרג לאחר מכן.</v>
      </c>
      <c r="G104" s="3" t="s">
        <v>745</v>
      </c>
      <c r="H104" s="2"/>
      <c r="I104" s="2"/>
      <c r="J104" s="3" t="s">
        <v>393</v>
      </c>
      <c r="K104" s="3" t="s">
        <v>756</v>
      </c>
      <c r="L104" s="3" t="str">
        <f>VLOOKUP($A104,Hebrew!$A:$S,9,0)</f>
        <v>Quds News Network (@QudsNen)</v>
      </c>
      <c r="M104" s="2"/>
      <c r="N104" s="2"/>
      <c r="O104" s="3" t="s">
        <v>26</v>
      </c>
      <c r="P104" s="3" t="s">
        <v>27</v>
      </c>
      <c r="Q104" s="3" t="str">
        <f>VLOOKUP($A104,Hebrew!$A:$S,13,0)</f>
        <v>רצועת עזה</v>
      </c>
      <c r="R104" s="3" t="s">
        <v>396</v>
      </c>
      <c r="S104" s="3" t="s">
        <v>413</v>
      </c>
      <c r="T104" s="3" t="s">
        <v>757</v>
      </c>
      <c r="U104" s="3" t="s">
        <v>43</v>
      </c>
      <c r="V104" s="3" t="s">
        <v>27</v>
      </c>
      <c r="W104" s="2"/>
      <c r="X104" s="2"/>
      <c r="Y104" s="2"/>
    </row>
    <row r="105" spans="1:25" x14ac:dyDescent="0.2">
      <c r="A105" s="3">
        <v>404</v>
      </c>
      <c r="B105" s="4" t="s">
        <v>758</v>
      </c>
      <c r="C105" s="3" t="s">
        <v>759</v>
      </c>
      <c r="D105" s="3" t="str">
        <f>VLOOKUP(A105,Hebrew!A:C,3,0)</f>
        <v>חבר הכנסת עופר כסיף מביע שמחה על שחרור החטופים הישראלים ב-8 ביוני 2024 במהלך מבצע צבאי, אך מגנה את "המחיר האנושי המחריד" של המבצע.</v>
      </c>
      <c r="E105" s="3" t="s">
        <v>760</v>
      </c>
      <c r="F105" s="3" t="str">
        <f>VLOOKUP($A105,Hebrew!$A:$S,4,0)</f>
        <v>וידאו של גבר פלסטיני מנסה לקחת את גופתו של קורבן ההתקפה הישראלית על מחנה הפליטים נוסייראת כחלק מהמבצע הצבאי לשחרור מספר בני ערובה ישראלים. הגבר נדחה ומכוונים אותו להוביל את המת למבנה שבו רוחצים את המתים ומכסים אותם. ח"כ עופר כסיף מגנה את סירוב ממשלת ישראל להגיע להסכם וקורא להסכם מיידי לגבי החטופים, לסיום המלחמה ולנסיגה ישראלית מעזה.</v>
      </c>
      <c r="G105" s="3" t="s">
        <v>588</v>
      </c>
      <c r="H105" s="3" t="s">
        <v>761</v>
      </c>
      <c r="I105" s="3" t="s">
        <v>761</v>
      </c>
      <c r="J105" s="3" t="s">
        <v>393</v>
      </c>
      <c r="K105" s="3" t="s">
        <v>532</v>
      </c>
      <c r="L105" s="3" t="str">
        <f>VLOOKUP($A105,Hebrew!$A:$S,9,0)</f>
        <v>עופר כסיף (@ofercass)</v>
      </c>
      <c r="M105" s="2"/>
      <c r="N105" s="2"/>
      <c r="O105" s="3" t="s">
        <v>602</v>
      </c>
      <c r="P105" s="3" t="s">
        <v>762</v>
      </c>
      <c r="Q105" s="3" t="str">
        <f>VLOOKUP($A105,Hebrew!$A:$S,13,0)</f>
        <v>בית החולים אל-אקצא</v>
      </c>
      <c r="R105" s="3" t="s">
        <v>396</v>
      </c>
      <c r="S105" s="3" t="s">
        <v>405</v>
      </c>
      <c r="T105" s="3" t="s">
        <v>763</v>
      </c>
      <c r="U105" s="3" t="s">
        <v>420</v>
      </c>
      <c r="V105" s="3" t="s">
        <v>764</v>
      </c>
      <c r="W105" s="3" t="s">
        <v>765</v>
      </c>
      <c r="X105" s="2"/>
      <c r="Y105" s="2"/>
    </row>
    <row r="106" spans="1:25" x14ac:dyDescent="0.2">
      <c r="A106" s="3">
        <v>432</v>
      </c>
      <c r="B106" s="4" t="s">
        <v>766</v>
      </c>
      <c r="C106" s="3" t="s">
        <v>767</v>
      </c>
      <c r="D106" s="3" t="str">
        <f>VLOOKUP(A106,Hebrew!A:C,3,0)</f>
        <v>מאי גולן חוגגת את חורבן עזה, מעדיפה נקמה על פני שלום, דוחה את רעיון המדינה הפלסטינית.</v>
      </c>
      <c r="E106" s="3" t="s">
        <v>768</v>
      </c>
      <c r="F106" s="3" t="str">
        <f>VLOOKUP($A106,Hebrew!$A:$S,4,0)</f>
        <v>שרת השוויון החברתי וקידום הנשים, מאי גולן (ליכוד), במהלך דיון בכנסת על ביטול חברותו של ח"כ עופר כסיף (חד"ש): "אנחנו לא מתביישים לומר שאנחנו רוצים לראות את חיילי צה"ל הגיבורים והקדושים שלנו גוררים את סינוואר ושותפיו אל המרתפים של השב"כ – אבל השב"כ של בן גביר, לא של בר-לב או מיכאלי. אני אישית גאה בהריסות עזה. וכל תינוק, אפילו 80 שנה מעכשיו, יספר לנכדיו מה היהודים עשו לאלה שרצחו את משפחותיהם, אנסו אותם, וחטפו את אזרחיהם... יש לנו משימה, והדבר האחרון שנאפשר הוא שעופר כסיף יעלה להר הבית עם דגל פלסטין ושסינוואר יהפוך לשר הביטחון של מדינה פלסטינית... לא יונה, ולא ענף זית. רק חרב – לערוף את ראשו של סינוואר. זה מה שהוא יקבל מאיתנו."</v>
      </c>
      <c r="G106" s="3" t="s">
        <v>552</v>
      </c>
      <c r="H106" s="3" t="s">
        <v>552</v>
      </c>
      <c r="I106" s="3" t="s">
        <v>552</v>
      </c>
      <c r="J106" s="3" t="s">
        <v>769</v>
      </c>
      <c r="K106" s="3" t="s">
        <v>770</v>
      </c>
      <c r="L106" s="3" t="str">
        <f>VLOOKUP($A106,Hebrew!$A:$S,9,0)</f>
        <v>מאי גולן (@GolanMay)</v>
      </c>
      <c r="M106" s="2"/>
      <c r="N106" s="2"/>
      <c r="O106" s="3" t="s">
        <v>39</v>
      </c>
      <c r="P106" s="3" t="s">
        <v>771</v>
      </c>
      <c r="Q106" s="3" t="str">
        <f>VLOOKUP($A106,Hebrew!$A:$S,13,0)</f>
        <v>הכנסת, מערב ירושלים</v>
      </c>
      <c r="R106" s="3" t="s">
        <v>396</v>
      </c>
      <c r="S106" s="3" t="s">
        <v>413</v>
      </c>
      <c r="T106" s="3" t="s">
        <v>772</v>
      </c>
      <c r="U106" s="3" t="s">
        <v>253</v>
      </c>
      <c r="V106" s="3" t="s">
        <v>773</v>
      </c>
      <c r="W106" s="3" t="s">
        <v>774</v>
      </c>
      <c r="X106" s="2"/>
      <c r="Y106" s="2"/>
    </row>
    <row r="107" spans="1:25" x14ac:dyDescent="0.2">
      <c r="A107" s="3">
        <v>433</v>
      </c>
      <c r="B107" s="4" t="s">
        <v>775</v>
      </c>
      <c r="C107" s="3" t="s">
        <v>776</v>
      </c>
      <c r="D107" s="3" t="str">
        <f>VLOOKUP(A107,Hebrew!A:C,3,0)</f>
        <v>גבר מעזה מחפש את אשתו וילדיו לאחר שנעצרו על ידי צה"ל</v>
      </c>
      <c r="E107" s="3" t="s">
        <v>777</v>
      </c>
      <c r="F107" s="3" t="str">
        <f>VLOOKUP($A107,Hebrew!$A:$S,4,0)</f>
        <v>גבר מחפש את אשתו ושני ילדיו הקטנים (בגילאי 4 שנים ו-6 חודשים), לאחר שכל המשפחה נלקחה על ידי צה"ל מביתם בשכונת זיתון בעזה. אשתו הועלתה בכח על אותה משאית שהוא היה עליה, לאחר שהפשיטו אותה והסירו את החיג'אב שלה, בעוד שבניהם, זיאן ומוחמד, נקרעו מידיה. הגבר שוחרר לאחר 25 ימים, ומאז הוא מחפש אותם.</v>
      </c>
      <c r="G107" s="3" t="s">
        <v>778</v>
      </c>
      <c r="H107" s="2"/>
      <c r="I107" s="2"/>
      <c r="J107" s="3" t="s">
        <v>393</v>
      </c>
      <c r="K107" s="3" t="s">
        <v>779</v>
      </c>
      <c r="L107" s="3" t="str">
        <f>VLOOKUP($A107,Hebrew!$A:$S,9,0)</f>
        <v>Hanine Hassan (@Hanine09)</v>
      </c>
      <c r="M107" s="2"/>
      <c r="N107" s="2"/>
      <c r="O107" s="3" t="s">
        <v>412</v>
      </c>
      <c r="P107" s="3" t="s">
        <v>780</v>
      </c>
      <c r="Q107" s="3" t="str">
        <f>VLOOKUP($A107,Hebrew!$A:$S,13,0)</f>
        <v>זייתון</v>
      </c>
      <c r="R107" s="3" t="s">
        <v>396</v>
      </c>
      <c r="S107" s="3" t="s">
        <v>413</v>
      </c>
      <c r="T107" s="3" t="s">
        <v>781</v>
      </c>
      <c r="U107" s="3" t="s">
        <v>782</v>
      </c>
      <c r="V107" s="3" t="s">
        <v>783</v>
      </c>
      <c r="W107" s="2"/>
      <c r="X107" s="2"/>
      <c r="Y107" s="2"/>
    </row>
    <row r="108" spans="1:25" x14ac:dyDescent="0.2">
      <c r="A108" s="3">
        <v>434</v>
      </c>
      <c r="B108" s="4" t="s">
        <v>784</v>
      </c>
      <c r="C108" s="3" t="s">
        <v>785</v>
      </c>
      <c r="D108" s="3" t="str">
        <f>VLOOKUP(A108,Hebrew!A:C,3,0)</f>
        <v>עדות של פלסטיני בן 14 שנעצר, הוכה ועונה על ידי צה"ל</v>
      </c>
      <c r="E108" s="3" t="s">
        <v>786</v>
      </c>
      <c r="F108" s="3" t="str">
        <f>VLOOKUP($A108,Hebrew!$A:$S,4,0)</f>
        <v>חאלד מוחמד נזמי ג'נייד, נער בן 14 מג'באליה, נלקח מביתו על ידי חיילי צה"ל ב-1 בינואר 2024. הוא נעצר יחד עם שני אחיו שלו בחצות ונשאר ללא בגדים עד שהועברו בשעה 4 בבוקר לכלא בבאר שבע. בלילה הראשון שלו בכלא, חייל קרא לו לחקירה בחדר קטן עם רצפה מכוסה בחצץ חד "כמו מסמרים." הוא נשמר שם במשך ארבעה ימים, במהלכם החייל הכה אותו ושפך עליו מים קרים. הוא הושאר ללא בגדים או מזרן, מה שגרם לו לשכב על החצץ החשוף. לאחר ארבעה ימים, הוא נקרא לחקירה נוספת. כאשר לא הצליח לספק מידע הקשור לחמאס או לאירועי ה- 7 באוקטובר, הם היכו אותו עד שאיבד את הכרתו. הוא התעורר שבוע לאחר מכן ונאמר לו שהוא בכלא "נגב."</v>
      </c>
      <c r="G108" s="3" t="s">
        <v>787</v>
      </c>
      <c r="H108" s="3" t="s">
        <v>788</v>
      </c>
      <c r="I108" s="3" t="s">
        <v>789</v>
      </c>
      <c r="J108" s="3" t="s">
        <v>393</v>
      </c>
      <c r="K108" s="3" t="s">
        <v>790</v>
      </c>
      <c r="L108" s="3" t="str">
        <f>VLOOKUP($A108,Hebrew!$A:$S,9,0)</f>
        <v>Khalissee (@Kahlissee)</v>
      </c>
      <c r="M108" s="2"/>
      <c r="N108" s="2"/>
      <c r="O108" s="3" t="s">
        <v>412</v>
      </c>
      <c r="P108" s="3" t="s">
        <v>461</v>
      </c>
      <c r="Q108" s="3" t="str">
        <f>VLOOKUP($A108,Hebrew!$A:$S,13,0)</f>
        <v>ג'באליה</v>
      </c>
      <c r="R108" s="3" t="s">
        <v>396</v>
      </c>
      <c r="S108" s="3" t="s">
        <v>413</v>
      </c>
      <c r="T108" s="3" t="s">
        <v>791</v>
      </c>
      <c r="U108" s="3" t="s">
        <v>792</v>
      </c>
      <c r="V108" s="3" t="s">
        <v>793</v>
      </c>
      <c r="W108" s="2"/>
      <c r="X108" s="2"/>
      <c r="Y108" s="2"/>
    </row>
    <row r="109" spans="1:25" x14ac:dyDescent="0.2">
      <c r="A109" s="3">
        <v>435</v>
      </c>
      <c r="B109" s="4" t="s">
        <v>794</v>
      </c>
      <c r="C109" s="3" t="s">
        <v>795</v>
      </c>
      <c r="D109" s="3" t="str">
        <f>VLOOKUP(A109,Hebrew!A:C,3,0)</f>
        <v>חיילים יורים ללא אבחנה בעת הקראת מגילת אסתר בפורים.</v>
      </c>
      <c r="E109" s="3" t="s">
        <v>796</v>
      </c>
      <c r="F109" s="3" t="str">
        <f>VLOOKUP($A109,Hebrew!$A:$S,4,0)</f>
        <v>חיילי צה"ל ירו פגזי מרגמה באקראי ובלעג, בזמן שקראו את מגילת אסתר במהלך פורים.</v>
      </c>
      <c r="G109" s="3" t="s">
        <v>797</v>
      </c>
      <c r="H109" s="2"/>
      <c r="I109" s="2"/>
      <c r="J109" s="3" t="s">
        <v>393</v>
      </c>
      <c r="K109" s="3" t="s">
        <v>411</v>
      </c>
      <c r="L109" s="3" t="str">
        <f>VLOOKUP($A109,Hebrew!$A:$S,9,0)</f>
        <v>Khaled Yousry (@KhaledYousry22)</v>
      </c>
      <c r="M109" s="2"/>
      <c r="N109" s="2"/>
      <c r="O109" s="3" t="s">
        <v>426</v>
      </c>
      <c r="P109" s="3" t="s">
        <v>27</v>
      </c>
      <c r="Q109" s="3" t="str">
        <f>VLOOKUP($A109,Hebrew!$A:$S,13,0)</f>
        <v>רצועת עזה</v>
      </c>
      <c r="R109" s="3" t="s">
        <v>396</v>
      </c>
      <c r="S109" s="3" t="s">
        <v>413</v>
      </c>
      <c r="T109" s="3" t="s">
        <v>798</v>
      </c>
      <c r="U109" s="3" t="s">
        <v>43</v>
      </c>
      <c r="V109" s="3" t="s">
        <v>27</v>
      </c>
      <c r="W109" s="2"/>
      <c r="X109" s="2"/>
      <c r="Y109" s="2"/>
    </row>
    <row r="110" spans="1:25" x14ac:dyDescent="0.2">
      <c r="A110" s="3">
        <v>436</v>
      </c>
      <c r="B110" s="4" t="s">
        <v>799</v>
      </c>
      <c r="C110" s="3" t="s">
        <v>800</v>
      </c>
      <c r="D110" s="3" t="str">
        <f>VLOOKUP(A110,Hebrew!A:C,3,0)</f>
        <v>אסיר פלסטיני בן 23 מת במעצר ישראלי.</v>
      </c>
      <c r="E110" s="3" t="s">
        <v>801</v>
      </c>
      <c r="F110" s="3" t="str">
        <f>VLOOKUP($A110,Hebrew!$A:$S,4,0)</f>
        <v>שירות בתי הסוהר הישראלי (שב"ס) הודיע על מותו של אסיר פלסטיני, עבדול רחמן באסם אל-בהש (בן 23), מנאבולוס, בכלא מגידו. אל-בהש נעצר ב-31 במאי 2022, ונידון ל-35 חודשי מאסר. ארגוני אסירים פלסטינים וקבוצות סנגור מאשימים את שב"ס באחריות למותו, וטוענים להוצאה להורג. אל-בהש הוא האסיר הפלסטיני השביעי שמת בכלא ישראלי מאז אוקטובר 2023.</v>
      </c>
      <c r="G110" s="3" t="s">
        <v>788</v>
      </c>
      <c r="H110" s="5">
        <v>44682</v>
      </c>
      <c r="I110" s="3" t="s">
        <v>788</v>
      </c>
      <c r="J110" s="3" t="s">
        <v>393</v>
      </c>
      <c r="K110" s="3" t="s">
        <v>802</v>
      </c>
      <c r="L110" s="3" t="str">
        <f>VLOOKUP($A110,Hebrew!$A:$S,9,0)</f>
        <v>Asslan Khalil (@KhalilAsslan)</v>
      </c>
      <c r="M110" s="2"/>
      <c r="N110" s="2"/>
      <c r="O110" s="3" t="s">
        <v>39</v>
      </c>
      <c r="P110" s="3" t="s">
        <v>803</v>
      </c>
      <c r="Q110" s="3" t="str">
        <f>VLOOKUP($A110,Hebrew!$A:$S,13,0)</f>
        <v>כלא מגידו</v>
      </c>
      <c r="R110" s="3" t="s">
        <v>396</v>
      </c>
      <c r="S110" s="3" t="s">
        <v>397</v>
      </c>
      <c r="T110" s="3" t="s">
        <v>804</v>
      </c>
      <c r="U110" s="3" t="s">
        <v>805</v>
      </c>
      <c r="V110" s="3" t="s">
        <v>806</v>
      </c>
      <c r="W110" s="2"/>
      <c r="X110" s="2"/>
      <c r="Y110" s="2"/>
    </row>
    <row r="111" spans="1:25" x14ac:dyDescent="0.2">
      <c r="A111" s="3">
        <v>437</v>
      </c>
      <c r="B111" s="4" t="s">
        <v>807</v>
      </c>
      <c r="C111" s="3" t="s">
        <v>808</v>
      </c>
      <c r="D111" s="3" t="str">
        <f>VLOOKUP(A111,Hebrew!A:C,3,0)</f>
        <v>חיילי מילואים יורים מרגמות על שני רכבי שטח ממוגנים באקראי ובצחוק.</v>
      </c>
      <c r="E111" s="3" t="s">
        <v>809</v>
      </c>
      <c r="F111" s="3" t="str">
        <f>VLOOKUP($A111,Hebrew!$A:$S,4,0)</f>
        <v>חיילי מילואים של צה"ל יורים מרגמה משני נגמ"שים באקראי ובצחוק, תוך כדי שהם צועקים: "ירי בעמדה!" אחד מהם לבוש כמו חסיד.</v>
      </c>
      <c r="G111" s="3" t="s">
        <v>810</v>
      </c>
      <c r="H111" s="2"/>
      <c r="I111" s="2"/>
      <c r="J111" s="3" t="s">
        <v>393</v>
      </c>
      <c r="K111" s="3" t="s">
        <v>570</v>
      </c>
      <c r="L111" s="3" t="str">
        <f>VLOOKUP($A111,Hebrew!$A:$S,9,0)</f>
        <v>Dr Lens Veritatis (@LensVeritatis)</v>
      </c>
      <c r="M111" s="2"/>
      <c r="N111" s="2"/>
      <c r="O111" s="3" t="s">
        <v>426</v>
      </c>
      <c r="P111" s="3" t="s">
        <v>811</v>
      </c>
      <c r="Q111" s="3" t="str">
        <f>VLOOKUP($A111,Hebrew!$A:$S,13,0)</f>
        <v>רצועת עזה</v>
      </c>
      <c r="R111" s="3" t="s">
        <v>396</v>
      </c>
      <c r="S111" s="3" t="s">
        <v>413</v>
      </c>
      <c r="T111" s="3" t="s">
        <v>812</v>
      </c>
      <c r="U111" s="3" t="s">
        <v>43</v>
      </c>
      <c r="V111" s="3" t="s">
        <v>27</v>
      </c>
      <c r="W111" s="2"/>
      <c r="X111" s="2"/>
      <c r="Y111" s="2"/>
    </row>
    <row r="112" spans="1:25" x14ac:dyDescent="0.2">
      <c r="A112" s="3">
        <v>439</v>
      </c>
      <c r="B112" s="4" t="s">
        <v>813</v>
      </c>
      <c r="C112" s="3" t="s">
        <v>814</v>
      </c>
      <c r="D112" s="3" t="str">
        <f>VLOOKUP(A112,Hebrew!A:C,3,0)</f>
        <v>פעילים ימניים חוגגים בזמן שהם חוסמים סיוע לעזה.</v>
      </c>
      <c r="E112" s="3" t="s">
        <v>815</v>
      </c>
      <c r="F112" s="3" t="str">
        <f>VLOOKUP($A112,Hebrew!$A:$S,4,0)</f>
        <v>פעילים ימניים ישראלים רוקדים למוזיקה אלקטרונית רועשת, מניפים דגלים ישראליים, באירוע חגיגי שמטרתו לחסום סיוע הומניטרי מלהיכנס לעזה.</v>
      </c>
      <c r="G112" s="3" t="s">
        <v>816</v>
      </c>
      <c r="H112" s="2"/>
      <c r="I112" s="2"/>
      <c r="J112" s="3" t="s">
        <v>393</v>
      </c>
      <c r="K112" s="3" t="s">
        <v>817</v>
      </c>
      <c r="L112" s="3" t="str">
        <f>VLOOKUP($A112,Hebrew!$A:$S,9,0)</f>
        <v>Lowkey (@Lowkey0nline)</v>
      </c>
      <c r="M112" s="2"/>
      <c r="N112" s="4" t="s">
        <v>818</v>
      </c>
      <c r="O112" s="3" t="s">
        <v>26</v>
      </c>
      <c r="P112" s="3" t="s">
        <v>186</v>
      </c>
      <c r="Q112" s="3" t="str">
        <f>VLOOKUP($A112,Hebrew!$A:$S,13,0)</f>
        <v>עוטף עזה</v>
      </c>
      <c r="R112" s="3" t="s">
        <v>396</v>
      </c>
      <c r="S112" s="3" t="s">
        <v>29</v>
      </c>
      <c r="T112" s="3" t="s">
        <v>30</v>
      </c>
      <c r="U112" s="2"/>
      <c r="V112" s="3" t="s">
        <v>186</v>
      </c>
      <c r="W112" s="2"/>
      <c r="X112" s="2"/>
      <c r="Y112" s="2"/>
    </row>
    <row r="113" spans="1:25" x14ac:dyDescent="0.2">
      <c r="A113" s="3">
        <v>441</v>
      </c>
      <c r="B113" s="4" t="s">
        <v>819</v>
      </c>
      <c r="C113" s="3" t="s">
        <v>820</v>
      </c>
      <c r="D113" s="3" t="str">
        <f>VLOOKUP(A113,Hebrew!A:C,3,0)</f>
        <v>אישה שנעצרה עברה חיפוש בעירום והתעללות פיזית על ידי חיילי צה"ל.</v>
      </c>
      <c r="E113" s="3" t="s">
        <v>821</v>
      </c>
      <c r="F113" s="3" t="str">
        <f>VLOOKUP($A113,Hebrew!$A:$S,4,0)</f>
        <v>אמנה חוסיין, אישה פלסטינית מעזה, נלקחה על ידי חיילי צה"ל מבית הספר אבו אל-הלוא במחנה הפליטים בורייג' יחד עם 9 נשים נוספות. היא הוחזקה במרכז מעצר במשך 11 ימים, ולאחר מכן בילתה 32 ימים נוספים בכלא ישראלי. בהקלטה קולית, היא מתארת כיצד נדרשה לעבור שוב ושוב חיפוש בעירום על ידי חיילות ישראליות, וכן מספר מקרים שבהם הוכתה על ידי חיילי צה"ל.</v>
      </c>
      <c r="G113" s="3" t="s">
        <v>822</v>
      </c>
      <c r="H113" s="3" t="s">
        <v>823</v>
      </c>
      <c r="I113" s="3" t="s">
        <v>824</v>
      </c>
      <c r="J113" s="3" t="s">
        <v>393</v>
      </c>
      <c r="K113" s="3" t="s">
        <v>825</v>
      </c>
      <c r="L113" s="3" t="str">
        <f>VLOOKUP($A113,Hebrew!$A:$S,9,0)</f>
        <v>Middle East Eye (@MiddleEastEye)</v>
      </c>
      <c r="M113" s="2"/>
      <c r="N113" s="2"/>
      <c r="O113" s="3" t="s">
        <v>412</v>
      </c>
      <c r="P113" s="3" t="s">
        <v>826</v>
      </c>
      <c r="Q113" s="3" t="str">
        <f>VLOOKUP($A113,Hebrew!$A:$S,13,0)</f>
        <v>אל-בורייג', כלא ישראלי</v>
      </c>
      <c r="R113" s="3" t="s">
        <v>396</v>
      </c>
      <c r="S113" s="3" t="s">
        <v>500</v>
      </c>
      <c r="T113" s="3" t="s">
        <v>827</v>
      </c>
      <c r="U113" s="3" t="s">
        <v>792</v>
      </c>
      <c r="V113" s="3" t="s">
        <v>828</v>
      </c>
      <c r="W113" s="2"/>
      <c r="X113" s="2"/>
      <c r="Y113" s="2"/>
    </row>
    <row r="114" spans="1:25" x14ac:dyDescent="0.2">
      <c r="A114" s="3">
        <v>442</v>
      </c>
      <c r="B114" s="4" t="s">
        <v>829</v>
      </c>
      <c r="C114" s="3" t="s">
        <v>830</v>
      </c>
      <c r="D114" s="3" t="str">
        <f>VLOOKUP(A114,Hebrew!A:C,3,0)</f>
        <v>עינויים פיזיים ופסיכולוגיים של נשים וגברים פלסטיניים במעצר.</v>
      </c>
      <c r="E114" s="3" t="s">
        <v>831</v>
      </c>
      <c r="F114" s="3" t="str">
        <f>VLOOKUP($A114,Hebrew!$A:$S,4,0)</f>
        <v>חדיל יוסף עיסא אל-דחדוח, אם צעירה לשני ילדים (תינוק בן 9 חודשים וילד בן 4), נלקחה מביתה בשכונת זיתון בעזה על ידי חיילי צה"ל, יחד עם בעלה רושדי זיאדה. היא מתארת מספר מעשי עינויים והשפלה שביצעו החיילים נגדה ונגד עצורים אחרים, כמו מניעת גישה לשירותים, הידוק מכוון של אזיקונים בהם נקשרו וכיסויי עיניים כדי לגרום לכאב, והכפפתם לצעקות אקראיות ולתקיפות פיזיות. חדיל ובעלה גם מספרים על שני מקרים נפרדים שבהם הם נאלצו להיכנס לבור גדול בעוד טנק של צה"ל מקיף מעליהם, זורק אדמה לתוך הבור, וחיילי צה"ל מאיימים לקבור אותם חיים ו" לתת לכלבים לאכול אותם."</v>
      </c>
      <c r="G114" s="3" t="s">
        <v>558</v>
      </c>
      <c r="H114" s="3" t="s">
        <v>832</v>
      </c>
      <c r="I114" s="3" t="s">
        <v>833</v>
      </c>
      <c r="J114" s="3" t="s">
        <v>393</v>
      </c>
      <c r="K114" s="3" t="s">
        <v>825</v>
      </c>
      <c r="L114" s="3" t="str">
        <f>VLOOKUP($A114,Hebrew!$A:$S,9,0)</f>
        <v>Middle East Eye (@MiddleEastEye)</v>
      </c>
      <c r="M114" s="2"/>
      <c r="N114" s="2"/>
      <c r="O114" s="3" t="s">
        <v>412</v>
      </c>
      <c r="P114" s="3" t="s">
        <v>834</v>
      </c>
      <c r="Q114" s="3" t="str">
        <f>VLOOKUP($A114,Hebrew!$A:$S,13,0)</f>
        <v>שכונת זיתון</v>
      </c>
      <c r="R114" s="3" t="s">
        <v>396</v>
      </c>
      <c r="S114" s="3" t="s">
        <v>413</v>
      </c>
      <c r="T114" s="3" t="s">
        <v>835</v>
      </c>
      <c r="U114" s="3" t="s">
        <v>792</v>
      </c>
      <c r="V114" s="3" t="s">
        <v>836</v>
      </c>
      <c r="W114" s="2"/>
      <c r="X114" s="2"/>
      <c r="Y114" s="2"/>
    </row>
    <row r="115" spans="1:25" x14ac:dyDescent="0.2">
      <c r="A115" s="3">
        <v>443</v>
      </c>
      <c r="B115" s="4" t="s">
        <v>837</v>
      </c>
      <c r="C115" s="3" t="s">
        <v>838</v>
      </c>
      <c r="D115" s="3" t="str">
        <f>VLOOKUP(A115,Hebrew!A:C,3,0)</f>
        <v>חייל מפרסם מספרה בין גופות פלסטיניות.</v>
      </c>
      <c r="E115" s="3" t="s">
        <v>839</v>
      </c>
      <c r="F115" s="3" t="str">
        <f>VLOOKUP($A115,Hebrew!$A:$S,4,0)</f>
        <v>וידאו המראה חייל צה"ל מחזיק שלט המפרסם מספרה ישראלית בעודו עומד בין גופות פלסטינים שנפלו.</v>
      </c>
      <c r="G115" s="3" t="s">
        <v>840</v>
      </c>
      <c r="H115" s="2"/>
      <c r="I115" s="2"/>
      <c r="J115" s="3" t="s">
        <v>393</v>
      </c>
      <c r="K115" s="3" t="s">
        <v>841</v>
      </c>
      <c r="L115" s="3" t="str">
        <f>VLOOKUP($A115,Hebrew!$A:$S,9,0)</f>
        <v>מסתכלים לכיבוש בעיניים (@Mistaclim)</v>
      </c>
      <c r="M115" s="2"/>
      <c r="N115" s="2"/>
      <c r="O115" s="3" t="s">
        <v>39</v>
      </c>
      <c r="P115" s="3" t="s">
        <v>27</v>
      </c>
      <c r="Q115" s="3" t="str">
        <f>VLOOKUP($A115,Hebrew!$A:$S,13,0)</f>
        <v>רצועת עזה</v>
      </c>
      <c r="R115" s="3" t="s">
        <v>396</v>
      </c>
      <c r="S115" s="3" t="s">
        <v>413</v>
      </c>
      <c r="T115" s="3" t="s">
        <v>842</v>
      </c>
      <c r="U115" s="3" t="s">
        <v>43</v>
      </c>
      <c r="V115" s="3" t="s">
        <v>27</v>
      </c>
      <c r="W115" s="2"/>
      <c r="X115" s="2"/>
      <c r="Y115" s="2"/>
    </row>
    <row r="116" spans="1:25" x14ac:dyDescent="0.2">
      <c r="A116" s="3">
        <v>1664</v>
      </c>
      <c r="B116" s="4" t="s">
        <v>843</v>
      </c>
      <c r="C116" s="3" t="s">
        <v>844</v>
      </c>
      <c r="D116" s="3" t="str">
        <f>VLOOKUP(A116,Hebrew!A:C,3,0)</f>
        <v>האו"ם דן בספקות לגבי מניין ההרוגים בעזה.</v>
      </c>
      <c r="E116" s="3" t="s">
        <v>845</v>
      </c>
      <c r="F116" s="3" t="str">
        <f>VLOOKUP($A116,Hebrew!$A:$S,4,0)</f>
        <v>דו"ח על תדרוך של האומות המאוחדות עם פרחן חאק, סגן דובר מזכיר האומות המאוחדות, בנוגע למניין ההרוגים בעזה. חאק הביע ביטחון בדיוקם של המספרים שמפרסם משרד הבריאות בעזה, וציין כי 24,686 מההרוגים המדווחים זוהו במלואם.</v>
      </c>
      <c r="G116" s="3" t="s">
        <v>846</v>
      </c>
      <c r="H116" s="3" t="s">
        <v>846</v>
      </c>
      <c r="I116" s="3" t="s">
        <v>846</v>
      </c>
      <c r="J116" s="3" t="s">
        <v>393</v>
      </c>
      <c r="K116" s="3" t="s">
        <v>438</v>
      </c>
      <c r="L116" s="3" t="str">
        <f>VLOOKUP($A116,Hebrew!$A:$S,9,0)</f>
        <v>Marc Owen Jones (@marcowenjones)</v>
      </c>
      <c r="M116" s="2"/>
      <c r="N116" s="2"/>
      <c r="O116" s="3" t="s">
        <v>26</v>
      </c>
      <c r="P116" s="3" t="s">
        <v>27</v>
      </c>
      <c r="Q116" s="3" t="str">
        <f>VLOOKUP($A116,Hebrew!$A:$S,13,0)</f>
        <v>רצועת עזה</v>
      </c>
      <c r="R116" s="3" t="s">
        <v>396</v>
      </c>
      <c r="S116" s="3" t="s">
        <v>405</v>
      </c>
      <c r="T116" s="3" t="s">
        <v>847</v>
      </c>
      <c r="U116" s="3" t="s">
        <v>848</v>
      </c>
      <c r="V116" s="3" t="s">
        <v>27</v>
      </c>
      <c r="W116" s="2"/>
      <c r="X116" s="2"/>
      <c r="Y116" s="2"/>
    </row>
    <row r="117" spans="1:25" x14ac:dyDescent="0.2">
      <c r="A117" s="3">
        <v>1665</v>
      </c>
      <c r="B117" s="4" t="s">
        <v>849</v>
      </c>
      <c r="C117" s="3" t="s">
        <v>850</v>
      </c>
      <c r="D117" s="3" t="str">
        <f>VLOOKUP(A117,Hebrew!A:C,3,0)</f>
        <v>פיזור אלים של הפגנה קטנה לזכר פייסל חוסייני, בהשתתפות ח"כ טיבי</v>
      </c>
      <c r="E117" s="3" t="s">
        <v>851</v>
      </c>
      <c r="F117" s="3" t="str">
        <f>VLOOKUP($A117,Hebrew!$A:$S,4,0)</f>
        <v>לזכרו של פייסל חוסייני נערכה התאספות שקטה של תשעה מבוגרים ליד בית המזרח בירושלים. זו פוזרה באלימות על ידי המשטרה. שוטרים קרעו תמונות, דחפו את המשתתפים - כולל ח"כ אחמד טיבי - ולפי טיבי, אחד השוטרים צעק קללה גסה לעברו ולעבר כל הערבים.</v>
      </c>
      <c r="G117" s="3" t="s">
        <v>77</v>
      </c>
      <c r="H117" s="3" t="s">
        <v>77</v>
      </c>
      <c r="I117" s="3" t="s">
        <v>77</v>
      </c>
      <c r="J117" s="3" t="s">
        <v>393</v>
      </c>
      <c r="K117" s="3" t="s">
        <v>852</v>
      </c>
      <c r="L117" s="3" t="str">
        <f>VLOOKUP($A117,Hebrew!$A:$S,9,0)</f>
        <v>ניר חסון (@nirhasson)</v>
      </c>
      <c r="M117" s="2"/>
      <c r="N117" s="2"/>
      <c r="O117" s="3" t="s">
        <v>39</v>
      </c>
      <c r="P117" s="3" t="s">
        <v>168</v>
      </c>
      <c r="Q117" s="3" t="str">
        <f>VLOOKUP($A117,Hebrew!$A:$S,13,0)</f>
        <v>ירושלים</v>
      </c>
      <c r="R117" s="3" t="s">
        <v>396</v>
      </c>
      <c r="S117" s="3" t="s">
        <v>405</v>
      </c>
      <c r="T117" s="3" t="s">
        <v>853</v>
      </c>
      <c r="U117" s="3" t="s">
        <v>268</v>
      </c>
      <c r="V117" s="3" t="s">
        <v>168</v>
      </c>
      <c r="W117" s="3" t="s">
        <v>854</v>
      </c>
      <c r="X117" s="2"/>
      <c r="Y117" s="2"/>
    </row>
    <row r="118" spans="1:25" x14ac:dyDescent="0.2">
      <c r="A118" s="3">
        <v>1667</v>
      </c>
      <c r="B118" s="6" t="s">
        <v>855</v>
      </c>
      <c r="C118" s="3" t="s">
        <v>856</v>
      </c>
      <c r="D118" s="3" t="str">
        <f>VLOOKUP(A118,Hebrew!A:C,3,0)</f>
        <v>סיקור העיתונים הישראלים על הודעת חמאס בנוגע למספר ההרוגים במבצע חילוץ חטופים</v>
      </c>
      <c r="E118" s="3" t="s">
        <v>857</v>
      </c>
      <c r="F118" s="3" t="str">
        <f>VLOOKUP($A118,Hebrew!$A:$S,4,0)</f>
        <v>עיתונים ישראליים הציגו מגוון רחב בכיסוי שלהם לגבי טענות חמאס כי יותר מ-200 פלסטינים נהרגו במהלך מבצע חילוץ חטופים. בעוד ש"הארץ" הציג את הסיפור על השער ו"ידיעות אחרונות" על העמוד האחורי, "ישראל היום" הזכיר את הטענות במסגרת הדיווח על המבצע, ו"מעריב" לא הזכיר את הטענות כלל.</v>
      </c>
      <c r="G118" s="3" t="s">
        <v>858</v>
      </c>
      <c r="H118" s="3" t="s">
        <v>588</v>
      </c>
      <c r="I118" s="3" t="s">
        <v>588</v>
      </c>
      <c r="J118" s="3" t="s">
        <v>393</v>
      </c>
      <c r="K118" s="3" t="s">
        <v>859</v>
      </c>
      <c r="L118" s="3" t="str">
        <f>VLOOKUP($A118,Hebrew!$A:$S,9,0)</f>
        <v>העין השביעית (@the7i)</v>
      </c>
      <c r="M118" s="2"/>
      <c r="N118" s="2"/>
      <c r="O118" s="3" t="s">
        <v>39</v>
      </c>
      <c r="P118" s="3" t="s">
        <v>860</v>
      </c>
      <c r="Q118" s="3" t="str">
        <f>VLOOKUP($A118,Hebrew!$A:$S,13,0)</f>
        <v>מחנה הפליטים נוסייראת</v>
      </c>
      <c r="R118" s="3" t="s">
        <v>396</v>
      </c>
      <c r="S118" s="3" t="s">
        <v>397</v>
      </c>
      <c r="T118" s="3" t="s">
        <v>861</v>
      </c>
      <c r="U118" s="3" t="s">
        <v>43</v>
      </c>
      <c r="V118" s="3" t="s">
        <v>862</v>
      </c>
      <c r="W118" s="2"/>
      <c r="X118" s="2"/>
      <c r="Y118" s="2"/>
    </row>
    <row r="119" spans="1:25" x14ac:dyDescent="0.2">
      <c r="A119" s="3">
        <v>2120</v>
      </c>
      <c r="B119" s="4" t="s">
        <v>863</v>
      </c>
      <c r="C119" s="3" t="s">
        <v>864</v>
      </c>
      <c r="D119" s="3" t="str">
        <f>VLOOKUP(A119,Hebrew!A:C,3,0)</f>
        <v>רופא עזתי בבית החולים קמאל אדואן מקבל ידיעה תוך כדי טיפול כי 17 מבני משפחתו נהרגו וביתו נהרס.</v>
      </c>
      <c r="E119" s="3" t="s">
        <v>865</v>
      </c>
      <c r="F119" s="3" t="str">
        <f>VLOOKUP($A119,Hebrew!$A:$S,4,0)</f>
        <v>חוסאם אבו סאפיה, רופא עזתי בבית החולים קמאל אדואן מקבל דיווח כי 17 מבני משפחתו נהרגו וביתו נהרס.</v>
      </c>
      <c r="G119" s="3" t="s">
        <v>866</v>
      </c>
      <c r="H119" s="3" t="s">
        <v>866</v>
      </c>
      <c r="I119" s="3" t="s">
        <v>866</v>
      </c>
      <c r="J119" s="3" t="s">
        <v>393</v>
      </c>
      <c r="K119" s="3" t="s">
        <v>867</v>
      </c>
      <c r="L119" s="3" t="str">
        <f>VLOOKUP($A119,Hebrew!$A:$S,9,0)</f>
        <v>Abu Baker Abed (@AbubakerAbedW)</v>
      </c>
      <c r="M119" s="2"/>
      <c r="N119" s="2"/>
      <c r="O119" s="3" t="s">
        <v>412</v>
      </c>
      <c r="P119" s="3" t="s">
        <v>51</v>
      </c>
      <c r="Q119" s="3" t="str">
        <f>VLOOKUP($A119,Hebrew!$A:$S,13,0)</f>
        <v>בית החולים כמאל עדואן</v>
      </c>
      <c r="R119" s="3" t="s">
        <v>396</v>
      </c>
      <c r="S119" s="3" t="s">
        <v>413</v>
      </c>
      <c r="T119" s="3" t="s">
        <v>868</v>
      </c>
      <c r="U119" s="3" t="s">
        <v>43</v>
      </c>
      <c r="V119" s="3" t="s">
        <v>869</v>
      </c>
      <c r="W119" s="3" t="s">
        <v>630</v>
      </c>
      <c r="X119" s="2"/>
      <c r="Y119" s="2"/>
    </row>
    <row r="120" spans="1:25" x14ac:dyDescent="0.2">
      <c r="A120" s="3">
        <v>2125</v>
      </c>
      <c r="B120" s="4" t="s">
        <v>870</v>
      </c>
      <c r="C120" s="3" t="s">
        <v>871</v>
      </c>
      <c r="D120" s="3" t="str">
        <f>VLOOKUP(A120,Hebrew!A:C,3,0)</f>
        <v>אחותה הפצועה של עיתונאית מעזה זקוקה לטיפול רפואי בחו"ל</v>
      </c>
      <c r="E120" s="3" t="s">
        <v>872</v>
      </c>
      <c r="F120" s="3" t="str">
        <f>VLOOKUP($A120,Hebrew!$A:$S,4,0)</f>
        <v>רנה דאלו, בת 35, נפצעה לאחר העברה כפויה לאזורי "בטיחות" כביכול. היא איבדה שני בנים בהפצצה של בית הספר אל נוסייראת (אוקטובר 2024). נפצעה קשה בכל גופה, כולל קטיעת זרוע. זקוקה לטיפול רפואי בחו"ל.</v>
      </c>
      <c r="G120" s="3" t="s">
        <v>873</v>
      </c>
      <c r="H120" s="3" t="s">
        <v>625</v>
      </c>
      <c r="I120" s="3" t="s">
        <v>625</v>
      </c>
      <c r="J120" s="3" t="s">
        <v>393</v>
      </c>
      <c r="K120" s="3" t="s">
        <v>874</v>
      </c>
      <c r="L120" s="3" t="str">
        <f>VLOOKUP($A120,Hebrew!$A:$S,9,0)</f>
        <v>Motasem A Dalloul (@AbujomaaGaza)</v>
      </c>
      <c r="M120" s="2"/>
      <c r="N120" s="2"/>
      <c r="O120" s="3" t="s">
        <v>26</v>
      </c>
      <c r="P120" s="3" t="s">
        <v>875</v>
      </c>
      <c r="Q120" s="3" t="str">
        <f>VLOOKUP($A120,Hebrew!$A:$S,13,0)</f>
        <v>בית הספר נוסייראת</v>
      </c>
      <c r="R120" s="3" t="s">
        <v>396</v>
      </c>
      <c r="S120" s="3" t="s">
        <v>397</v>
      </c>
      <c r="T120" s="3" t="s">
        <v>876</v>
      </c>
      <c r="U120" s="2"/>
      <c r="V120" s="3" t="s">
        <v>71</v>
      </c>
      <c r="W120" s="2"/>
      <c r="X120" s="2"/>
      <c r="Y120" s="2"/>
    </row>
    <row r="121" spans="1:25" x14ac:dyDescent="0.2">
      <c r="A121" s="3">
        <v>2129</v>
      </c>
      <c r="B121" s="4" t="s">
        <v>877</v>
      </c>
      <c r="C121" s="3" t="s">
        <v>878</v>
      </c>
      <c r="D121" s="3" t="str">
        <f>VLOOKUP(A121,Hebrew!A:C,3,0)</f>
        <v>כריזת צה"ל לפינוי רופאים, צפון עזה.</v>
      </c>
      <c r="E121" s="3" t="s">
        <v>879</v>
      </c>
      <c r="F121" s="3" t="str">
        <f>VLOOKUP($A121,Hebrew!$A:$S,4,0)</f>
        <v>קצין צה"ל כורז לרופאים ולתושבים בבית חולים בצפון עזה לפנות את המקום לפני שצה"ל יתפוצץ את בית החולים.</v>
      </c>
      <c r="G121" s="3" t="s">
        <v>22</v>
      </c>
      <c r="H121" s="3" t="s">
        <v>22</v>
      </c>
      <c r="I121" s="3" t="s">
        <v>22</v>
      </c>
      <c r="J121" s="3" t="s">
        <v>393</v>
      </c>
      <c r="K121" s="3" t="s">
        <v>880</v>
      </c>
      <c r="L121" s="3" t="str">
        <f>VLOOKUP($A121,Hebrew!$A:$S,9,0)</f>
        <v>אחמד טיבי (@Ahmad_tibi)</v>
      </c>
      <c r="M121" s="2"/>
      <c r="N121" s="2"/>
      <c r="O121" s="3" t="s">
        <v>493</v>
      </c>
      <c r="P121" s="3" t="s">
        <v>212</v>
      </c>
      <c r="Q121" s="3" t="str">
        <f>VLOOKUP($A121,Hebrew!$A:$S,13,0)</f>
        <v>צפון רצועת עזה</v>
      </c>
      <c r="R121" s="3" t="s">
        <v>396</v>
      </c>
      <c r="S121" s="3" t="s">
        <v>413</v>
      </c>
      <c r="T121" s="3" t="s">
        <v>881</v>
      </c>
      <c r="U121" s="3" t="s">
        <v>43</v>
      </c>
      <c r="V121" s="3" t="s">
        <v>212</v>
      </c>
      <c r="W121" s="3" t="s">
        <v>854</v>
      </c>
      <c r="X121" s="2"/>
      <c r="Y121" s="2"/>
    </row>
    <row r="122" spans="1:25" x14ac:dyDescent="0.2">
      <c r="A122" s="3">
        <v>1</v>
      </c>
      <c r="B122" s="4" t="s">
        <v>882</v>
      </c>
      <c r="C122" s="3" t="s">
        <v>883</v>
      </c>
      <c r="D122" s="3" t="str">
        <f>VLOOKUP(A122,Hebrew!A:C,3,0)</f>
        <v>ברק רביד דן בהוראות פתיחה באש בצה"ל</v>
      </c>
      <c r="E122" s="3" t="s">
        <v>884</v>
      </c>
      <c r="F122" s="3" t="str">
        <f>VLOOKUP($A122,Hebrew!$A:$S,4,0)</f>
        <v>בעקבות התקיפה של צה"ל על צוות המטבח המרכזי העולמי בעזה, העיתונאי ברק רביד אמר ל-CNN שיש פער הולך וגדל בין האופן שבו מפקדים בכירים מבינים את הוראות הפתיחה באש בין איך שהם מובנים על ידי חיילים בשטח. הוא כינה זאת סימן לשחיקה מקצועית והזכיר מקרה קודם שבו צה"ל טעה והרג שלושה בני ערובה ישראלים, וציין שהיחידה קיבלה פקודה "לירות בכל גבר בגיל קרב". הוא מציין שהתקיפה הזו אינה יוצאת דופן ורק משכה יותר תשומת לב משום שהיא הרגה עובדים בינלאומיים של WCK.</v>
      </c>
      <c r="G122" s="3" t="s">
        <v>885</v>
      </c>
      <c r="H122" s="2"/>
      <c r="I122" s="2"/>
      <c r="J122" s="3" t="s">
        <v>393</v>
      </c>
      <c r="K122" s="3" t="s">
        <v>886</v>
      </c>
      <c r="L122" s="3" t="str">
        <f>VLOOKUP($A122,Hebrew!$A:$S,9,0)</f>
        <v>Just Foreign Policy (@justfp)</v>
      </c>
      <c r="M122" s="3" t="s">
        <v>135</v>
      </c>
      <c r="N122" s="4" t="s">
        <v>887</v>
      </c>
      <c r="O122" s="3" t="s">
        <v>26</v>
      </c>
      <c r="P122" s="3" t="s">
        <v>27</v>
      </c>
      <c r="Q122" s="3" t="str">
        <f>VLOOKUP($A122,Hebrew!$A:$S,13,0)</f>
        <v>רצועת עזה</v>
      </c>
      <c r="R122" s="3" t="s">
        <v>396</v>
      </c>
      <c r="S122" s="3" t="s">
        <v>405</v>
      </c>
      <c r="T122" s="3" t="s">
        <v>888</v>
      </c>
      <c r="U122" s="3" t="s">
        <v>889</v>
      </c>
      <c r="V122" s="3" t="s">
        <v>27</v>
      </c>
      <c r="W122" s="2"/>
      <c r="X122" s="2"/>
      <c r="Y122" s="2"/>
    </row>
    <row r="123" spans="1:25" x14ac:dyDescent="0.2">
      <c r="A123" s="3">
        <v>1019</v>
      </c>
      <c r="B123" s="4" t="s">
        <v>890</v>
      </c>
      <c r="C123" s="3" t="s">
        <v>891</v>
      </c>
      <c r="D123" s="3" t="str">
        <f>VLOOKUP(A123,Hebrew!A:C,3,0)</f>
        <v>פרופסור למשפטים מנתח את תגובת ישראל לבית הדין הפלילי הבינלאומי</v>
      </c>
      <c r="E123" s="3" t="s">
        <v>892</v>
      </c>
      <c r="F123" s="3" t="str">
        <f>VLOOKUP($A123,Hebrew!$A:$S,4,0)</f>
        <v>תגובת ישראל לבית הדין הפלילי הבינלאומי כוללת שני טיעונים מרכזיים: ראשית, פלסטין אינה מדינה ולכן אינה יכולה להעניק סמכות לבית הדין (מה שימנע העמדה לדין של מנהיגים ישראלים וחמאס, כולל על התקפות 7 באוקטובר); שנית, כעמדת גיבוי, אפילו אם פלסטין יכולה להעניק סמכות, הסכמי אוסלו מונעים ממנה להעניק סמכות, באופן ספציפי ביחס לישראלים. זאת, בניגוד לעמדת פלסטין כי לבית הדין יש סמכות על כל הפשעים הבינלאומיים בשטחה ללא קשר לאזרחות העבריינים. בנוגע לעניינים פרוצדורליים, ישראל מאתגרת את סמכות בית המשפט לפי סעיף 19(2) של אמנת בית הדין הפלילי הבינלאומי, אם כי לא ברור על סמך איזו הוראה ספציפית הם מבססים את עמדתם.</v>
      </c>
      <c r="G123" s="3" t="s">
        <v>893</v>
      </c>
      <c r="H123" s="2"/>
      <c r="I123" s="2"/>
      <c r="J123" s="3" t="s">
        <v>393</v>
      </c>
      <c r="K123" s="3" t="s">
        <v>894</v>
      </c>
      <c r="L123" s="3" t="str">
        <f>VLOOKUP($A123,Hebrew!$A:$S,9,0)</f>
        <v>Adil Haque (@AdHaque110)</v>
      </c>
      <c r="M123" s="2"/>
      <c r="N123" s="4" t="s">
        <v>895</v>
      </c>
      <c r="O123" s="3" t="s">
        <v>26</v>
      </c>
      <c r="P123" s="2"/>
      <c r="Q123" s="3">
        <f>VLOOKUP($A123,Hebrew!$A:$S,13,0)</f>
        <v>0</v>
      </c>
      <c r="R123" s="3" t="s">
        <v>396</v>
      </c>
      <c r="S123" s="3" t="s">
        <v>29</v>
      </c>
      <c r="T123" s="3" t="s">
        <v>896</v>
      </c>
      <c r="U123" s="3" t="s">
        <v>897</v>
      </c>
      <c r="V123" s="2"/>
      <c r="W123" s="3" t="s">
        <v>898</v>
      </c>
      <c r="X123" s="2"/>
      <c r="Y123" s="2"/>
    </row>
    <row r="124" spans="1:25" x14ac:dyDescent="0.2">
      <c r="A124" s="3">
        <v>445</v>
      </c>
      <c r="B124" s="4" t="s">
        <v>899</v>
      </c>
      <c r="C124" s="3" t="s">
        <v>900</v>
      </c>
      <c r="D124" s="3" t="str">
        <f>VLOOKUP(A124,Hebrew!A:C,3,0)</f>
        <v>עצור פלסטיני הוכרז מת.</v>
      </c>
      <c r="E124" s="3" t="s">
        <v>901</v>
      </c>
      <c r="F124" s="3" t="str">
        <f>VLOOKUP($A124,Hebrew!$A:$S,4,0)</f>
        <v>עזאלדין אל-בנה, פלסטיני בן 40, בעל מוגבלות, נעצר על ידי צה"ל לאחר ה-7 באוקטובר והוכרז מת ב-24 בפברואר 2024.</v>
      </c>
      <c r="G124" s="3" t="s">
        <v>902</v>
      </c>
      <c r="H124" s="2"/>
      <c r="I124" s="2"/>
      <c r="J124" s="3" t="s">
        <v>393</v>
      </c>
      <c r="K124" s="3" t="s">
        <v>903</v>
      </c>
      <c r="L124" s="3" t="str">
        <f>VLOOKUP($A124,Hebrew!$A:$S,9,0)</f>
        <v>Mustafa Barghouti (@MustafaBarghou1)</v>
      </c>
      <c r="M124" s="2"/>
      <c r="N124" s="2"/>
      <c r="O124" s="3" t="s">
        <v>26</v>
      </c>
      <c r="P124" s="3" t="s">
        <v>60</v>
      </c>
      <c r="Q124" s="3" t="str">
        <f>VLOOKUP($A124,Hebrew!$A:$S,13,0)</f>
        <v>ישראל</v>
      </c>
      <c r="R124" s="3" t="s">
        <v>396</v>
      </c>
      <c r="S124" s="3" t="s">
        <v>397</v>
      </c>
      <c r="T124" s="3" t="s">
        <v>904</v>
      </c>
      <c r="U124" s="3" t="s">
        <v>792</v>
      </c>
      <c r="V124" s="3" t="s">
        <v>673</v>
      </c>
      <c r="W124" s="2"/>
      <c r="X124" s="2"/>
      <c r="Y124" s="2"/>
    </row>
    <row r="125" spans="1:25" x14ac:dyDescent="0.2">
      <c r="A125" s="3">
        <v>451</v>
      </c>
      <c r="B125" s="4" t="s">
        <v>905</v>
      </c>
      <c r="C125" s="3" t="s">
        <v>906</v>
      </c>
      <c r="D125" s="3" t="str">
        <f>VLOOKUP(A125,Hebrew!A:C,3,0)</f>
        <v>עצור משוחרר מתאר מכות אכזריות מחיילי צה"ל</v>
      </c>
      <c r="E125" s="3" t="s">
        <v>907</v>
      </c>
      <c r="F125" s="3" t="str">
        <f>VLOOKUP($A125,Hebrew!$A:$S,4,0)</f>
        <v>גבר פלסטיני ששוחרר מכלא ישראלי מתאר כיצד הוכה לעיתים קרובות על ידי חיילי צה"ל פשוט "בשביל מכות". במקרה אחד, הוא הושלך על טנק ישראלי, מה שגרם לפציעות צוואר וגב, וכן לפציעת ראש שדרשה תפרים.</v>
      </c>
      <c r="G125" s="3" t="s">
        <v>908</v>
      </c>
      <c r="H125" s="2"/>
      <c r="I125" s="2"/>
      <c r="J125" s="3" t="s">
        <v>393</v>
      </c>
      <c r="K125" s="3" t="s">
        <v>739</v>
      </c>
      <c r="L125" s="3" t="str">
        <f>VLOOKUP($A125,Hebrew!$A:$S,9,0)</f>
        <v>Nour Naim (@NourNaim88)</v>
      </c>
      <c r="M125" s="2"/>
      <c r="N125" s="2"/>
      <c r="O125" s="3" t="s">
        <v>412</v>
      </c>
      <c r="P125" s="3" t="s">
        <v>27</v>
      </c>
      <c r="Q125" s="3" t="str">
        <f>VLOOKUP($A125,Hebrew!$A:$S,13,0)</f>
        <v>רצועת עזה</v>
      </c>
      <c r="R125" s="3" t="s">
        <v>396</v>
      </c>
      <c r="S125" s="3" t="s">
        <v>413</v>
      </c>
      <c r="T125" s="3" t="s">
        <v>909</v>
      </c>
      <c r="U125" s="3" t="s">
        <v>805</v>
      </c>
      <c r="V125" s="3" t="s">
        <v>27</v>
      </c>
      <c r="W125" s="2"/>
      <c r="X125" s="2"/>
      <c r="Y125" s="2"/>
    </row>
    <row r="126" spans="1:25" x14ac:dyDescent="0.2">
      <c r="A126" s="3">
        <v>454</v>
      </c>
      <c r="B126" s="4" t="s">
        <v>910</v>
      </c>
      <c r="C126" s="3" t="s">
        <v>911</v>
      </c>
      <c r="D126" s="3" t="str">
        <f>VLOOKUP(A126,Hebrew!A:C,3,0)</f>
        <v>פוליטיקאי בכיר וקצין צה"ל מודה כי הורה על שריפת בתים בעזה.</v>
      </c>
      <c r="E126" s="3" t="s">
        <v>912</v>
      </c>
      <c r="F126" s="3" t="str">
        <f>VLOOKUP($A126,Hebrew!$A:$S,4,0)</f>
        <v>יהודה ולד, מנכ"ל מפלגת הציונות הדתית וקצין מילואים בצה"ל, אישר דיווח של עיתון הארץ, והודה כי הורה לחיילים בעזה לשרוף כמה שיותר בתים, תוך שהוא מביע גאווה במעשיו.</v>
      </c>
      <c r="G126" s="3" t="s">
        <v>913</v>
      </c>
      <c r="H126" s="2"/>
      <c r="I126" s="2"/>
      <c r="J126" s="3" t="s">
        <v>393</v>
      </c>
      <c r="K126" s="3" t="s">
        <v>914</v>
      </c>
      <c r="L126" s="3" t="str">
        <f>VLOOKUP($A126,Hebrew!$A:$S,9,0)</f>
        <v>Omer Arvili (@OmerArvili)</v>
      </c>
      <c r="M126" s="2"/>
      <c r="N126" s="4" t="s">
        <v>915</v>
      </c>
      <c r="O126" s="3" t="s">
        <v>39</v>
      </c>
      <c r="P126" s="3" t="s">
        <v>27</v>
      </c>
      <c r="Q126" s="3" t="str">
        <f>VLOOKUP($A126,Hebrew!$A:$S,13,0)</f>
        <v>רצועת עזה</v>
      </c>
      <c r="R126" s="3" t="s">
        <v>396</v>
      </c>
      <c r="S126" s="3" t="s">
        <v>397</v>
      </c>
      <c r="T126" s="3" t="s">
        <v>916</v>
      </c>
      <c r="U126" s="3" t="s">
        <v>43</v>
      </c>
      <c r="V126" s="3" t="s">
        <v>27</v>
      </c>
      <c r="W126" s="3" t="s">
        <v>917</v>
      </c>
      <c r="X126" s="2"/>
      <c r="Y126" s="2"/>
    </row>
    <row r="127" spans="1:25" x14ac:dyDescent="0.2">
      <c r="A127" s="3">
        <v>455</v>
      </c>
      <c r="B127" s="4" t="s">
        <v>918</v>
      </c>
      <c r="C127" s="3" t="s">
        <v>919</v>
      </c>
      <c r="D127" s="3" t="str">
        <f>VLOOKUP(A127,Hebrew!A:C,3,0)</f>
        <v>חיילי צה"ל מציגים תחתונים של נשים עקורות.</v>
      </c>
      <c r="E127" s="3" t="s">
        <v>920</v>
      </c>
      <c r="F127" s="3" t="str">
        <f>VLOOKUP($A127,Hebrew!$A:$S,4,0)</f>
        <v>חיילי צה"ל מצטלמים, כאשר הם מציגים בגאווה תחתונים השייכים לנשים עזתיות עקורות. התמונה מופיעה בציוץ נוסף על כך.</v>
      </c>
      <c r="G127" s="3" t="s">
        <v>751</v>
      </c>
      <c r="H127" s="2"/>
      <c r="I127" s="2"/>
      <c r="J127" s="3" t="s">
        <v>393</v>
      </c>
      <c r="K127" s="3" t="s">
        <v>921</v>
      </c>
      <c r="L127" s="3" t="str">
        <f>VLOOKUP($A127,Hebrew!$A:$S,9,0)</f>
        <v>Owen Jones (@owenjonesjourno)</v>
      </c>
      <c r="M127" s="2"/>
      <c r="N127" s="4" t="s">
        <v>922</v>
      </c>
      <c r="O127" s="3" t="s">
        <v>26</v>
      </c>
      <c r="P127" s="3" t="s">
        <v>27</v>
      </c>
      <c r="Q127" s="3" t="str">
        <f>VLOOKUP($A127,Hebrew!$A:$S,13,0)</f>
        <v>רצועת עזה</v>
      </c>
      <c r="R127" s="3" t="s">
        <v>396</v>
      </c>
      <c r="S127" s="3" t="s">
        <v>397</v>
      </c>
      <c r="T127" s="3" t="s">
        <v>923</v>
      </c>
      <c r="U127" s="3" t="s">
        <v>43</v>
      </c>
      <c r="V127" s="3" t="s">
        <v>27</v>
      </c>
      <c r="W127" s="2"/>
      <c r="X127" s="2"/>
      <c r="Y127" s="2"/>
    </row>
    <row r="128" spans="1:25" x14ac:dyDescent="0.2">
      <c r="A128" s="3">
        <v>456</v>
      </c>
      <c r="B128" s="4" t="s">
        <v>924</v>
      </c>
      <c r="C128" s="3" t="s">
        <v>925</v>
      </c>
      <c r="D128" s="3" t="str">
        <f>VLOOKUP(A128,Hebrew!A:C,3,0)</f>
        <v>ישראל עוצרת את גירוש המטופלים מעזה חזרה לעזה בעקבות ערעור של ארגון 'רופאים לזכויות אדם'.</v>
      </c>
      <c r="E128" s="3" t="s">
        <v>926</v>
      </c>
      <c r="F128" s="3" t="str">
        <f>VLOOKUP($A128,Hebrew!$A:$S,4,0)</f>
        <v>בעקבות ערעור של 'רופאים לזכויות אדם', מדינת ישראל חזרה בה מהתוכנית לגרש חזרה לעזה 20 מטופלים, כולל ילדים עם סרטן וקשישים, לאחר שקיבלו טיפול רפואי בישראל.</v>
      </c>
      <c r="G128" s="3" t="s">
        <v>927</v>
      </c>
      <c r="H128" s="2"/>
      <c r="I128" s="2"/>
      <c r="J128" s="3" t="s">
        <v>393</v>
      </c>
      <c r="K128" s="3" t="s">
        <v>928</v>
      </c>
      <c r="L128" s="3" t="str">
        <f>VLOOKUP($A128,Hebrew!$A:$S,9,0)</f>
        <v>רופאים לזכויות אדם (@PHR_IL)</v>
      </c>
      <c r="M128" s="2"/>
      <c r="N128" s="4" t="s">
        <v>929</v>
      </c>
      <c r="O128" s="3" t="s">
        <v>39</v>
      </c>
      <c r="P128" s="3" t="s">
        <v>60</v>
      </c>
      <c r="Q128" s="3" t="str">
        <f>VLOOKUP($A128,Hebrew!$A:$S,13,0)</f>
        <v>ישראל</v>
      </c>
      <c r="R128" s="3" t="s">
        <v>396</v>
      </c>
      <c r="S128" s="3" t="s">
        <v>29</v>
      </c>
      <c r="T128" s="3" t="s">
        <v>930</v>
      </c>
      <c r="U128" s="3" t="s">
        <v>931</v>
      </c>
      <c r="V128" s="3" t="s">
        <v>60</v>
      </c>
      <c r="W128" s="2"/>
      <c r="X128" s="2"/>
      <c r="Y128" s="2"/>
    </row>
    <row r="129" spans="1:25" x14ac:dyDescent="0.2">
      <c r="A129" s="3">
        <v>458</v>
      </c>
      <c r="B129" s="4" t="s">
        <v>932</v>
      </c>
      <c r="C129" s="3" t="s">
        <v>933</v>
      </c>
      <c r="D129" s="3" t="str">
        <f>VLOOKUP(A129,Hebrew!A:C,3,0)</f>
        <v>אדם עם מוגבלות שנעצר על ידי צה"ל מתאר את מעצרו</v>
      </c>
      <c r="E129" s="3" t="s">
        <v>934</v>
      </c>
      <c r="F129" s="3" t="str">
        <f>VLOOKUP($A129,Hebrew!$A:$S,4,0)</f>
        <v>אימד עיד אבו זו, עזתי המרותק לכיסא גלגלים, סובל משיתוק במחצית גופו, נעצר יחד עם משפחתו על ידי חיילי צה"ל. הם נלקחו מביתם בשכונת זיתון באמצע הלילה לאחר שנלקחו בכוח מהמיטות שלהם. הם הופשטו עד לתחתונים ונאלצו לכסות את פניהם, הוכו, אוימו, והועמסו על משאית שהעבירה אותם למתקן מעצר. על המשאית, הם היו כבולים, וחיילים דרכו על האזיקים שלהם. אבו זו נגרר מכיסא הגלגלים שלו, וכאשר ניסה להסביר את נכותו, לעגו לו, היכו אותו, והשליכו עליו את כיסא הגלגלים שלו. העצורים צולמו בתחתונים עם עיניים מכוסות, בעוד חיילים לועגים להם וזורקים עליהם אבנים. עם הגעתם למתקן המעצר, הם הושלכו מהמשאית, שהייתה בגובה של כ-2 מטרים. אבו זו סבל משבר בחולייה בגב ושברים ברגליו מהנפילה. לאחר מכן העצורים נלקחו לבסיס "שאינו ראוי למגורי בעלי חיים," שם הושארו בקור, בתחתונים, כל הלילה, בעוד חיילים מכים ומקללים אותם. לפי אבו זו, כל 30 העצורים סבלו משברים בגפיים, וחלקם נורו. עם שחרורם, חיילים סירבו להחזיר לאבו זו את כיסא הגלגלים שלו או לספק לו אחר, הם אמרו, "אתה במחנה ריכוז, לא בטיול."</v>
      </c>
      <c r="G129" s="3" t="s">
        <v>935</v>
      </c>
      <c r="H129" s="2"/>
      <c r="I129" s="2"/>
      <c r="J129" s="3" t="s">
        <v>393</v>
      </c>
      <c r="K129" s="3" t="s">
        <v>756</v>
      </c>
      <c r="L129" s="3" t="str">
        <f>VLOOKUP($A129,Hebrew!$A:$S,9,0)</f>
        <v>Quds News Network (@QudsNen)</v>
      </c>
      <c r="M129" s="2"/>
      <c r="N129" s="2"/>
      <c r="O129" s="3" t="s">
        <v>412</v>
      </c>
      <c r="P129" s="3" t="s">
        <v>936</v>
      </c>
      <c r="Q129" s="3" t="str">
        <f>VLOOKUP($A129,Hebrew!$A:$S,13,0)</f>
        <v>שכונת זיתון</v>
      </c>
      <c r="R129" s="3" t="s">
        <v>396</v>
      </c>
      <c r="S129" s="3" t="s">
        <v>413</v>
      </c>
      <c r="T129" s="3" t="s">
        <v>937</v>
      </c>
      <c r="U129" s="3" t="s">
        <v>782</v>
      </c>
      <c r="V129" s="3" t="s">
        <v>836</v>
      </c>
      <c r="W129" s="2"/>
      <c r="X129" s="2"/>
      <c r="Y129" s="2"/>
    </row>
    <row r="130" spans="1:25" x14ac:dyDescent="0.2">
      <c r="A130" s="3">
        <v>459</v>
      </c>
      <c r="B130" s="4" t="s">
        <v>938</v>
      </c>
      <c r="C130" s="3" t="s">
        <v>939</v>
      </c>
      <c r="D130" s="3" t="str">
        <f>VLOOKUP(A130,Hebrew!A:C,3,0)</f>
        <v>אישה פלסטינית עקורה נעצרה, עונתה ונשדדה על ידי חיילי צה"ל.</v>
      </c>
      <c r="E130" s="3" t="s">
        <v>940</v>
      </c>
      <c r="F130" s="3" t="str">
        <f>VLOOKUP($A130,Hebrew!$A:$S,4,0)</f>
        <v>נסרין יוסף שאבאן עבאס נאלצה לברוח מביתה בצפון עזה יחד עם משפחתה, בעקבות פקודות צה"ל. הם מצאו מקלט בבית ספר בחאן יונס, "אזור בטוח" שנקבע על ידי צה"ל, אך נאלצו לעזוב לאחר שכוחות צה"ל תקפו את האזור. לאחר מכן הם מצאו מקלט בבית החולים נאסר, שם שהו במשך 25 ימים עד שצה"ל הורה על פינוי והפציץ את המתקן, בתקיפה שהובילה למותם של ארבעה אנשים ופציעתם של 20 נוספים. לאחר שברחו מבית החולים, נסרין ומשפחתה נתקעו במחסום במשך שעות, שם חיילים צילמו והעליבו אותם. היא הופרדה מבעלה, הופשטה מבגדיה, ונאלצה לעמוד יחפה בקור במשך ארבע שעות. חיילים החרימו את הזהב, הכסף וחפצים אישיים שלה בשווי 7,000 דינרים, שלא הוחזרו עם שחרורה, והשאירו אותה יחפה ובבגדים קרועים.</v>
      </c>
      <c r="G130" s="3" t="s">
        <v>751</v>
      </c>
      <c r="H130" s="2"/>
      <c r="I130" s="2"/>
      <c r="J130" s="3" t="s">
        <v>393</v>
      </c>
      <c r="K130" s="3" t="s">
        <v>756</v>
      </c>
      <c r="L130" s="3" t="str">
        <f>VLOOKUP($A130,Hebrew!$A:$S,9,0)</f>
        <v>Quds News Network (@QudsNen)</v>
      </c>
      <c r="M130" s="2"/>
      <c r="N130" s="2"/>
      <c r="O130" s="3" t="s">
        <v>412</v>
      </c>
      <c r="P130" s="3" t="s">
        <v>27</v>
      </c>
      <c r="Q130" s="3" t="str">
        <f>VLOOKUP($A130,Hebrew!$A:$S,13,0)</f>
        <v>רצועת עזה</v>
      </c>
      <c r="R130" s="3" t="s">
        <v>396</v>
      </c>
      <c r="S130" s="3" t="s">
        <v>413</v>
      </c>
      <c r="T130" s="3" t="s">
        <v>941</v>
      </c>
      <c r="U130" s="3" t="s">
        <v>782</v>
      </c>
      <c r="V130" s="3" t="s">
        <v>942</v>
      </c>
      <c r="W130" s="2"/>
      <c r="X130" s="2"/>
      <c r="Y130" s="2"/>
    </row>
    <row r="131" spans="1:25" x14ac:dyDescent="0.2">
      <c r="A131" s="3">
        <v>460</v>
      </c>
      <c r="B131" s="4" t="s">
        <v>943</v>
      </c>
      <c r="C131" s="3" t="s">
        <v>944</v>
      </c>
      <c r="D131" s="3" t="str">
        <f>VLOOKUP(A131,Hebrew!A:C,3,0)</f>
        <v>חיילי צה"ל מתהדרים בצעצועים גנובים של ילדים פלסטינים</v>
      </c>
      <c r="E131" s="3" t="s">
        <v>945</v>
      </c>
      <c r="F131" s="3" t="str">
        <f>VLOOKUP($A131,Hebrew!$A:$S,4,0)</f>
        <v>חיילי צה"ל פרסמו תמונות של עצמם על גבי שני רכבי צבא שונים, כשהם מציגים צעצועים שנגנבו מילדים פלסטינים עקורים.</v>
      </c>
      <c r="G131" s="3" t="s">
        <v>946</v>
      </c>
      <c r="H131" s="2"/>
      <c r="I131" s="2"/>
      <c r="J131" s="3" t="s">
        <v>393</v>
      </c>
      <c r="K131" s="3" t="s">
        <v>756</v>
      </c>
      <c r="L131" s="3" t="str">
        <f>VLOOKUP($A131,Hebrew!$A:$S,9,0)</f>
        <v>Quds News Network (@QudsNen)</v>
      </c>
      <c r="M131" s="2"/>
      <c r="N131" s="2"/>
      <c r="O131" s="3" t="s">
        <v>26</v>
      </c>
      <c r="P131" s="3" t="s">
        <v>27</v>
      </c>
      <c r="Q131" s="3" t="str">
        <f>VLOOKUP($A131,Hebrew!$A:$S,13,0)</f>
        <v>רצועת עזה</v>
      </c>
      <c r="R131" s="3" t="s">
        <v>396</v>
      </c>
      <c r="S131" s="3" t="s">
        <v>397</v>
      </c>
      <c r="T131" s="3" t="s">
        <v>947</v>
      </c>
      <c r="U131" s="3" t="s">
        <v>43</v>
      </c>
      <c r="V131" s="3" t="s">
        <v>27</v>
      </c>
      <c r="W131" s="2"/>
      <c r="X131" s="2"/>
      <c r="Y131" s="2"/>
    </row>
    <row r="132" spans="1:25" x14ac:dyDescent="0.2">
      <c r="A132" s="3">
        <v>461</v>
      </c>
      <c r="B132" s="4" t="s">
        <v>948</v>
      </c>
      <c r="C132" s="3" t="s">
        <v>949</v>
      </c>
      <c r="D132" s="3" t="str">
        <f>VLOOKUP(A132,Hebrew!A:C,3,0)</f>
        <v>חיילי צה"ל משחיתים את הקוראן, ומשתפים את הסרטונים ברשת</v>
      </c>
      <c r="E132" s="3" t="s">
        <v>950</v>
      </c>
      <c r="F132" s="3" t="str">
        <f>VLOOKUP($A132,Hebrew!$A:$S,4,0)</f>
        <v>חיילי צה"ל צילמו את עצמם משחיתים קוראן, זורקים אותו על רצפת מסגד שנפרץ והושמד בעזה, ושיתפו את הסרטון ברשתות החברתיות.</v>
      </c>
      <c r="G132" s="3" t="s">
        <v>778</v>
      </c>
      <c r="H132" s="2"/>
      <c r="I132" s="2"/>
      <c r="J132" s="3" t="s">
        <v>393</v>
      </c>
      <c r="K132" s="3" t="s">
        <v>756</v>
      </c>
      <c r="L132" s="3" t="str">
        <f>VLOOKUP($A132,Hebrew!$A:$S,9,0)</f>
        <v>Quds News Network (@QudsNen)</v>
      </c>
      <c r="M132" s="2"/>
      <c r="N132" s="2"/>
      <c r="O132" s="3" t="s">
        <v>26</v>
      </c>
      <c r="P132" s="3" t="s">
        <v>27</v>
      </c>
      <c r="Q132" s="3" t="str">
        <f>VLOOKUP($A132,Hebrew!$A:$S,13,0)</f>
        <v>רצועת עזה</v>
      </c>
      <c r="R132" s="3" t="s">
        <v>396</v>
      </c>
      <c r="S132" s="3" t="s">
        <v>413</v>
      </c>
      <c r="T132" s="3" t="s">
        <v>951</v>
      </c>
      <c r="U132" s="3" t="s">
        <v>43</v>
      </c>
      <c r="V132" s="3" t="s">
        <v>27</v>
      </c>
      <c r="W132" s="2"/>
      <c r="X132" s="2"/>
      <c r="Y132" s="2"/>
    </row>
    <row r="133" spans="1:25" x14ac:dyDescent="0.2">
      <c r="A133" s="3">
        <v>462</v>
      </c>
      <c r="B133" s="4" t="s">
        <v>952</v>
      </c>
      <c r="C133" s="3" t="s">
        <v>953</v>
      </c>
      <c r="D133" s="3" t="str">
        <f>VLOOKUP(A133,Hebrew!A:C,3,0)</f>
        <v>עצור פלסטיני שהשתחרר מתאר עינויים, תנאי מעצר קשים</v>
      </c>
      <c r="E133" s="3" t="s">
        <v>954</v>
      </c>
      <c r="F133" s="3" t="str">
        <f>VLOOKUP($A133,Hebrew!$A:$S,4,0)</f>
        <v>גבר פלסטיני בן 50 מתאר כיצד עונה במרכז מעצר ישראלי לאחר שנלקח על ידי חיילי צה"ל מבית החולים נאסר יחד עם פלסטינים אחרים שנעקרו מבתיהם. צה"ל הכריח את הפלסטינים לעלות על משאיות, היכה אותם ודחס עשרות אנשים בכל רכב, צמודים "כמו כבשים". במרכז המעצר, הוא הופשט, הוכה, ונאסר באזיקים ובכיסוי עיניים במשך 60 ימים, כאשר נמנעים ממנו מזון ראוי וגישה לשירותים. הוא מדווח כי אפילו עצורים שהובאו למרפאה לטיפול רפואי ספגו מכות אכזריות. כל העצורים סבלו תנאים קשים, כולל תקופות ממושכות של ישיבה על מזרנים דקים או רצפות חשופות, הגבלות על דיבור או תנועה, ומכות בלילה שהובילו לעיתים קרובות לשברים ודימומים.</v>
      </c>
      <c r="G133" s="3" t="s">
        <v>955</v>
      </c>
      <c r="H133" s="2"/>
      <c r="I133" s="2"/>
      <c r="J133" s="3" t="s">
        <v>393</v>
      </c>
      <c r="K133" s="3" t="s">
        <v>756</v>
      </c>
      <c r="L133" s="3" t="str">
        <f>VLOOKUP($A133,Hebrew!$A:$S,9,0)</f>
        <v>Quds News Network (@QudsNen)</v>
      </c>
      <c r="M133" s="2"/>
      <c r="N133" s="2"/>
      <c r="O133" s="3" t="s">
        <v>412</v>
      </c>
      <c r="P133" s="3" t="s">
        <v>27</v>
      </c>
      <c r="Q133" s="3" t="str">
        <f>VLOOKUP($A133,Hebrew!$A:$S,13,0)</f>
        <v>רצועת עזה</v>
      </c>
      <c r="R133" s="3" t="s">
        <v>396</v>
      </c>
      <c r="S133" s="3" t="s">
        <v>413</v>
      </c>
      <c r="T133" s="3" t="s">
        <v>956</v>
      </c>
      <c r="U133" s="3" t="s">
        <v>957</v>
      </c>
      <c r="V133" s="3" t="s">
        <v>958</v>
      </c>
      <c r="W133" s="2"/>
      <c r="X133" s="2"/>
      <c r="Y133" s="2"/>
    </row>
    <row r="134" spans="1:25" x14ac:dyDescent="0.2">
      <c r="A134" s="3">
        <v>463</v>
      </c>
      <c r="B134" s="4" t="s">
        <v>959</v>
      </c>
      <c r="C134" s="3" t="s">
        <v>960</v>
      </c>
      <c r="D134" s="3" t="str">
        <f>VLOOKUP(A134,Hebrew!A:C,3,0)</f>
        <v>חיילי צה"ל מתבדחים ומתגאים במהלך הריסת בית פלסטיני</v>
      </c>
      <c r="E134" s="3" t="s">
        <v>961</v>
      </c>
      <c r="F134" s="3" t="str">
        <f>VLOOKUP($A134,Hebrew!$A:$S,4,0)</f>
        <v>חיילי מילואים של צה"ל מתעדים את עצמם צוחקים ומתרועעים בזמן שהם מפוצצים בית פלסטיני בדרום עזה, חייל מילואים הקדיש את ההריסה כמחווה לחבריהם שנפלו במלחמות קודמות.</v>
      </c>
      <c r="G134" s="3" t="s">
        <v>745</v>
      </c>
      <c r="H134" s="2"/>
      <c r="I134" s="2"/>
      <c r="J134" s="3" t="s">
        <v>393</v>
      </c>
      <c r="K134" s="3" t="s">
        <v>659</v>
      </c>
      <c r="L134" s="3" t="str">
        <f>VLOOKUP($A134,Hebrew!$A:$S,9,0)</f>
        <v>Ramy Abdu (@RamAbdu)</v>
      </c>
      <c r="M134" s="2"/>
      <c r="N134" s="2"/>
      <c r="O134" s="3" t="s">
        <v>426</v>
      </c>
      <c r="P134" s="3" t="s">
        <v>962</v>
      </c>
      <c r="Q134" s="3" t="str">
        <f>VLOOKUP($A134,Hebrew!$A:$S,13,0)</f>
        <v>דרום רצועת עזה</v>
      </c>
      <c r="R134" s="3" t="s">
        <v>396</v>
      </c>
      <c r="S134" s="3" t="s">
        <v>413</v>
      </c>
      <c r="T134" s="3" t="s">
        <v>963</v>
      </c>
      <c r="U134" s="3" t="s">
        <v>43</v>
      </c>
      <c r="V134" s="3" t="s">
        <v>964</v>
      </c>
      <c r="W134" s="2"/>
      <c r="X134" s="2"/>
      <c r="Y134" s="2"/>
    </row>
    <row r="135" spans="1:25" x14ac:dyDescent="0.2">
      <c r="A135" s="3">
        <v>811</v>
      </c>
      <c r="B135" s="4" t="s">
        <v>965</v>
      </c>
      <c r="C135" s="3" t="s">
        <v>966</v>
      </c>
      <c r="D135" s="3" t="str">
        <f>VLOOKUP(A135,Hebrew!A:C,3,0)</f>
        <v>רק חקלאות ישראלית</v>
      </c>
      <c r="E135" s="3" t="s">
        <v>967</v>
      </c>
      <c r="F135" s="3" t="str">
        <f>VLOOKUP($A135,Hebrew!$A:$S,4,0)</f>
        <v>חייל צה"ל עוקר עץ ברפיח, ומפרסם סרטון של מעשיו ברשתות החברתיות, תחת הכותרת: "רק חקלאות ישראלית".</v>
      </c>
      <c r="G135" s="3" t="s">
        <v>968</v>
      </c>
      <c r="H135" s="3" t="s">
        <v>968</v>
      </c>
      <c r="I135" s="3" t="s">
        <v>968</v>
      </c>
      <c r="J135" s="3" t="s">
        <v>393</v>
      </c>
      <c r="K135" s="3" t="s">
        <v>453</v>
      </c>
      <c r="L135" s="3" t="str">
        <f>VLOOKUP($A135,Hebrew!$A:$S,9,0)</f>
        <v>Younis Tirawi (@ytirawi)</v>
      </c>
      <c r="M135" s="2"/>
      <c r="N135" s="2"/>
      <c r="O135" s="3" t="s">
        <v>426</v>
      </c>
      <c r="P135" s="3" t="s">
        <v>439</v>
      </c>
      <c r="Q135" s="3" t="str">
        <f>VLOOKUP($A135,Hebrew!$A:$S,13,0)</f>
        <v>רפיח</v>
      </c>
      <c r="R135" s="3" t="s">
        <v>396</v>
      </c>
      <c r="S135" s="3" t="s">
        <v>413</v>
      </c>
      <c r="T135" s="3" t="s">
        <v>969</v>
      </c>
      <c r="U135" s="3" t="s">
        <v>43</v>
      </c>
      <c r="V135" s="3" t="s">
        <v>439</v>
      </c>
      <c r="W135" s="2"/>
      <c r="X135" s="2"/>
      <c r="Y135" s="2"/>
    </row>
    <row r="136" spans="1:25" x14ac:dyDescent="0.2">
      <c r="A136" s="3">
        <v>423</v>
      </c>
      <c r="B136" s="4" t="s">
        <v>970</v>
      </c>
      <c r="C136" s="3" t="s">
        <v>971</v>
      </c>
      <c r="D136" s="3" t="str">
        <f>VLOOKUP(A136,Hebrew!A:C,3,0)</f>
        <v>חייל צרפתי-ישראלי מצלם את היחידה שלו מתעללת בעצורים</v>
      </c>
      <c r="E136" s="3" t="s">
        <v>972</v>
      </c>
      <c r="F136" s="3" t="str">
        <f>VLOOKUP($A136,Hebrew!$A:$S,4,0)</f>
        <v>אזרח בעלת אזרחות כפולה, צרפתית וישראלית, המשרת בצה"ל, פרסם סרטון המראה את חברי היחידה שלו מתעללים בעצורים פלסטינים ומתפארים בכך.</v>
      </c>
      <c r="G136" s="3" t="s">
        <v>973</v>
      </c>
      <c r="H136" s="2"/>
      <c r="I136" s="2"/>
      <c r="J136" s="3" t="s">
        <v>393</v>
      </c>
      <c r="K136" s="3" t="s">
        <v>974</v>
      </c>
      <c r="L136" s="3" t="str">
        <f>VLOOKUP($A136,Hebrew!$A:$S,9,0)</f>
        <v>Dyab Abou Jahjah @Aboujahjah</v>
      </c>
      <c r="M136" s="2"/>
      <c r="N136" s="2"/>
      <c r="O136" s="3" t="s">
        <v>26</v>
      </c>
      <c r="P136" s="3" t="s">
        <v>27</v>
      </c>
      <c r="Q136" s="3" t="str">
        <f>VLOOKUP($A136,Hebrew!$A:$S,13,0)</f>
        <v>רצועת עזה</v>
      </c>
      <c r="R136" s="3" t="s">
        <v>396</v>
      </c>
      <c r="S136" s="3" t="s">
        <v>413</v>
      </c>
      <c r="T136" s="3" t="s">
        <v>975</v>
      </c>
      <c r="U136" s="3" t="s">
        <v>43</v>
      </c>
      <c r="V136" s="3" t="s">
        <v>27</v>
      </c>
      <c r="W136" s="2"/>
      <c r="X136" s="2"/>
      <c r="Y136" s="2"/>
    </row>
    <row r="137" spans="1:25" x14ac:dyDescent="0.2">
      <c r="A137" s="3">
        <v>525</v>
      </c>
      <c r="B137" s="4" t="s">
        <v>976</v>
      </c>
      <c r="C137" s="3" t="s">
        <v>977</v>
      </c>
      <c r="D137" s="3" t="str">
        <f>VLOOKUP(A137,Hebrew!A:C,3,0)</f>
        <v>תושב באר שבע קורא להשמדת רצועת עזה</v>
      </c>
      <c r="E137" s="3" t="s">
        <v>978</v>
      </c>
      <c r="F137" s="3" t="str">
        <f>VLOOKUP($A137,Hebrew!$A:$S,4,0)</f>
        <v>תושב באר שבע שביתו נפגע בהתקפת רקטות מעזה, קורא לפלישה לרפיח ולהשמדת רצועת עזה.</v>
      </c>
      <c r="G137" s="3" t="s">
        <v>979</v>
      </c>
      <c r="H137" s="3" t="s">
        <v>980</v>
      </c>
      <c r="I137" s="3" t="s">
        <v>979</v>
      </c>
      <c r="J137" s="3" t="s">
        <v>393</v>
      </c>
      <c r="K137" s="3" t="s">
        <v>491</v>
      </c>
      <c r="L137" s="3" t="str">
        <f>VLOOKUP($A137,Hebrew!$A:$S,9,0)</f>
        <v>B.M. (@ireallyhateyou)</v>
      </c>
      <c r="M137" s="2"/>
      <c r="N137" s="2"/>
      <c r="O137" s="3" t="s">
        <v>39</v>
      </c>
      <c r="P137" s="3" t="s">
        <v>981</v>
      </c>
      <c r="Q137" s="3" t="str">
        <f>VLOOKUP($A137,Hebrew!$A:$S,13,0)</f>
        <v>באר שבע</v>
      </c>
      <c r="R137" s="3" t="s">
        <v>396</v>
      </c>
      <c r="S137" s="3" t="s">
        <v>982</v>
      </c>
      <c r="T137" s="3" t="s">
        <v>983</v>
      </c>
      <c r="U137" s="2"/>
      <c r="V137" s="3" t="s">
        <v>984</v>
      </c>
      <c r="W137" s="2"/>
      <c r="X137" s="2"/>
      <c r="Y137" s="2"/>
    </row>
    <row r="138" spans="1:25" x14ac:dyDescent="0.2">
      <c r="A138" s="3">
        <v>526</v>
      </c>
      <c r="B138" s="4" t="s">
        <v>985</v>
      </c>
      <c r="C138" s="3" t="s">
        <v>986</v>
      </c>
      <c r="D138" s="3" t="str">
        <f>VLOOKUP(A138,Hebrew!A:C,3,0)</f>
        <v>חייל ישראלי מתייחס למלחמה כמו למשחק וידאו</v>
      </c>
      <c r="E138" s="3" t="s">
        <v>987</v>
      </c>
      <c r="F138" s="3" t="str">
        <f>VLOOKUP($A138,Hebrew!$A:$S,4,0)</f>
        <v>חיילים מצלמים את עצמם, כאשר הם מעמידים פנים שהם במשחק וידאו של Call of Duty</v>
      </c>
      <c r="G138" s="3" t="s">
        <v>988</v>
      </c>
      <c r="H138" s="2"/>
      <c r="I138" s="2"/>
      <c r="J138" s="3" t="s">
        <v>393</v>
      </c>
      <c r="K138" s="3" t="s">
        <v>491</v>
      </c>
      <c r="L138" s="3" t="str">
        <f>VLOOKUP($A138,Hebrew!$A:$S,9,0)</f>
        <v>B.M. (@ireallyhateyou)</v>
      </c>
      <c r="M138" s="2"/>
      <c r="N138" s="2"/>
      <c r="O138" s="3" t="s">
        <v>26</v>
      </c>
      <c r="P138" s="3" t="s">
        <v>989</v>
      </c>
      <c r="Q138" s="3" t="str">
        <f>VLOOKUP($A138,Hebrew!$A:$S,13,0)</f>
        <v>רצועת עזה</v>
      </c>
      <c r="R138" s="3" t="s">
        <v>396</v>
      </c>
      <c r="S138" s="3" t="s">
        <v>982</v>
      </c>
      <c r="T138" s="3" t="s">
        <v>990</v>
      </c>
      <c r="U138" s="3" t="s">
        <v>43</v>
      </c>
      <c r="V138" s="3" t="s">
        <v>27</v>
      </c>
      <c r="W138" s="2"/>
      <c r="X138" s="2"/>
      <c r="Y138" s="2"/>
    </row>
    <row r="139" spans="1:25" x14ac:dyDescent="0.2">
      <c r="A139" s="3">
        <v>527</v>
      </c>
      <c r="B139" s="4" t="s">
        <v>991</v>
      </c>
      <c r="C139" s="3" t="s">
        <v>992</v>
      </c>
      <c r="D139" s="3" t="str">
        <f>VLOOKUP(A139,Hebrew!A:C,3,0)</f>
        <v>אתר חדשות ישראלי חוגג את מותם של ערבים</v>
      </c>
      <c r="E139" s="3" t="s">
        <v>993</v>
      </c>
      <c r="F139" s="3" t="str">
        <f>VLOOKUP($A139,Hebrew!$A:$S,4,0)</f>
        <v>אתר חדשות ישראלי JDN משבח את הדיווחים על מספר הערבים ההרוגים במלחמה הנוכחית, בטענה כי הוא גבוה יותר ממספר הערבים ההרוגים בכל המלחמות האחרות. הערה: הכותרת נערכה לאחר מכן (ראה הפניה).</v>
      </c>
      <c r="G139" s="3" t="s">
        <v>994</v>
      </c>
      <c r="H139" s="3" t="s">
        <v>994</v>
      </c>
      <c r="I139" s="3" t="s">
        <v>994</v>
      </c>
      <c r="J139" s="3" t="s">
        <v>393</v>
      </c>
      <c r="K139" s="3" t="s">
        <v>995</v>
      </c>
      <c r="L139" s="3" t="str">
        <f>VLOOKUP($A139,Hebrew!$A:$S,9,0)</f>
        <v>איתמר גרינברג (@itamar_green)</v>
      </c>
      <c r="M139" s="3" t="s">
        <v>996</v>
      </c>
      <c r="N139" s="6" t="s">
        <v>997</v>
      </c>
      <c r="O139" s="3" t="s">
        <v>39</v>
      </c>
      <c r="P139" s="2"/>
      <c r="Q139" s="3">
        <f>VLOOKUP($A139,Hebrew!$A:$S,13,0)</f>
        <v>0</v>
      </c>
      <c r="R139" s="3" t="s">
        <v>396</v>
      </c>
      <c r="S139" s="3" t="s">
        <v>700</v>
      </c>
      <c r="T139" s="3" t="s">
        <v>998</v>
      </c>
      <c r="U139" s="2"/>
      <c r="V139" s="2"/>
      <c r="W139" s="2"/>
      <c r="X139" s="2"/>
      <c r="Y139" s="2"/>
    </row>
    <row r="140" spans="1:25" x14ac:dyDescent="0.2">
      <c r="A140" s="3">
        <v>528</v>
      </c>
      <c r="B140" s="4" t="s">
        <v>999</v>
      </c>
      <c r="C140" s="3" t="s">
        <v>1000</v>
      </c>
      <c r="D140" s="3" t="str">
        <f>VLOOKUP(A140,Hebrew!A:C,3,0)</f>
        <v>אזרחים ישראלים חוסמים כניסת סיוע הומניטרי לעזה</v>
      </c>
      <c r="E140" s="3" t="s">
        <v>1001</v>
      </c>
      <c r="F140" s="3" t="str">
        <f>VLOOKUP($A140,Hebrew!$A:$S,4,0)</f>
        <v>אזרחים ישראלים, כולל משפחות שלמות, חוסמים סיוע הומניטרי לעזה במעבר הגבול ניצנה. חיילי צה"ל לא מתערבים.</v>
      </c>
      <c r="G140" s="3" t="s">
        <v>1002</v>
      </c>
      <c r="H140" s="3" t="s">
        <v>1002</v>
      </c>
      <c r="I140" s="3" t="s">
        <v>1002</v>
      </c>
      <c r="J140" s="3" t="s">
        <v>393</v>
      </c>
      <c r="K140" s="3" t="s">
        <v>1003</v>
      </c>
      <c r="L140" s="3" t="str">
        <f>VLOOKUP($A140,Hebrew!$A:$S,9,0)</f>
        <v>Jeremy Loffredo (@loffredojeremy)</v>
      </c>
      <c r="M140" s="2"/>
      <c r="N140" s="2"/>
      <c r="O140" s="3" t="s">
        <v>26</v>
      </c>
      <c r="P140" s="3" t="s">
        <v>1004</v>
      </c>
      <c r="Q140" s="3" t="str">
        <f>VLOOKUP($A140,Hebrew!$A:$S,13,0)</f>
        <v>מעבר ניצנה, ישראל</v>
      </c>
      <c r="R140" s="3" t="s">
        <v>396</v>
      </c>
      <c r="S140" s="3" t="s">
        <v>455</v>
      </c>
      <c r="T140" s="3" t="s">
        <v>1005</v>
      </c>
      <c r="U140" s="3" t="s">
        <v>43</v>
      </c>
      <c r="V140" s="3" t="s">
        <v>1006</v>
      </c>
      <c r="W140" s="2"/>
      <c r="X140" s="2"/>
      <c r="Y140" s="2"/>
    </row>
    <row r="141" spans="1:25" x14ac:dyDescent="0.2">
      <c r="A141" s="3">
        <v>529</v>
      </c>
      <c r="B141" s="4" t="s">
        <v>1007</v>
      </c>
      <c r="C141" s="3" t="s">
        <v>1008</v>
      </c>
      <c r="D141" s="3" t="str">
        <f>VLOOKUP(A141,Hebrew!A:C,3,0)</f>
        <v>עינויים וכפיה לשמש כמגן אנושי בידי צה"ל</v>
      </c>
      <c r="E141" s="3" t="s">
        <v>1009</v>
      </c>
      <c r="F141" s="3" t="str">
        <f>VLOOKUP($A141,Hebrew!$A:$S,4,0)</f>
        <v>רמדאן שמלאח, גבר בן 21 מרצועת עזה, מעיד כי חיילי צה"ל נכנסו לדירתו בזיתון, היכו אותו ואת אחיו, השתמשו בו כמגן אנושי כדי להיכנס לדירות אחרות ועינו אותו , הם הפשיטו אותו, אותו והורו לו לנסוע דרומה. חלק מהפציעות שספג עדיין ניכרות על גופו במהלך הראיון.</v>
      </c>
      <c r="G141" s="3" t="s">
        <v>1002</v>
      </c>
      <c r="H141" s="2"/>
      <c r="I141" s="2"/>
      <c r="J141" s="3" t="s">
        <v>393</v>
      </c>
      <c r="K141" s="3" t="s">
        <v>1010</v>
      </c>
      <c r="L141" s="3" t="str">
        <f>VLOOKUP($A141,Hebrew!$A:$S,9,0)</f>
        <v>Marwa Fatafta (@marwasf)</v>
      </c>
      <c r="M141" s="2"/>
      <c r="N141" s="2"/>
      <c r="O141" s="3" t="s">
        <v>1011</v>
      </c>
      <c r="P141" s="3" t="s">
        <v>27</v>
      </c>
      <c r="Q141" s="3" t="str">
        <f>VLOOKUP($A141,Hebrew!$A:$S,13,0)</f>
        <v>רצועת עזה</v>
      </c>
      <c r="R141" s="3" t="s">
        <v>396</v>
      </c>
      <c r="S141" s="3" t="s">
        <v>982</v>
      </c>
      <c r="T141" s="3" t="s">
        <v>1012</v>
      </c>
      <c r="U141" s="3" t="s">
        <v>43</v>
      </c>
      <c r="V141" s="3" t="s">
        <v>1013</v>
      </c>
      <c r="W141" s="2"/>
      <c r="X141" s="2"/>
      <c r="Y141" s="2"/>
    </row>
    <row r="142" spans="1:25" x14ac:dyDescent="0.2">
      <c r="A142" s="3">
        <v>530</v>
      </c>
      <c r="B142" s="4" t="s">
        <v>1014</v>
      </c>
      <c r="C142" s="3" t="s">
        <v>1015</v>
      </c>
      <c r="D142" s="3" t="str">
        <f>VLOOKUP(A142,Hebrew!A:C,3,0)</f>
        <v>פעילים ישראלים מתעמתים עם אזרחים ישראלים החוסמים סיוע הומניטרי לעזה</v>
      </c>
      <c r="E142" s="3" t="s">
        <v>1016</v>
      </c>
      <c r="F142" s="3" t="str">
        <f>VLOOKUP($A142,Hebrew!$A:$S,4,0)</f>
        <v>יונתן קיפניס, שהוריו נרצחו ב-7 באוקטובר 2023, מתעמת עם מפגינים מהימין בנמל אשדוד. המפגינים חוסמים סיוע הומניטרי לעזה. יונתן מתעמת איתם ומקבל תגובה משפילה.</v>
      </c>
      <c r="G142" s="3" t="s">
        <v>1017</v>
      </c>
      <c r="H142" s="3" t="s">
        <v>1017</v>
      </c>
      <c r="I142" s="3" t="s">
        <v>1017</v>
      </c>
      <c r="J142" s="3" t="s">
        <v>393</v>
      </c>
      <c r="K142" s="3" t="s">
        <v>1018</v>
      </c>
      <c r="L142" s="3" t="str">
        <f>VLOOKUP($A142,Hebrew!$A:$S,9,0)</f>
        <v>שיחה מקומית (@mekomit)</v>
      </c>
      <c r="M142" s="2"/>
      <c r="N142" s="2"/>
      <c r="O142" s="3" t="s">
        <v>39</v>
      </c>
      <c r="P142" s="3" t="s">
        <v>1019</v>
      </c>
      <c r="Q142" s="3" t="str">
        <f>VLOOKUP($A142,Hebrew!$A:$S,13,0)</f>
        <v>נמל אשדוד</v>
      </c>
      <c r="R142" s="3" t="s">
        <v>396</v>
      </c>
      <c r="S142" s="3" t="s">
        <v>982</v>
      </c>
      <c r="T142" s="3" t="s">
        <v>1020</v>
      </c>
      <c r="U142" s="3" t="s">
        <v>1021</v>
      </c>
      <c r="V142" s="3" t="s">
        <v>1022</v>
      </c>
      <c r="W142" s="2"/>
      <c r="X142" s="2"/>
      <c r="Y142" s="2"/>
    </row>
    <row r="143" spans="1:25" x14ac:dyDescent="0.2">
      <c r="A143" s="3">
        <v>533</v>
      </c>
      <c r="B143" s="4" t="s">
        <v>1023</v>
      </c>
      <c r="C143" s="3" t="s">
        <v>1024</v>
      </c>
      <c r="D143" s="3" t="str">
        <f>VLOOKUP(A143,Hebrew!A:C,3,0)</f>
        <v>עיתונאי ישראלי אומר בשידור שכל תושבי עזה ראויים למוות</v>
      </c>
      <c r="E143" s="3" t="s">
        <v>1025</v>
      </c>
      <c r="F143" s="3" t="str">
        <f>VLOOKUP($A143,Hebrew!$A:$S,4,0)</f>
        <v>העיתונאי הישראלי יהודה שלזינגר אומר בשידור בערוץ 12 שאין חפים מפשע בעזה, וכל תושבי עזה ראויים למוות.</v>
      </c>
      <c r="G143" s="3" t="s">
        <v>705</v>
      </c>
      <c r="H143" s="3" t="s">
        <v>705</v>
      </c>
      <c r="I143" s="3" t="s">
        <v>705</v>
      </c>
      <c r="J143" s="3" t="s">
        <v>393</v>
      </c>
      <c r="K143" s="3" t="s">
        <v>1026</v>
      </c>
      <c r="L143" s="3" t="str">
        <f>VLOOKUP($A143,Hebrew!$A:$S,9,0)</f>
        <v>Muhammad Shehada (@muhammadshehad2)</v>
      </c>
      <c r="M143" s="3" t="s">
        <v>492</v>
      </c>
      <c r="N143" s="2"/>
      <c r="O143" s="3" t="s">
        <v>39</v>
      </c>
      <c r="P143" s="3" t="s">
        <v>60</v>
      </c>
      <c r="Q143" s="3" t="str">
        <f>VLOOKUP($A143,Hebrew!$A:$S,13,0)</f>
        <v>ישראל</v>
      </c>
      <c r="R143" s="3" t="s">
        <v>396</v>
      </c>
      <c r="S143" s="3" t="s">
        <v>982</v>
      </c>
      <c r="T143" s="3" t="s">
        <v>1027</v>
      </c>
      <c r="U143" s="2"/>
      <c r="V143" s="3" t="s">
        <v>60</v>
      </c>
      <c r="W143" s="2"/>
      <c r="X143" s="2"/>
      <c r="Y143" s="2"/>
    </row>
    <row r="144" spans="1:25" x14ac:dyDescent="0.2">
      <c r="A144" s="3">
        <v>535</v>
      </c>
      <c r="B144" s="4" t="s">
        <v>1028</v>
      </c>
      <c r="C144" s="3" t="s">
        <v>1029</v>
      </c>
      <c r="D144" s="3" t="str">
        <f>VLOOKUP(A144,Hebrew!A:C,3,0)</f>
        <v>חיילים מצהירים על כוונתם להשמיד את עזה</v>
      </c>
      <c r="E144" s="3" t="s">
        <v>1030</v>
      </c>
      <c r="F144" s="3" t="str">
        <f>VLOOKUP($A144,Hebrew!$A:$S,4,0)</f>
        <v>חיילי צה"ל מחזיקים בשלטים שמתארים את עצמם כ"וחיילי צבא העם היהודי" ואומרים שהם לא יסירו את מדיהם עד שההרס של עזה יושלם.</v>
      </c>
      <c r="G144" s="3" t="s">
        <v>1031</v>
      </c>
      <c r="H144" s="2"/>
      <c r="I144" s="2"/>
      <c r="J144" s="3" t="s">
        <v>393</v>
      </c>
      <c r="K144" s="3" t="s">
        <v>1032</v>
      </c>
      <c r="L144" s="3" t="str">
        <f>VLOOKUP($A144,Hebrew!$A:$S,9,0)</f>
        <v>מילואימניקים של צה"ל - דור הניצחון (@ozleisraelaza)</v>
      </c>
      <c r="M144" s="2"/>
      <c r="N144" s="2"/>
      <c r="O144" s="3" t="s">
        <v>39</v>
      </c>
      <c r="P144" s="3" t="s">
        <v>27</v>
      </c>
      <c r="Q144" s="3" t="str">
        <f>VLOOKUP($A144,Hebrew!$A:$S,13,0)</f>
        <v>רצועת עזה</v>
      </c>
      <c r="R144" s="3" t="s">
        <v>396</v>
      </c>
      <c r="S144" s="3" t="s">
        <v>700</v>
      </c>
      <c r="T144" s="3" t="s">
        <v>1033</v>
      </c>
      <c r="U144" s="3" t="s">
        <v>43</v>
      </c>
      <c r="V144" s="3" t="s">
        <v>27</v>
      </c>
      <c r="W144" s="2"/>
      <c r="X144" s="2"/>
      <c r="Y144" s="2"/>
    </row>
    <row r="145" spans="1:25" x14ac:dyDescent="0.2">
      <c r="A145" s="3">
        <v>536</v>
      </c>
      <c r="B145" s="4" t="s">
        <v>1034</v>
      </c>
      <c r="C145" s="3" t="s">
        <v>1035</v>
      </c>
      <c r="D145" s="3" t="str">
        <f>VLOOKUP(A145,Hebrew!A:C,3,0)</f>
        <v>דמויות ציבוריות ישראליות קוראות לחסום סיוע הומניטרי לעזה</v>
      </c>
      <c r="E145" s="3" t="s">
        <v>1036</v>
      </c>
      <c r="F145" s="3" t="str">
        <f>VLOOKUP($A145,Hebrew!$A:$S,4,0)</f>
        <v>מכתב בחתימת 10 חברי כנסת מהימין הפוליטי ובמיוחד מהתנועה הציונית הדתית קורא לחסום סיוע הומניטרי לעזה.</v>
      </c>
      <c r="G145" s="3" t="s">
        <v>1037</v>
      </c>
      <c r="H145" s="3" t="s">
        <v>788</v>
      </c>
      <c r="I145" s="3" t="s">
        <v>788</v>
      </c>
      <c r="J145" s="3" t="s">
        <v>393</v>
      </c>
      <c r="K145" s="3" t="s">
        <v>1038</v>
      </c>
      <c r="L145" s="3" t="str">
        <f>VLOOKUP($A145,Hebrew!$A:$S,9,0)</f>
        <v>Shilo Freid (@shilofreid)</v>
      </c>
      <c r="M145" s="2"/>
      <c r="N145" s="2"/>
      <c r="O145" s="3" t="s">
        <v>39</v>
      </c>
      <c r="P145" s="3" t="s">
        <v>60</v>
      </c>
      <c r="Q145" s="3" t="str">
        <f>VLOOKUP($A145,Hebrew!$A:$S,13,0)</f>
        <v>ישראל</v>
      </c>
      <c r="R145" s="3" t="s">
        <v>396</v>
      </c>
      <c r="S145" s="3" t="s">
        <v>700</v>
      </c>
      <c r="T145" s="3" t="s">
        <v>1039</v>
      </c>
      <c r="U145" s="2"/>
      <c r="V145" s="3" t="s">
        <v>709</v>
      </c>
      <c r="W145" s="2"/>
      <c r="X145" s="2"/>
      <c r="Y145" s="2"/>
    </row>
    <row r="146" spans="1:25" x14ac:dyDescent="0.2">
      <c r="A146" s="3">
        <v>538</v>
      </c>
      <c r="B146" s="4" t="s">
        <v>1040</v>
      </c>
      <c r="C146" s="3" t="s">
        <v>1041</v>
      </c>
      <c r="D146" s="3" t="str">
        <f>VLOOKUP(A146,Hebrew!A:C,3,0)</f>
        <v>דחפור של צה"ל הורס דוכן ברצועת עזה</v>
      </c>
      <c r="E146" s="3" t="s">
        <v>1042</v>
      </c>
      <c r="F146" s="3" t="str">
        <f>VLOOKUP($A146,Hebrew!$A:$S,4,0)</f>
        <v>דחפור של צה"ל הורס דוכן, בעוד חייל צוחק ברקע. הסרטון הועלה לטיקטוק, כנראה על ידי אחד החיילים.</v>
      </c>
      <c r="G146" s="3" t="s">
        <v>1043</v>
      </c>
      <c r="H146" s="2"/>
      <c r="I146" s="2"/>
      <c r="J146" s="3" t="s">
        <v>393</v>
      </c>
      <c r="K146" s="3" t="s">
        <v>453</v>
      </c>
      <c r="L146" s="3" t="str">
        <f>VLOOKUP($A146,Hebrew!$A:$S,9,0)</f>
        <v>Younis Tirawi (@ytirawi)</v>
      </c>
      <c r="M146" s="2"/>
      <c r="N146" s="2"/>
      <c r="O146" s="3" t="s">
        <v>26</v>
      </c>
      <c r="P146" s="3" t="s">
        <v>811</v>
      </c>
      <c r="Q146" s="3" t="str">
        <f>VLOOKUP($A146,Hebrew!$A:$S,13,0)</f>
        <v>רצועת עזה</v>
      </c>
      <c r="R146" s="3" t="s">
        <v>396</v>
      </c>
      <c r="S146" s="3" t="s">
        <v>982</v>
      </c>
      <c r="T146" s="3" t="s">
        <v>1044</v>
      </c>
      <c r="U146" s="3" t="s">
        <v>43</v>
      </c>
      <c r="V146" s="3" t="s">
        <v>27</v>
      </c>
      <c r="W146" s="2"/>
      <c r="X146" s="2"/>
      <c r="Y146" s="2"/>
    </row>
    <row r="147" spans="1:25" x14ac:dyDescent="0.2">
      <c r="A147" s="3">
        <v>539</v>
      </c>
      <c r="B147" s="4" t="s">
        <v>1045</v>
      </c>
      <c r="C147" s="3" t="s">
        <v>1046</v>
      </c>
      <c r="D147" s="3" t="str">
        <f>VLOOKUP(A147,Hebrew!A:C,3,0)</f>
        <v>פלסטינים שנעצרו נאלצים לשיר נגד חמאס</v>
      </c>
      <c r="E147" s="3" t="s">
        <v>1047</v>
      </c>
      <c r="F147" s="3" t="str">
        <f>VLOOKUP($A147,Hebrew!$A:$S,4,0)</f>
        <v>יותר מעשרה גברים וילדים חצי עירומים שנעצרו בעזה נאלצים בצורה משפילה לשיר נגד חמאס בעוד הם עומדים על משאית.</v>
      </c>
      <c r="G147" s="3" t="s">
        <v>452</v>
      </c>
      <c r="H147" s="2"/>
      <c r="I147" s="2"/>
      <c r="J147" s="3" t="s">
        <v>393</v>
      </c>
      <c r="K147" s="3" t="s">
        <v>453</v>
      </c>
      <c r="L147" s="3" t="str">
        <f>VLOOKUP($A147,Hebrew!$A:$S,9,0)</f>
        <v>Younis Tirawi (@ytirawi)</v>
      </c>
      <c r="M147" s="2"/>
      <c r="N147" s="2"/>
      <c r="O147" s="3" t="s">
        <v>1011</v>
      </c>
      <c r="P147" s="3" t="s">
        <v>811</v>
      </c>
      <c r="Q147" s="3" t="str">
        <f>VLOOKUP($A147,Hebrew!$A:$S,13,0)</f>
        <v>רצועת עזה</v>
      </c>
      <c r="R147" s="3" t="s">
        <v>396</v>
      </c>
      <c r="S147" s="3" t="s">
        <v>982</v>
      </c>
      <c r="T147" s="3" t="s">
        <v>1048</v>
      </c>
      <c r="U147" s="3" t="s">
        <v>43</v>
      </c>
      <c r="V147" s="3" t="s">
        <v>27</v>
      </c>
      <c r="W147" s="2"/>
      <c r="X147" s="2"/>
      <c r="Y147" s="2"/>
    </row>
    <row r="148" spans="1:25" x14ac:dyDescent="0.2">
      <c r="A148" s="3">
        <v>540</v>
      </c>
      <c r="B148" s="4" t="s">
        <v>1049</v>
      </c>
      <c r="C148" s="3" t="s">
        <v>1050</v>
      </c>
      <c r="D148" s="3" t="str">
        <f>VLOOKUP(A148,Hebrew!A:C,3,0)</f>
        <v>אישה מעזה מעידה על עינויים והשפלה בידי חיילי צה"ל</v>
      </c>
      <c r="E148" s="3" t="s">
        <v>1051</v>
      </c>
      <c r="F148" s="3" t="str">
        <f>VLOOKUP($A148,Hebrew!$A:$S,4,0)</f>
        <v>אישה מעידה על מכות, שוד והשפלה (כולל מינית) של נשים מעזה, כולל ילדיה, בידי חיילי צה"ל</v>
      </c>
      <c r="G148" s="3" t="s">
        <v>1052</v>
      </c>
      <c r="H148" s="2"/>
      <c r="I148" s="2"/>
      <c r="J148" s="3" t="s">
        <v>393</v>
      </c>
      <c r="K148" s="3" t="s">
        <v>453</v>
      </c>
      <c r="L148" s="3" t="str">
        <f>VLOOKUP($A148,Hebrew!$A:$S,9,0)</f>
        <v>Younis Tirawi (@ytirawi)</v>
      </c>
      <c r="M148" s="2"/>
      <c r="N148" s="2"/>
      <c r="O148" s="3" t="s">
        <v>645</v>
      </c>
      <c r="P148" s="3" t="s">
        <v>811</v>
      </c>
      <c r="Q148" s="3" t="str">
        <f>VLOOKUP($A148,Hebrew!$A:$S,13,0)</f>
        <v>רצועת עזה</v>
      </c>
      <c r="R148" s="3" t="s">
        <v>396</v>
      </c>
      <c r="S148" s="3" t="s">
        <v>982</v>
      </c>
      <c r="T148" s="3" t="s">
        <v>1053</v>
      </c>
      <c r="U148" s="3" t="s">
        <v>43</v>
      </c>
      <c r="V148" s="3" t="s">
        <v>27</v>
      </c>
      <c r="W148" s="2"/>
      <c r="X148" s="2"/>
      <c r="Y148" s="2"/>
    </row>
    <row r="149" spans="1:25" x14ac:dyDescent="0.2">
      <c r="A149" s="3">
        <v>542</v>
      </c>
      <c r="B149" s="4" t="s">
        <v>1054</v>
      </c>
      <c r="C149" s="3" t="s">
        <v>1055</v>
      </c>
      <c r="D149" s="3" t="str">
        <f>VLOOKUP(A149,Hebrew!A:C,3,0)</f>
        <v>אזהרה! אל תזרקו סיגריות דולקות באזור</v>
      </c>
      <c r="E149" s="3" t="s">
        <v>1056</v>
      </c>
      <c r="F149" s="3" t="str">
        <f>VLOOKUP($A149,Hebrew!$A:$S,4,0)</f>
        <v>חייל צה"ל מפרסם סרטון לגלוג שמציג בית בוער בחאן יונס, עם אזהרה לא לזרוק סיגריות דולקות, ומראה את עצמו זורק סיגריה לעבר הבית הבוער.</v>
      </c>
      <c r="G149" s="3" t="s">
        <v>1057</v>
      </c>
      <c r="H149" s="2"/>
      <c r="I149" s="2"/>
      <c r="J149" s="3" t="s">
        <v>393</v>
      </c>
      <c r="K149" s="3" t="s">
        <v>453</v>
      </c>
      <c r="L149" s="3" t="str">
        <f>VLOOKUP($A149,Hebrew!$A:$S,9,0)</f>
        <v>Younis Tirawi (@ytirawi)</v>
      </c>
      <c r="M149" s="2"/>
      <c r="N149" s="2"/>
      <c r="O149" s="3" t="s">
        <v>493</v>
      </c>
      <c r="P149" s="3" t="s">
        <v>395</v>
      </c>
      <c r="Q149" s="3" t="str">
        <f>VLOOKUP($A149,Hebrew!$A:$S,13,0)</f>
        <v>חאן יונס</v>
      </c>
      <c r="R149" s="3" t="s">
        <v>396</v>
      </c>
      <c r="S149" s="3" t="s">
        <v>405</v>
      </c>
      <c r="T149" s="3" t="s">
        <v>1058</v>
      </c>
      <c r="U149" s="3" t="s">
        <v>43</v>
      </c>
      <c r="V149" s="3" t="s">
        <v>395</v>
      </c>
      <c r="W149" s="2"/>
      <c r="X149" s="2"/>
      <c r="Y149" s="2"/>
    </row>
    <row r="150" spans="1:25" x14ac:dyDescent="0.2">
      <c r="A150" s="3">
        <v>543</v>
      </c>
      <c r="B150" s="4" t="s">
        <v>1059</v>
      </c>
      <c r="C150" s="3" t="s">
        <v>1060</v>
      </c>
      <c r="D150" s="3" t="str">
        <f>VLOOKUP(A150,Hebrew!A:C,3,0)</f>
        <v>וידאו ברשתות החברתיות של חייל שלועג לבית הרוס.</v>
      </c>
      <c r="E150" s="3" t="s">
        <v>1061</v>
      </c>
      <c r="F150" s="3" t="str">
        <f>VLOOKUP($A150,Hebrew!$A:$S,4,0)</f>
        <v>חייל צה"ל מפרסם סרטון ברשתות החברתיות שלועג להריסת בית בג'באליה.</v>
      </c>
      <c r="G150" s="3" t="s">
        <v>1062</v>
      </c>
      <c r="H150" s="2"/>
      <c r="I150" s="2"/>
      <c r="J150" s="3" t="s">
        <v>393</v>
      </c>
      <c r="K150" s="3" t="s">
        <v>453</v>
      </c>
      <c r="L150" s="3" t="str">
        <f>VLOOKUP($A150,Hebrew!$A:$S,9,0)</f>
        <v>Younis Tirawi (@ytirawi)</v>
      </c>
      <c r="M150" s="2"/>
      <c r="N150" s="3" t="s">
        <v>1063</v>
      </c>
      <c r="O150" s="3" t="s">
        <v>493</v>
      </c>
      <c r="P150" s="3" t="s">
        <v>461</v>
      </c>
      <c r="Q150" s="3" t="str">
        <f>VLOOKUP($A150,Hebrew!$A:$S,13,0)</f>
        <v>ג'באליה</v>
      </c>
      <c r="R150" s="3" t="s">
        <v>396</v>
      </c>
      <c r="S150" s="3" t="s">
        <v>405</v>
      </c>
      <c r="T150" s="3" t="s">
        <v>1064</v>
      </c>
      <c r="U150" s="3" t="s">
        <v>43</v>
      </c>
      <c r="V150" s="3" t="s">
        <v>1065</v>
      </c>
      <c r="W150" s="2"/>
      <c r="X150" s="2"/>
      <c r="Y150" s="2"/>
    </row>
    <row r="151" spans="1:25" x14ac:dyDescent="0.2">
      <c r="A151" s="3">
        <v>544</v>
      </c>
      <c r="B151" s="4" t="s">
        <v>1066</v>
      </c>
      <c r="C151" s="3" t="s">
        <v>1067</v>
      </c>
      <c r="D151" s="3" t="str">
        <f>VLOOKUP(A151,Hebrew!A:C,3,0)</f>
        <v>צלף של צה"ל מצטלם עם הלבשה תחתונה של נשים פלסטיניות</v>
      </c>
      <c r="E151" s="3" t="s">
        <v>1068</v>
      </c>
      <c r="F151" s="3" t="str">
        <f>VLOOKUP($A151,Hebrew!$A:$S,4,0)</f>
        <v>תמונה של צלף צה"ל ברשתות החברתיות בבית פלסטיני עם רובה צלפים, מצטלם ליד הלבשה תחתונה של נשים פלסטיניות.</v>
      </c>
      <c r="G151" s="3" t="s">
        <v>1069</v>
      </c>
      <c r="H151" s="2"/>
      <c r="I151" s="2"/>
      <c r="J151" s="3" t="s">
        <v>393</v>
      </c>
      <c r="K151" s="3" t="s">
        <v>453</v>
      </c>
      <c r="L151" s="3" t="str">
        <f>VLOOKUP($A151,Hebrew!$A:$S,9,0)</f>
        <v>Younis Tirawi (@ytirawi)</v>
      </c>
      <c r="M151" s="2"/>
      <c r="N151" s="3" t="s">
        <v>1070</v>
      </c>
      <c r="O151" s="3" t="s">
        <v>26</v>
      </c>
      <c r="P151" s="3" t="s">
        <v>811</v>
      </c>
      <c r="Q151" s="3" t="str">
        <f>VLOOKUP($A151,Hebrew!$A:$S,13,0)</f>
        <v>רצועת עזה</v>
      </c>
      <c r="R151" s="3" t="s">
        <v>396</v>
      </c>
      <c r="S151" s="3" t="s">
        <v>700</v>
      </c>
      <c r="T151" s="3" t="s">
        <v>1071</v>
      </c>
      <c r="U151" s="3" t="s">
        <v>43</v>
      </c>
      <c r="V151" s="3" t="s">
        <v>27</v>
      </c>
      <c r="W151" s="2"/>
      <c r="X151" s="2"/>
      <c r="Y151" s="2"/>
    </row>
    <row r="152" spans="1:25" x14ac:dyDescent="0.2">
      <c r="A152" s="3">
        <v>547</v>
      </c>
      <c r="B152" s="4" t="s">
        <v>1072</v>
      </c>
      <c r="C152" s="3" t="s">
        <v>1073</v>
      </c>
      <c r="D152" s="3" t="str">
        <f>VLOOKUP(A152,Hebrew!A:C,3,0)</f>
        <v>טנק של צה"ל דורס רכב בעזה</v>
      </c>
      <c r="E152" s="3" t="s">
        <v>1074</v>
      </c>
      <c r="F152" s="3" t="str">
        <f>VLOOKUP($A152,Hebrew!$A:$S,4,0)</f>
        <v>וידאו שהועלה לרשתות החברתיות מציג טנק ישראלי דורס רכב אזרחי עם כיתוב "יהיה קשה להעביר טסט".</v>
      </c>
      <c r="G152" s="3" t="s">
        <v>1075</v>
      </c>
      <c r="H152" s="2"/>
      <c r="I152" s="2"/>
      <c r="J152" s="3" t="s">
        <v>393</v>
      </c>
      <c r="K152" s="3" t="s">
        <v>453</v>
      </c>
      <c r="L152" s="3" t="str">
        <f>VLOOKUP($A152,Hebrew!$A:$S,9,0)</f>
        <v>Younis Tirawi (@ytirawi)</v>
      </c>
      <c r="M152" s="2"/>
      <c r="N152" s="3" t="s">
        <v>1076</v>
      </c>
      <c r="O152" s="3" t="s">
        <v>426</v>
      </c>
      <c r="P152" s="3" t="s">
        <v>811</v>
      </c>
      <c r="Q152" s="3" t="str">
        <f>VLOOKUP($A152,Hebrew!$A:$S,13,0)</f>
        <v>רצועת עזה</v>
      </c>
      <c r="R152" s="3" t="s">
        <v>396</v>
      </c>
      <c r="S152" s="3" t="s">
        <v>982</v>
      </c>
      <c r="T152" s="3" t="s">
        <v>1077</v>
      </c>
      <c r="U152" s="3" t="s">
        <v>43</v>
      </c>
      <c r="V152" s="3" t="s">
        <v>27</v>
      </c>
      <c r="W152" s="2"/>
      <c r="X152" s="2"/>
      <c r="Y152" s="2"/>
    </row>
    <row r="153" spans="1:25" x14ac:dyDescent="0.2">
      <c r="A153" s="3">
        <v>549</v>
      </c>
      <c r="B153" s="4" t="s">
        <v>1078</v>
      </c>
      <c r="C153" s="3" t="s">
        <v>1079</v>
      </c>
      <c r="D153" s="3" t="str">
        <f>VLOOKUP(A153,Hebrew!A:C,3,0)</f>
        <v>חייל צוחק על פתיחת חנות נעליים במקום בית שהושמד.</v>
      </c>
      <c r="E153" s="3" t="s">
        <v>1080</v>
      </c>
      <c r="F153" s="3" t="str">
        <f>VLOOKUP($A153,Hebrew!$A:$S,4,0)</f>
        <v>חייל העלה סרטון של עצמו מפרסם בצורה מצחיקה סניף חדש של חנות נעליים במקום בית שהושמד.</v>
      </c>
      <c r="G153" s="3" t="s">
        <v>1081</v>
      </c>
      <c r="H153" s="2"/>
      <c r="I153" s="2"/>
      <c r="J153" s="3" t="s">
        <v>393</v>
      </c>
      <c r="K153" s="3" t="s">
        <v>453</v>
      </c>
      <c r="L153" s="3" t="str">
        <f>VLOOKUP($A153,Hebrew!$A:$S,9,0)</f>
        <v>Younis Tirawi (@ytirawi)</v>
      </c>
      <c r="M153" s="2"/>
      <c r="N153" s="2"/>
      <c r="O153" s="3" t="s">
        <v>39</v>
      </c>
      <c r="P153" s="3" t="s">
        <v>71</v>
      </c>
      <c r="Q153" s="3" t="str">
        <f>VLOOKUP($A153,Hebrew!$A:$S,13,0)</f>
        <v>עיר עזה</v>
      </c>
      <c r="R153" s="3" t="s">
        <v>396</v>
      </c>
      <c r="S153" s="3" t="s">
        <v>982</v>
      </c>
      <c r="T153" s="3" t="s">
        <v>1082</v>
      </c>
      <c r="U153" s="3" t="s">
        <v>43</v>
      </c>
      <c r="V153" s="3" t="s">
        <v>1083</v>
      </c>
      <c r="W153" s="2"/>
      <c r="X153" s="2"/>
      <c r="Y153" s="2"/>
    </row>
    <row r="154" spans="1:25" x14ac:dyDescent="0.2">
      <c r="A154" s="3">
        <v>551</v>
      </c>
      <c r="B154" s="4" t="s">
        <v>1084</v>
      </c>
      <c r="C154" s="3" t="s">
        <v>1085</v>
      </c>
      <c r="D154" s="3" t="str">
        <f>VLOOKUP(A154,Hebrew!A:C,3,0)</f>
        <v>חייל צה"ל מתלוצץ על שכונה נטושה ומופגזת.</v>
      </c>
      <c r="E154" s="3" t="s">
        <v>1086</v>
      </c>
      <c r="F154" s="3" t="str">
        <f>VLOOKUP($A154,Hebrew!$A:$S,4,0)</f>
        <v>סרטון וידאו ברשתות החברתיות שבו חייל מתלוצץ על שכונה נטושה בחאן יונס ומבטיח להשמיד את כולם.</v>
      </c>
      <c r="G154" s="3" t="s">
        <v>1087</v>
      </c>
      <c r="H154" s="2"/>
      <c r="I154" s="2"/>
      <c r="J154" s="3" t="s">
        <v>393</v>
      </c>
      <c r="K154" s="3" t="s">
        <v>453</v>
      </c>
      <c r="L154" s="3" t="str">
        <f>VLOOKUP($A154,Hebrew!$A:$S,9,0)</f>
        <v>Younis Tirawi (@ytirawi)</v>
      </c>
      <c r="M154" s="2"/>
      <c r="N154" s="3" t="s">
        <v>1088</v>
      </c>
      <c r="O154" s="3" t="s">
        <v>39</v>
      </c>
      <c r="P154" s="3" t="s">
        <v>395</v>
      </c>
      <c r="Q154" s="3" t="str">
        <f>VLOOKUP($A154,Hebrew!$A:$S,13,0)</f>
        <v>חאן יונס</v>
      </c>
      <c r="R154" s="3" t="s">
        <v>396</v>
      </c>
      <c r="S154" s="3" t="s">
        <v>982</v>
      </c>
      <c r="T154" s="3" t="s">
        <v>1089</v>
      </c>
      <c r="U154" s="3" t="s">
        <v>43</v>
      </c>
      <c r="V154" s="3" t="s">
        <v>1090</v>
      </c>
      <c r="W154" s="2"/>
      <c r="X154" s="2"/>
      <c r="Y154" s="2"/>
    </row>
    <row r="155" spans="1:25" x14ac:dyDescent="0.2">
      <c r="A155" s="3">
        <v>552</v>
      </c>
      <c r="B155" s="4" t="s">
        <v>1091</v>
      </c>
      <c r="C155" s="3" t="s">
        <v>1092</v>
      </c>
      <c r="D155" s="3" t="str">
        <f>VLOOKUP(A155,Hebrew!A:C,3,0)</f>
        <v>חיילי צה"ל צוחקים על שריפת עזה</v>
      </c>
      <c r="E155" s="3" t="s">
        <v>1093</v>
      </c>
      <c r="F155" s="3" t="str">
        <f>VLOOKUP($A155,Hebrew!$A:$S,4,0)</f>
        <v>וידאו ברשתות החברתיות של שני חיילי צה"ל. אחד מדליק סיגריה והשני שואל אותו למה הוא עושה את זה, כשכבר שרף את כל עזה. הראשון עונה שלפעמים פשוט צריך לעשן.</v>
      </c>
      <c r="G155" s="3" t="s">
        <v>657</v>
      </c>
      <c r="H155" s="2"/>
      <c r="I155" s="2"/>
      <c r="J155" s="3" t="s">
        <v>393</v>
      </c>
      <c r="K155" s="3" t="s">
        <v>453</v>
      </c>
      <c r="L155" s="3" t="str">
        <f>VLOOKUP($A155,Hebrew!$A:$S,9,0)</f>
        <v>Younis Tirawi (@ytirawi)</v>
      </c>
      <c r="M155" s="2"/>
      <c r="N155" s="2"/>
      <c r="O155" s="3" t="s">
        <v>39</v>
      </c>
      <c r="P155" s="3" t="s">
        <v>811</v>
      </c>
      <c r="Q155" s="3" t="str">
        <f>VLOOKUP($A155,Hebrew!$A:$S,13,0)</f>
        <v>רצועת עזה</v>
      </c>
      <c r="R155" s="3" t="s">
        <v>396</v>
      </c>
      <c r="S155" s="3" t="s">
        <v>982</v>
      </c>
      <c r="T155" s="3" t="s">
        <v>1094</v>
      </c>
      <c r="U155" s="3" t="s">
        <v>43</v>
      </c>
      <c r="V155" s="3" t="s">
        <v>1083</v>
      </c>
      <c r="W155" s="2"/>
      <c r="X155" s="2"/>
      <c r="Y155" s="2"/>
    </row>
    <row r="156" spans="1:25" x14ac:dyDescent="0.2">
      <c r="A156" s="3">
        <v>553</v>
      </c>
      <c r="B156" s="4" t="s">
        <v>1095</v>
      </c>
      <c r="C156" s="3" t="s">
        <v>1096</v>
      </c>
      <c r="D156" s="3" t="str">
        <f>VLOOKUP(A156,Hebrew!A:C,3,0)</f>
        <v>חיילי צה"ל קוראים קריאות עידוד בזמן שהם מפוצצים בניינים בחאן יונס</v>
      </c>
      <c r="E156" s="3" t="s">
        <v>1097</v>
      </c>
      <c r="F156" s="3" t="str">
        <f>VLOOKUP($A156,Hebrew!$A:$S,4,0)</f>
        <v>וידאו ברשתות החברתיות של חיילי צה"ל קוראים קריאות עידוד בזמן שהם מפוצצים 400 מוקשים בחאן יונס</v>
      </c>
      <c r="G156" s="3" t="s">
        <v>1098</v>
      </c>
      <c r="H156" s="2"/>
      <c r="I156" s="2"/>
      <c r="J156" s="3" t="s">
        <v>393</v>
      </c>
      <c r="K156" s="3" t="s">
        <v>453</v>
      </c>
      <c r="L156" s="3" t="str">
        <f>VLOOKUP($A156,Hebrew!$A:$S,9,0)</f>
        <v>Younis Tirawi (@ytirawi)</v>
      </c>
      <c r="M156" s="2"/>
      <c r="N156" s="2"/>
      <c r="O156" s="3" t="s">
        <v>39</v>
      </c>
      <c r="P156" s="3" t="s">
        <v>395</v>
      </c>
      <c r="Q156" s="3" t="str">
        <f>VLOOKUP($A156,Hebrew!$A:$S,13,0)</f>
        <v>חאן יונס</v>
      </c>
      <c r="R156" s="3" t="s">
        <v>396</v>
      </c>
      <c r="S156" s="3" t="s">
        <v>982</v>
      </c>
      <c r="T156" s="3" t="s">
        <v>1099</v>
      </c>
      <c r="U156" s="3" t="s">
        <v>43</v>
      </c>
      <c r="V156" s="3" t="s">
        <v>395</v>
      </c>
      <c r="W156" s="2"/>
      <c r="X156" s="2"/>
      <c r="Y156" s="2"/>
    </row>
    <row r="157" spans="1:25" x14ac:dyDescent="0.2">
      <c r="A157" s="3">
        <v>554</v>
      </c>
      <c r="B157" s="4" t="s">
        <v>1100</v>
      </c>
      <c r="C157" s="3" t="s">
        <v>1101</v>
      </c>
      <c r="D157" s="3" t="str">
        <f>VLOOKUP(A157,Hebrew!A:C,3,0)</f>
        <v>חיילי צה"ל מפרסמים קליפים ברשתות החברתיות מעזה</v>
      </c>
      <c r="E157" s="3" t="s">
        <v>1102</v>
      </c>
      <c r="F157" s="3" t="str">
        <f>VLOOKUP($A157,Hebrew!$A:$S,4,0)</f>
        <v>שני סרטוני מדיה חברתית שבהם חיילי צה"ל מעודדים את ההרס סביבם.</v>
      </c>
      <c r="G157" s="3" t="s">
        <v>1098</v>
      </c>
      <c r="H157" s="2"/>
      <c r="I157" s="2"/>
      <c r="J157" s="3" t="s">
        <v>393</v>
      </c>
      <c r="K157" s="3" t="s">
        <v>453</v>
      </c>
      <c r="L157" s="3" t="str">
        <f>VLOOKUP($A157,Hebrew!$A:$S,9,0)</f>
        <v>Younis Tirawi (@ytirawi)</v>
      </c>
      <c r="M157" s="2"/>
      <c r="N157" s="3" t="s">
        <v>1103</v>
      </c>
      <c r="O157" s="3" t="s">
        <v>39</v>
      </c>
      <c r="P157" s="3" t="s">
        <v>811</v>
      </c>
      <c r="Q157" s="3" t="str">
        <f>VLOOKUP($A157,Hebrew!$A:$S,13,0)</f>
        <v>רצועת עזה</v>
      </c>
      <c r="R157" s="3" t="s">
        <v>396</v>
      </c>
      <c r="S157" s="3" t="s">
        <v>982</v>
      </c>
      <c r="T157" s="3" t="s">
        <v>1104</v>
      </c>
      <c r="U157" s="3" t="s">
        <v>43</v>
      </c>
      <c r="V157" s="3" t="s">
        <v>27</v>
      </c>
      <c r="W157" s="2"/>
      <c r="X157" s="2"/>
      <c r="Y157" s="2"/>
    </row>
    <row r="158" spans="1:25" x14ac:dyDescent="0.2">
      <c r="A158" s="3">
        <v>555</v>
      </c>
      <c r="B158" s="4" t="s">
        <v>1105</v>
      </c>
      <c r="C158" s="3" t="s">
        <v>1106</v>
      </c>
      <c r="D158" s="3" t="str">
        <f>VLOOKUP(A158,Hebrew!A:C,3,0)</f>
        <v>חיילי צה"ל מפרסמים ברשתות החברתיות</v>
      </c>
      <c r="E158" s="3" t="s">
        <v>1107</v>
      </c>
      <c r="F158" s="3" t="str">
        <f>VLOOKUP($A158,Hebrew!$A:$S,4,0)</f>
        <v>שלושה סרטוני מדיה חברתית. שניים מהם מציגים חיילי צה"ל הורסים בתים. בסרטון השלישי, חייל מנסה לאזן אופנוע על עמוד של בית הרוס.</v>
      </c>
      <c r="G158" s="3" t="s">
        <v>833</v>
      </c>
      <c r="H158" s="2"/>
      <c r="I158" s="2"/>
      <c r="J158" s="3" t="s">
        <v>393</v>
      </c>
      <c r="K158" s="3" t="s">
        <v>453</v>
      </c>
      <c r="L158" s="3" t="str">
        <f>VLOOKUP($A158,Hebrew!$A:$S,9,0)</f>
        <v>Younis Tirawi (@ytirawi)</v>
      </c>
      <c r="M158" s="2"/>
      <c r="N158" s="3" t="s">
        <v>1108</v>
      </c>
      <c r="O158" s="3" t="s">
        <v>39</v>
      </c>
      <c r="P158" s="3" t="s">
        <v>811</v>
      </c>
      <c r="Q158" s="3" t="str">
        <f>VLOOKUP($A158,Hebrew!$A:$S,13,0)</f>
        <v>רצועת עזה</v>
      </c>
      <c r="R158" s="3" t="s">
        <v>396</v>
      </c>
      <c r="S158" s="3" t="s">
        <v>982</v>
      </c>
      <c r="T158" s="3" t="s">
        <v>1077</v>
      </c>
      <c r="U158" s="3" t="s">
        <v>43</v>
      </c>
      <c r="V158" s="3" t="s">
        <v>1109</v>
      </c>
      <c r="W158" s="2"/>
      <c r="X158" s="2"/>
      <c r="Y158" s="2"/>
    </row>
    <row r="159" spans="1:25" x14ac:dyDescent="0.2">
      <c r="A159" s="3">
        <v>556</v>
      </c>
      <c r="B159" s="4" t="s">
        <v>1110</v>
      </c>
      <c r="C159" s="3" t="s">
        <v>1111</v>
      </c>
      <c r="D159" s="3" t="str">
        <f>VLOOKUP(A159,Hebrew!A:C,3,0)</f>
        <v>חיילי צה"ל יורים טילים על בתים אקראיים</v>
      </c>
      <c r="E159" s="3" t="s">
        <v>1112</v>
      </c>
      <c r="F159" s="3" t="str">
        <f>VLOOKUP($A159,Hebrew!$A:$S,4,0)</f>
        <v>וידאו ברשתות החברתיות עם קטעים מחיי חייל בעזה. מכיל כתובת על הקיר שאומרת "הפיצוץ הבא מוקדש לערכי צה"ל", ומיד לאחר מכן- ירי טיל על בית.</v>
      </c>
      <c r="G159" s="3" t="s">
        <v>1113</v>
      </c>
      <c r="H159" s="2"/>
      <c r="I159" s="2"/>
      <c r="J159" s="3" t="s">
        <v>393</v>
      </c>
      <c r="K159" s="3" t="s">
        <v>453</v>
      </c>
      <c r="L159" s="3" t="str">
        <f>VLOOKUP($A159,Hebrew!$A:$S,9,0)</f>
        <v>Younis Tirawi (@ytirawi)</v>
      </c>
      <c r="M159" s="2"/>
      <c r="N159" s="3" t="s">
        <v>1114</v>
      </c>
      <c r="O159" s="3" t="s">
        <v>39</v>
      </c>
      <c r="P159" s="3" t="s">
        <v>811</v>
      </c>
      <c r="Q159" s="3" t="str">
        <f>VLOOKUP($A159,Hebrew!$A:$S,13,0)</f>
        <v>רצועת עזה</v>
      </c>
      <c r="R159" s="3" t="s">
        <v>396</v>
      </c>
      <c r="S159" s="3" t="s">
        <v>982</v>
      </c>
      <c r="T159" s="3" t="s">
        <v>1115</v>
      </c>
      <c r="U159" s="3" t="s">
        <v>43</v>
      </c>
      <c r="V159" s="3" t="s">
        <v>27</v>
      </c>
      <c r="W159" s="2"/>
      <c r="X159" s="2"/>
      <c r="Y159" s="2"/>
    </row>
    <row r="160" spans="1:25" x14ac:dyDescent="0.2">
      <c r="A160" s="3">
        <v>557</v>
      </c>
      <c r="B160" s="4" t="s">
        <v>1116</v>
      </c>
      <c r="C160" s="3" t="s">
        <v>1117</v>
      </c>
      <c r="D160" s="3" t="str">
        <f>VLOOKUP(A160,Hebrew!A:C,3,0)</f>
        <v>תמונת חייל צה"ל עם אסירים מעזה</v>
      </c>
      <c r="E160" s="3" t="s">
        <v>1118</v>
      </c>
      <c r="F160" s="3" t="str">
        <f>VLOOKUP($A160,Hebrew!$A:$S,4,0)</f>
        <v>תמונה של קבוצה ובה כמה עשרות עזתים לבושים בחליפות לבנות, עם כיסוי עיניים וכפות ידיים קשורות.</v>
      </c>
      <c r="G160" s="3" t="s">
        <v>467</v>
      </c>
      <c r="H160" s="2"/>
      <c r="I160" s="2"/>
      <c r="J160" s="3" t="s">
        <v>393</v>
      </c>
      <c r="K160" s="3" t="s">
        <v>453</v>
      </c>
      <c r="L160" s="3" t="str">
        <f>VLOOKUP($A160,Hebrew!$A:$S,9,0)</f>
        <v>Younis Tirawi (@ytirawi)</v>
      </c>
      <c r="M160" s="2"/>
      <c r="N160" s="2"/>
      <c r="O160" s="3" t="s">
        <v>26</v>
      </c>
      <c r="P160" s="3" t="s">
        <v>395</v>
      </c>
      <c r="Q160" s="3" t="str">
        <f>VLOOKUP($A160,Hebrew!$A:$S,13,0)</f>
        <v>חאן יונס</v>
      </c>
      <c r="R160" s="3" t="s">
        <v>396</v>
      </c>
      <c r="S160" s="3" t="s">
        <v>700</v>
      </c>
      <c r="T160" s="3" t="s">
        <v>1119</v>
      </c>
      <c r="U160" s="3" t="s">
        <v>43</v>
      </c>
      <c r="V160" s="3" t="s">
        <v>1109</v>
      </c>
      <c r="W160" s="2"/>
      <c r="X160" s="2"/>
      <c r="Y160" s="2"/>
    </row>
    <row r="161" spans="1:25" x14ac:dyDescent="0.2">
      <c r="A161" s="3">
        <v>558</v>
      </c>
      <c r="B161" s="4" t="s">
        <v>1120</v>
      </c>
      <c r="C161" s="3" t="s">
        <v>1121</v>
      </c>
      <c r="D161" s="3" t="str">
        <f>VLOOKUP(A161,Hebrew!A:C,3,0)</f>
        <v>חייל צה"ל יורה טיל על בית</v>
      </c>
      <c r="E161" s="3" t="s">
        <v>1122</v>
      </c>
      <c r="F161" s="3" t="str">
        <f>VLOOKUP($A161,Hebrew!$A:$S,4,0)</f>
        <v>סרטון ברשתות החברתיות מציג חייל יורה טיל לעבר בית. לא נראה שמתנהל קרב.</v>
      </c>
      <c r="G161" s="3" t="s">
        <v>908</v>
      </c>
      <c r="H161" s="2"/>
      <c r="I161" s="2"/>
      <c r="J161" s="3" t="s">
        <v>393</v>
      </c>
      <c r="K161" s="3" t="s">
        <v>453</v>
      </c>
      <c r="L161" s="3" t="str">
        <f>VLOOKUP($A161,Hebrew!$A:$S,9,0)</f>
        <v>Younis Tirawi (@ytirawi)</v>
      </c>
      <c r="M161" s="2"/>
      <c r="N161" s="2"/>
      <c r="O161" s="3" t="s">
        <v>26</v>
      </c>
      <c r="P161" s="3" t="s">
        <v>811</v>
      </c>
      <c r="Q161" s="3" t="str">
        <f>VLOOKUP($A161,Hebrew!$A:$S,13,0)</f>
        <v>רצועת עזה</v>
      </c>
      <c r="R161" s="3" t="s">
        <v>396</v>
      </c>
      <c r="S161" s="3" t="s">
        <v>982</v>
      </c>
      <c r="T161" s="3" t="s">
        <v>1123</v>
      </c>
      <c r="U161" s="3" t="s">
        <v>43</v>
      </c>
      <c r="V161" s="3" t="s">
        <v>27</v>
      </c>
      <c r="W161" s="2"/>
      <c r="X161" s="2"/>
      <c r="Y161" s="2"/>
    </row>
    <row r="162" spans="1:25" x14ac:dyDescent="0.2">
      <c r="A162" s="3">
        <v>559</v>
      </c>
      <c r="B162" s="4" t="s">
        <v>1124</v>
      </c>
      <c r="C162" s="3" t="s">
        <v>1125</v>
      </c>
      <c r="D162" s="3" t="str">
        <f>VLOOKUP(A162,Hebrew!A:C,3,0)</f>
        <v>חיילי צה"ל תופסים בית בעזה וצוחקים על כך</v>
      </c>
      <c r="E162" s="3" t="s">
        <v>1126</v>
      </c>
      <c r="F162" s="3" t="str">
        <f>VLOOKUP($A162,Hebrew!$A:$S,4,0)</f>
        <v>וידאו ברשתות החברתיות של סלבריטי האינטרנט הישראלי, אלכס שולץ, בתוך עזה, מתבדח על בית הרוס.</v>
      </c>
      <c r="G162" s="3" t="s">
        <v>1127</v>
      </c>
      <c r="H162" s="2"/>
      <c r="I162" s="2"/>
      <c r="J162" s="3" t="s">
        <v>393</v>
      </c>
      <c r="K162" s="3" t="s">
        <v>453</v>
      </c>
      <c r="L162" s="3" t="str">
        <f>VLOOKUP($A162,Hebrew!$A:$S,9,0)</f>
        <v>Younis Tirawi (@ytirawi)</v>
      </c>
      <c r="M162" s="2"/>
      <c r="N162" s="2"/>
      <c r="O162" s="3" t="s">
        <v>493</v>
      </c>
      <c r="P162" s="3" t="s">
        <v>811</v>
      </c>
      <c r="Q162" s="3" t="str">
        <f>VLOOKUP($A162,Hebrew!$A:$S,13,0)</f>
        <v>רצועת עזה</v>
      </c>
      <c r="R162" s="3" t="s">
        <v>396</v>
      </c>
      <c r="S162" s="3" t="s">
        <v>982</v>
      </c>
      <c r="T162" s="3" t="s">
        <v>1077</v>
      </c>
      <c r="U162" s="3" t="s">
        <v>43</v>
      </c>
      <c r="V162" s="3" t="s">
        <v>27</v>
      </c>
      <c r="W162" s="2"/>
      <c r="X162" s="2"/>
      <c r="Y162" s="2"/>
    </row>
    <row r="163" spans="1:25" x14ac:dyDescent="0.2">
      <c r="A163" s="3">
        <v>560</v>
      </c>
      <c r="B163" s="4" t="s">
        <v>1128</v>
      </c>
      <c r="C163" s="3" t="s">
        <v>1129</v>
      </c>
      <c r="D163" s="3" t="str">
        <f>VLOOKUP(A163,Hebrew!A:C,3,0)</f>
        <v>חיילי צה"ל לועגים לבית חולים הרוס</v>
      </c>
      <c r="E163" s="3" t="s">
        <v>1130</v>
      </c>
      <c r="F163" s="3" t="str">
        <f>VLOOKUP($A163,Hebrew!$A:$S,4,0)</f>
        <v>וידאו ברשתות החברתיות של חיילים שמתבדחים על בית החולים השיקומי 'חאמד' המופצץ בעזה.</v>
      </c>
      <c r="G163" s="3" t="s">
        <v>1127</v>
      </c>
      <c r="H163" s="2"/>
      <c r="I163" s="2"/>
      <c r="J163" s="3" t="s">
        <v>393</v>
      </c>
      <c r="K163" s="3" t="s">
        <v>453</v>
      </c>
      <c r="L163" s="3" t="str">
        <f>VLOOKUP($A163,Hebrew!$A:$S,9,0)</f>
        <v>Younis Tirawi (@ytirawi)</v>
      </c>
      <c r="M163" s="2"/>
      <c r="N163" s="2"/>
      <c r="O163" s="3" t="s">
        <v>426</v>
      </c>
      <c r="P163" s="3" t="s">
        <v>1131</v>
      </c>
      <c r="Q163" s="3" t="str">
        <f>VLOOKUP($A163,Hebrew!$A:$S,13,0)</f>
        <v>בית החולים ע"ש שייח' חמד לשיקום ותותבות, עזה</v>
      </c>
      <c r="R163" s="3" t="s">
        <v>396</v>
      </c>
      <c r="S163" s="3" t="s">
        <v>982</v>
      </c>
      <c r="T163" s="3" t="s">
        <v>1132</v>
      </c>
      <c r="U163" s="3" t="s">
        <v>43</v>
      </c>
      <c r="V163" s="3" t="s">
        <v>71</v>
      </c>
      <c r="W163" s="2"/>
      <c r="X163" s="2"/>
      <c r="Y163" s="2"/>
    </row>
    <row r="164" spans="1:25" x14ac:dyDescent="0.2">
      <c r="A164" s="3">
        <v>561</v>
      </c>
      <c r="B164" s="4" t="s">
        <v>1133</v>
      </c>
      <c r="C164" s="3" t="s">
        <v>1134</v>
      </c>
      <c r="D164" s="3" t="str">
        <f>VLOOKUP(A164,Hebrew!A:C,3,0)</f>
        <v>חיילי צה"ל משליכים אוכל על בניין בעזה</v>
      </c>
      <c r="E164" s="3" t="s">
        <v>1135</v>
      </c>
      <c r="F164" s="3" t="str">
        <f>VLOOKUP($A164,Hebrew!$A:$S,4,0)</f>
        <v>וידאו ברשתות החברתיות של חיילים זורקים אוכל בשביל הכיף, בזמן שסיוע הומניטרי לעזה נחסם.</v>
      </c>
      <c r="G164" s="3" t="s">
        <v>1127</v>
      </c>
      <c r="H164" s="2"/>
      <c r="I164" s="2"/>
      <c r="J164" s="3" t="s">
        <v>393</v>
      </c>
      <c r="K164" s="3" t="s">
        <v>453</v>
      </c>
      <c r="L164" s="3" t="str">
        <f>VLOOKUP($A164,Hebrew!$A:$S,9,0)</f>
        <v>Younis Tirawi (@ytirawi)</v>
      </c>
      <c r="M164" s="2"/>
      <c r="N164" s="2"/>
      <c r="O164" s="3" t="s">
        <v>26</v>
      </c>
      <c r="P164" s="3" t="s">
        <v>27</v>
      </c>
      <c r="Q164" s="3" t="str">
        <f>VLOOKUP($A164,Hebrew!$A:$S,13,0)</f>
        <v>רצועת עזה</v>
      </c>
      <c r="R164" s="3" t="s">
        <v>396</v>
      </c>
      <c r="S164" s="3" t="s">
        <v>982</v>
      </c>
      <c r="T164" s="3" t="s">
        <v>1136</v>
      </c>
      <c r="U164" s="3" t="s">
        <v>43</v>
      </c>
      <c r="V164" s="3" t="s">
        <v>27</v>
      </c>
      <c r="W164" s="2"/>
      <c r="X164" s="2"/>
      <c r="Y164" s="2"/>
    </row>
    <row r="165" spans="1:25" x14ac:dyDescent="0.2">
      <c r="A165" s="3">
        <v>562</v>
      </c>
      <c r="B165" s="4" t="s">
        <v>1137</v>
      </c>
      <c r="C165" s="3" t="s">
        <v>1138</v>
      </c>
      <c r="D165" s="3" t="str">
        <f>VLOOKUP(A165,Hebrew!A:C,3,0)</f>
        <v>חיילי צה"ל מתבדחים בתוך בית ספר הרוס</v>
      </c>
      <c r="E165" s="3" t="s">
        <v>1139</v>
      </c>
      <c r="F165" s="3" t="str">
        <f>VLOOKUP($A165,Hebrew!$A:$S,4,0)</f>
        <v>וידאו ברשתות החברתיות של חייל בתוך בית ספר הרוס, לועג לתושבי עזה, מעמיד פנים שהוא מנהל בית הספר.</v>
      </c>
      <c r="G165" s="3" t="s">
        <v>1140</v>
      </c>
      <c r="H165" s="2"/>
      <c r="I165" s="2"/>
      <c r="J165" s="3" t="s">
        <v>393</v>
      </c>
      <c r="K165" s="3" t="s">
        <v>453</v>
      </c>
      <c r="L165" s="3" t="str">
        <f>VLOOKUP($A165,Hebrew!$A:$S,9,0)</f>
        <v>Younis Tirawi (@ytirawi)</v>
      </c>
      <c r="M165" s="2"/>
      <c r="N165" s="2"/>
      <c r="O165" s="3" t="s">
        <v>39</v>
      </c>
      <c r="P165" s="3" t="s">
        <v>395</v>
      </c>
      <c r="Q165" s="3" t="str">
        <f>VLOOKUP($A165,Hebrew!$A:$S,13,0)</f>
        <v>חאן יונס</v>
      </c>
      <c r="R165" s="3" t="s">
        <v>396</v>
      </c>
      <c r="S165" s="3" t="s">
        <v>982</v>
      </c>
      <c r="T165" s="3" t="s">
        <v>1141</v>
      </c>
      <c r="U165" s="3" t="s">
        <v>43</v>
      </c>
      <c r="V165" s="3" t="s">
        <v>1109</v>
      </c>
      <c r="W165" s="2"/>
      <c r="X165" s="2"/>
      <c r="Y165" s="2"/>
    </row>
    <row r="166" spans="1:25" x14ac:dyDescent="0.2">
      <c r="A166" s="3">
        <v>564</v>
      </c>
      <c r="B166" s="4" t="s">
        <v>1142</v>
      </c>
      <c r="C166" s="3" t="s">
        <v>1143</v>
      </c>
      <c r="D166" s="3" t="str">
        <f>VLOOKUP(A166,Hebrew!A:C,3,0)</f>
        <v>חיילי צה"ל משפילים שלושה עזתים מכוסי עיניים</v>
      </c>
      <c r="E166" s="3" t="s">
        <v>1144</v>
      </c>
      <c r="F166" s="3" t="str">
        <f>VLOOKUP($A166,Hebrew!$A:$S,4,0)</f>
        <v>וידאו ברשתות החברתיות של קציני צה"ל מכריחים שלושה עזתים קשורים ומכוסי עיניים, לשיר שיר שמזלזל בהם.</v>
      </c>
      <c r="G166" s="3" t="s">
        <v>1145</v>
      </c>
      <c r="H166" s="2"/>
      <c r="I166" s="2"/>
      <c r="J166" s="3" t="s">
        <v>393</v>
      </c>
      <c r="K166" s="3" t="s">
        <v>453</v>
      </c>
      <c r="L166" s="3" t="str">
        <f>VLOOKUP($A166,Hebrew!$A:$S,9,0)</f>
        <v>Younis Tirawi (@ytirawi)</v>
      </c>
      <c r="M166" s="2"/>
      <c r="N166" s="2"/>
      <c r="O166" s="3" t="s">
        <v>39</v>
      </c>
      <c r="P166" s="3" t="s">
        <v>811</v>
      </c>
      <c r="Q166" s="3" t="str">
        <f>VLOOKUP($A166,Hebrew!$A:$S,13,0)</f>
        <v>רצועת עזה</v>
      </c>
      <c r="R166" s="3" t="s">
        <v>396</v>
      </c>
      <c r="S166" s="3" t="s">
        <v>982</v>
      </c>
      <c r="T166" s="3" t="s">
        <v>1146</v>
      </c>
      <c r="U166" s="3" t="s">
        <v>43</v>
      </c>
      <c r="V166" s="3" t="s">
        <v>27</v>
      </c>
      <c r="W166" s="2"/>
      <c r="X166" s="2"/>
      <c r="Y166" s="2"/>
    </row>
    <row r="167" spans="1:25" x14ac:dyDescent="0.2">
      <c r="A167" s="3">
        <v>565</v>
      </c>
      <c r="B167" s="4" t="s">
        <v>1147</v>
      </c>
      <c r="C167" s="3" t="s">
        <v>1148</v>
      </c>
      <c r="D167" s="3" t="str">
        <f>VLOOKUP(A167,Hebrew!A:C,3,0)</f>
        <v>חיילי צה"ל יורים טיל על בית אקראי</v>
      </c>
      <c r="E167" s="3" t="s">
        <v>1149</v>
      </c>
      <c r="F167" s="3" t="str">
        <f>VLOOKUP($A167,Hebrew!$A:$S,4,0)</f>
        <v>וידאו בטיקטוק של חיילי צה"ל יורים טיל על בית אקראי, ככל הנראה כדי להשתעשע</v>
      </c>
      <c r="G167" s="3" t="s">
        <v>1150</v>
      </c>
      <c r="H167" s="2"/>
      <c r="I167" s="2"/>
      <c r="J167" s="3" t="s">
        <v>393</v>
      </c>
      <c r="K167" s="3" t="s">
        <v>453</v>
      </c>
      <c r="L167" s="3" t="str">
        <f>VLOOKUP($A167,Hebrew!$A:$S,9,0)</f>
        <v>Younis Tirawi (@ytirawi)</v>
      </c>
      <c r="M167" s="2"/>
      <c r="N167" s="2"/>
      <c r="O167" s="3" t="s">
        <v>26</v>
      </c>
      <c r="P167" s="3" t="s">
        <v>395</v>
      </c>
      <c r="Q167" s="3" t="str">
        <f>VLOOKUP($A167,Hebrew!$A:$S,13,0)</f>
        <v>חאן יונס</v>
      </c>
      <c r="R167" s="3" t="s">
        <v>396</v>
      </c>
      <c r="S167" s="3" t="s">
        <v>982</v>
      </c>
      <c r="T167" s="3" t="s">
        <v>1151</v>
      </c>
      <c r="U167" s="3" t="s">
        <v>43</v>
      </c>
      <c r="V167" s="3" t="s">
        <v>1109</v>
      </c>
      <c r="W167" s="2"/>
      <c r="X167" s="2"/>
      <c r="Y167" s="2"/>
    </row>
    <row r="168" spans="1:25" x14ac:dyDescent="0.2">
      <c r="A168" s="3">
        <v>1021</v>
      </c>
      <c r="B168" s="4" t="s">
        <v>1152</v>
      </c>
      <c r="C168" s="3" t="s">
        <v>1153</v>
      </c>
      <c r="D168" s="3" t="str">
        <f>VLOOKUP(A168,Hebrew!A:C,3,0)</f>
        <v>בקי אנדרסון מ-CNN על מדיניות "כיסוח הדשא" של ישראל</v>
      </c>
      <c r="E168" s="3" t="s">
        <v>1154</v>
      </c>
      <c r="F168" s="3" t="str">
        <f>VLOOKUP($A168,Hebrew!$A:$S,4,0)</f>
        <v>בקי אנדרסון מ-CNN מתארת ששמעה מספר גורמים רשמיים ישראלים במהלך 25 שנות כהונתה תומכים במדיניות "כיסוח הדשא" של ישראל כלפי הפלסטינים בשטחים הכבושים - אסטרטגיה שהיא אומרת שיש לה השפעה רבה על הגישה הצבאית של ישראל, ולעיתים קרובות משמשת לתיאור הפעולות שלה שם, תוך ציטוט הצהרות של שר הביטחון דאז יואב גלנט, ראש הממשלה לשעבר נפתלי בנט, ופרופסורים מאוניברסיטת בר-אילן אפרים ענבר (נשיא המכון ירושלים לאסטרטגיה וביטחון) ואיתן שמיר (ראש מרכז בגין-סאדאת ללימודים אסטרטגיים).</v>
      </c>
      <c r="G168" s="3" t="s">
        <v>1155</v>
      </c>
      <c r="H168" s="2"/>
      <c r="I168" s="2"/>
      <c r="J168" s="3" t="s">
        <v>393</v>
      </c>
      <c r="K168" s="3" t="s">
        <v>1156</v>
      </c>
      <c r="L168" s="3" t="str">
        <f>VLOOKUP($A168,Hebrew!$A:$S,9,0)</f>
        <v>Becky Anderson (@BeckyCNN)</v>
      </c>
      <c r="M168" s="2"/>
      <c r="N168" s="4" t="s">
        <v>1157</v>
      </c>
      <c r="O168" s="3" t="s">
        <v>26</v>
      </c>
      <c r="P168" s="3" t="s">
        <v>60</v>
      </c>
      <c r="Q168" s="3" t="str">
        <f>VLOOKUP($A168,Hebrew!$A:$S,13,0)</f>
        <v>ישראל</v>
      </c>
      <c r="R168" s="3" t="s">
        <v>396</v>
      </c>
      <c r="S168" s="3" t="s">
        <v>405</v>
      </c>
      <c r="T168" s="3" t="s">
        <v>1158</v>
      </c>
      <c r="U168" s="3" t="s">
        <v>1159</v>
      </c>
      <c r="V168" s="3" t="s">
        <v>60</v>
      </c>
      <c r="W168" s="3" t="s">
        <v>1160</v>
      </c>
      <c r="X168" s="2"/>
      <c r="Y168" s="2"/>
    </row>
    <row r="169" spans="1:25" x14ac:dyDescent="0.2">
      <c r="A169" s="3">
        <v>2114</v>
      </c>
      <c r="B169" s="6" t="s">
        <v>1161</v>
      </c>
      <c r="C169" s="3" t="s">
        <v>1162</v>
      </c>
      <c r="D169" s="3" t="str">
        <f>VLOOKUP(A169,Hebrew!A:C,3,0)</f>
        <v>מעצר המוני של פלסטינים על ידי צה"ל</v>
      </c>
      <c r="E169" s="3" t="s">
        <v>1163</v>
      </c>
      <c r="F169" s="3" t="str">
        <f>VLOOKUP($A169,Hebrew!$A:$S,4,0)</f>
        <v>גיאולוקציה #100: עצורים פלסטינים הופשטו במזג אוויר קר והועמסו על משאיות בבית החולים כמאל אדואן. גיאולוקציה: 31.539042, 34.500735</v>
      </c>
      <c r="G169" s="3" t="s">
        <v>216</v>
      </c>
      <c r="H169" s="3" t="s">
        <v>216</v>
      </c>
      <c r="I169" s="3" t="s">
        <v>216</v>
      </c>
      <c r="J169" s="3" t="s">
        <v>393</v>
      </c>
      <c r="K169" s="3" t="s">
        <v>1164</v>
      </c>
      <c r="L169" s="3" t="str">
        <f>VLOOKUP($A169,Hebrew!$A:$S,9,0)</f>
        <v>Abu Location (@AbuLocation)</v>
      </c>
      <c r="M169" s="2"/>
      <c r="N169" s="6" t="s">
        <v>1165</v>
      </c>
      <c r="O169" s="3" t="s">
        <v>26</v>
      </c>
      <c r="P169" s="3" t="s">
        <v>105</v>
      </c>
      <c r="Q169" s="3" t="str">
        <f>VLOOKUP($A169,Hebrew!$A:$S,13,0)</f>
        <v>בית לאהיא</v>
      </c>
      <c r="R169" s="3" t="s">
        <v>396</v>
      </c>
      <c r="S169" s="3" t="s">
        <v>397</v>
      </c>
      <c r="T169" s="3" t="s">
        <v>1166</v>
      </c>
      <c r="U169" s="3" t="s">
        <v>43</v>
      </c>
      <c r="V169" s="3" t="s">
        <v>613</v>
      </c>
      <c r="W169" s="2"/>
      <c r="X169" s="2"/>
      <c r="Y169" s="2"/>
    </row>
    <row r="170" spans="1:25" x14ac:dyDescent="0.2">
      <c r="A170" s="3">
        <v>2115</v>
      </c>
      <c r="B170" s="4" t="s">
        <v>1167</v>
      </c>
      <c r="C170" s="3" t="s">
        <v>1168</v>
      </c>
      <c r="D170" s="3" t="str">
        <f>VLOOKUP(A170,Hebrew!A:C,3,0)</f>
        <v>הריסות של שני בניינים שנהרסו בהפצצה.</v>
      </c>
      <c r="E170" s="3" t="s">
        <v>1169</v>
      </c>
      <c r="F170" s="3" t="str">
        <f>VLOOKUP($A170,Hebrew!$A:$S,4,0)</f>
        <v>גיאולוקציה #104: הריסות של 2 בניינים מול בית החולים כמאל אדואן בבת להיא. בהתקפה נהרגו לפחות 30 בני אדם. גיאולוקציה: 31.539042, 34.500735</v>
      </c>
      <c r="G170" s="3" t="s">
        <v>199</v>
      </c>
      <c r="H170" s="3" t="s">
        <v>650</v>
      </c>
      <c r="I170" s="3" t="s">
        <v>199</v>
      </c>
      <c r="J170" s="3" t="s">
        <v>393</v>
      </c>
      <c r="K170" s="3" t="s">
        <v>1164</v>
      </c>
      <c r="L170" s="3" t="str">
        <f>VLOOKUP($A170,Hebrew!$A:$S,9,0)</f>
        <v>Abu Location (@AbuLocation)</v>
      </c>
      <c r="M170" s="2"/>
      <c r="N170" s="6" t="s">
        <v>1170</v>
      </c>
      <c r="O170" s="3" t="s">
        <v>412</v>
      </c>
      <c r="P170" s="3" t="s">
        <v>105</v>
      </c>
      <c r="Q170" s="3" t="str">
        <f>VLOOKUP($A170,Hebrew!$A:$S,13,0)</f>
        <v>בית לאהיא</v>
      </c>
      <c r="R170" s="3" t="s">
        <v>396</v>
      </c>
      <c r="S170" s="3" t="s">
        <v>455</v>
      </c>
      <c r="T170" s="3" t="s">
        <v>1171</v>
      </c>
      <c r="U170" s="3" t="s">
        <v>43</v>
      </c>
      <c r="V170" s="3" t="s">
        <v>1172</v>
      </c>
      <c r="W170" s="2"/>
      <c r="X170" s="2"/>
      <c r="Y170" s="2"/>
    </row>
    <row r="171" spans="1:25" x14ac:dyDescent="0.2">
      <c r="A171" s="3">
        <v>2117</v>
      </c>
      <c r="B171" s="6" t="s">
        <v>1173</v>
      </c>
      <c r="C171" s="3" t="s">
        <v>1174</v>
      </c>
      <c r="D171" s="3" t="str">
        <f>VLOOKUP(A171,Hebrew!A:C,3,0)</f>
        <v>11 נהרגו בתקיפה על בית הספר אל חוריה, שכונת זיתון, עיר עזה</v>
      </c>
      <c r="E171" s="3" t="s">
        <v>1175</v>
      </c>
      <c r="F171" s="3" t="str">
        <f>VLOOKUP($A171,Hebrew!$A:$S,4,0)</f>
        <v>גיאולוקציה #109: מקלט לעקורים בבית הספר חוריה לבנים בשכונת זיתון שנפגע בהתקפה. 11 פלסטינים נהרגו, כולל ילדים. גיאולוקציה: 31.499273, 34.460322.</v>
      </c>
      <c r="G171" s="3" t="s">
        <v>1176</v>
      </c>
      <c r="H171" s="3" t="s">
        <v>1176</v>
      </c>
      <c r="I171" s="3" t="s">
        <v>1176</v>
      </c>
      <c r="J171" s="3" t="s">
        <v>393</v>
      </c>
      <c r="K171" s="3" t="s">
        <v>1164</v>
      </c>
      <c r="L171" s="3" t="str">
        <f>VLOOKUP($A171,Hebrew!$A:$S,9,0)</f>
        <v>Abu Location (@AbuLocation)</v>
      </c>
      <c r="M171" s="2"/>
      <c r="N171" s="6" t="s">
        <v>1177</v>
      </c>
      <c r="O171" s="3" t="s">
        <v>412</v>
      </c>
      <c r="P171" s="3" t="s">
        <v>1178</v>
      </c>
      <c r="Q171" s="3" t="str">
        <f>VLOOKUP($A171,Hebrew!$A:$S,13,0)</f>
        <v>שכונת זיתון, עיר עזה</v>
      </c>
      <c r="R171" s="3" t="s">
        <v>396</v>
      </c>
      <c r="S171" s="3" t="s">
        <v>397</v>
      </c>
      <c r="T171" s="3" t="s">
        <v>1179</v>
      </c>
      <c r="U171" s="3" t="s">
        <v>43</v>
      </c>
      <c r="V171" s="3" t="s">
        <v>1180</v>
      </c>
      <c r="W171" s="2"/>
      <c r="X171" s="2"/>
      <c r="Y171" s="2"/>
    </row>
    <row r="172" spans="1:25" x14ac:dyDescent="0.2">
      <c r="A172" s="3">
        <v>2118</v>
      </c>
      <c r="B172" s="4" t="s">
        <v>1181</v>
      </c>
      <c r="C172" s="3" t="s">
        <v>1182</v>
      </c>
      <c r="D172" s="3" t="str">
        <f>VLOOKUP(A172,Hebrew!A:C,3,0)</f>
        <v>התקפה חזקה ומזעזעת על מקלטים לעקורים בעיר עזה</v>
      </c>
      <c r="E172" s="3" t="s">
        <v>1183</v>
      </c>
      <c r="F172" s="3" t="str">
        <f>VLOOKUP($A172,Hebrew!$A:$S,4,0)</f>
        <v>גיאולוקציה #110: תקיפה חזקה ומזעזעת על מקלט לעקורים, שבה נהרגו לפחות 10 פלסטינים, רובם ילדים. בית ספר א-תבין, שכונת אל-דרג', עיר עזה. גיאולוקציה: 31.518553, 34.464248.</v>
      </c>
      <c r="G172" s="3" t="s">
        <v>1184</v>
      </c>
      <c r="H172" s="3" t="s">
        <v>1184</v>
      </c>
      <c r="I172" s="3" t="s">
        <v>1184</v>
      </c>
      <c r="J172" s="3" t="s">
        <v>393</v>
      </c>
      <c r="K172" s="3" t="s">
        <v>1164</v>
      </c>
      <c r="L172" s="3" t="str">
        <f>VLOOKUP($A172,Hebrew!$A:$S,9,0)</f>
        <v>Abu Location (@AbuLocation)</v>
      </c>
      <c r="M172" s="2"/>
      <c r="N172" s="6" t="s">
        <v>1185</v>
      </c>
      <c r="O172" s="3" t="s">
        <v>1011</v>
      </c>
      <c r="P172" s="3" t="s">
        <v>71</v>
      </c>
      <c r="Q172" s="3" t="str">
        <f>VLOOKUP($A172,Hebrew!$A:$S,13,0)</f>
        <v>עיר עזה</v>
      </c>
      <c r="R172" s="3" t="s">
        <v>396</v>
      </c>
      <c r="S172" s="3" t="s">
        <v>1186</v>
      </c>
      <c r="T172" s="3" t="s">
        <v>1187</v>
      </c>
      <c r="U172" s="3" t="s">
        <v>43</v>
      </c>
      <c r="V172" s="3" t="s">
        <v>71</v>
      </c>
      <c r="W172" s="2"/>
      <c r="X172" s="2"/>
      <c r="Y172" s="2"/>
    </row>
    <row r="173" spans="1:25" x14ac:dyDescent="0.2">
      <c r="A173" s="3">
        <v>9</v>
      </c>
      <c r="B173" s="4" t="s">
        <v>1188</v>
      </c>
      <c r="C173" s="3" t="s">
        <v>1189</v>
      </c>
      <c r="D173" s="3" t="str">
        <f>VLOOKUP(A173,Hebrew!A:C,3,0)</f>
        <v>לאחר ההערות שלה ביפן, נועה ארגמני מבהירה: "דברים הוצאו מהקשרם. אני לא אהיה קורבן גם של התקשורת."</v>
      </c>
      <c r="E173" s="3" t="s">
        <v>1190</v>
      </c>
      <c r="F173" s="3" t="str">
        <f>VLOOKUP($A173,Hebrew!$A:$S,4,0)</f>
        <v>נועה ארגמני, ששוחררה לאחר 246 ימים בשבי חמאס, מדברת על הסבל שעברה ומבקרת את התקשורת הישראלית על כך שעוותה את דבריה בנוגע לפציעות שסבלה בעקבות הפצצה של חיל האוויר הישראלי על המבנה שבו החזיקו אותה השובים שלה. התקשורת העברית תרגמה לא נכון את דבריה, וטענה שהיא דיווחה על כך שהשובים שלה הכו אותה וגזרו את שיערה.</v>
      </c>
      <c r="G173" s="3" t="s">
        <v>1191</v>
      </c>
      <c r="H173" s="3" t="s">
        <v>1192</v>
      </c>
      <c r="I173" s="3" t="s">
        <v>1192</v>
      </c>
      <c r="J173" s="3" t="s">
        <v>1193</v>
      </c>
      <c r="K173" s="3" t="s">
        <v>1193</v>
      </c>
      <c r="L173" s="3" t="str">
        <f>VLOOKUP($A173,Hebrew!$A:$S,9,0)</f>
        <v>מָאקוֹ</v>
      </c>
      <c r="M173" s="2"/>
      <c r="N173" s="2"/>
      <c r="O173" s="3" t="s">
        <v>39</v>
      </c>
      <c r="P173" s="2"/>
      <c r="Q173" s="3">
        <f>VLOOKUP($A173,Hebrew!$A:$S,13,0)</f>
        <v>0</v>
      </c>
      <c r="R173" s="3" t="s">
        <v>72</v>
      </c>
      <c r="S173" s="3" t="s">
        <v>397</v>
      </c>
      <c r="T173" s="3" t="s">
        <v>1194</v>
      </c>
      <c r="U173" s="2"/>
      <c r="V173" s="2"/>
      <c r="W173" s="2"/>
      <c r="X173" s="2"/>
      <c r="Y173" s="2"/>
    </row>
    <row r="174" spans="1:25" x14ac:dyDescent="0.2">
      <c r="A174" s="3">
        <v>2</v>
      </c>
      <c r="B174" s="4" t="s">
        <v>1195</v>
      </c>
      <c r="C174" s="3" t="s">
        <v>1196</v>
      </c>
      <c r="D174" s="3" t="str">
        <f>VLOOKUP(A174,Hebrew!A:C,3,0)</f>
        <v>הדמוגרפיה מדברת: הנוער של היום הרבה יותר ימני.</v>
      </c>
      <c r="E174" s="3" t="s">
        <v>1197</v>
      </c>
      <c r="F174" s="3" t="str">
        <f>VLOOKUP($A174,Hebrew!$A:$S,4,0)</f>
        <v>המאמר דן במגמות דמוגרפיות בקרב מצביעים צעירים בישראל, ומדגיש שינוי משמעותי לעבר העדפות פוליטיות ימניות בהשוואה לדורות הקודמים.</v>
      </c>
      <c r="G174" s="3" t="s">
        <v>1198</v>
      </c>
      <c r="H174" s="2"/>
      <c r="I174" s="2"/>
      <c r="J174" s="3" t="s">
        <v>1199</v>
      </c>
      <c r="K174" s="3" t="s">
        <v>1200</v>
      </c>
      <c r="L174" s="3" t="str">
        <f>VLOOKUP($A174,Hebrew!$A:$S,9,0)</f>
        <v>שחר אילן</v>
      </c>
      <c r="M174" s="2"/>
      <c r="N174" s="2"/>
      <c r="O174" s="3" t="s">
        <v>39</v>
      </c>
      <c r="P174" s="3" t="s">
        <v>60</v>
      </c>
      <c r="Q174" s="3" t="str">
        <f>VLOOKUP($A174,Hebrew!$A:$S,13,0)</f>
        <v>ישראל</v>
      </c>
      <c r="R174" s="3" t="s">
        <v>72</v>
      </c>
      <c r="S174" s="3" t="s">
        <v>29</v>
      </c>
      <c r="T174" s="3" t="s">
        <v>1201</v>
      </c>
      <c r="U174" s="3" t="s">
        <v>1202</v>
      </c>
      <c r="V174" s="3" t="s">
        <v>60</v>
      </c>
      <c r="W174" s="2"/>
      <c r="X174" s="2"/>
      <c r="Y174" s="2"/>
    </row>
    <row r="175" spans="1:25" x14ac:dyDescent="0.2">
      <c r="A175" s="3">
        <v>7</v>
      </c>
      <c r="B175" s="4" t="s">
        <v>1203</v>
      </c>
      <c r="C175" s="3" t="s">
        <v>1204</v>
      </c>
      <c r="D175" s="3" t="str">
        <f>VLOOKUP(A175,Hebrew!A:C,3,0)</f>
        <v>ספירת מעטפות כפולות: מרצ מתרחקת יותר מאחוז החסימה, מפלגת הציונות הדתית מתחזקת</v>
      </c>
      <c r="E175" s="3" t="s">
        <v>1205</v>
      </c>
      <c r="F175" s="3" t="str">
        <f>VLOOKUP($A175,Hebrew!$A:$S,4,0)</f>
        <v>ספירת המעטפות הכפולות, המיועדות לבוחרים המצביעים מחוץ לקלפיות המיועדות להם, נמשכת, כאשר מפלגתהשמאל מרצ בסיכון לא לעבור את אחוז החסימה לראשונה בהיסטוריה שלה. מפלגת הציונות הדתית, בראשות בצלאל סמוטריץ' ואיתמר בן גביר, מתחזקת בקרב קולות המעטפות הכפולות.</v>
      </c>
      <c r="G175" s="3" t="s">
        <v>1206</v>
      </c>
      <c r="H175" s="2"/>
      <c r="I175" s="2"/>
      <c r="J175" s="3" t="s">
        <v>258</v>
      </c>
      <c r="K175" s="3" t="s">
        <v>1207</v>
      </c>
      <c r="L175" s="3" t="str">
        <f>VLOOKUP($A175,Hebrew!$A:$S,9,0)</f>
        <v>ירון דרוקמן, מורן אזולאי</v>
      </c>
      <c r="M175" s="2"/>
      <c r="N175" s="2"/>
      <c r="O175" s="3" t="s">
        <v>39</v>
      </c>
      <c r="P175" s="3" t="s">
        <v>60</v>
      </c>
      <c r="Q175" s="3" t="str">
        <f>VLOOKUP($A175,Hebrew!$A:$S,13,0)</f>
        <v>ישראל</v>
      </c>
      <c r="R175" s="3" t="s">
        <v>72</v>
      </c>
      <c r="S175" s="3" t="s">
        <v>413</v>
      </c>
      <c r="T175" s="3" t="s">
        <v>1201</v>
      </c>
      <c r="U175" s="3" t="s">
        <v>253</v>
      </c>
      <c r="V175" s="3" t="s">
        <v>60</v>
      </c>
      <c r="W175" s="3" t="s">
        <v>1208</v>
      </c>
      <c r="X175" s="2"/>
      <c r="Y175" s="2"/>
    </row>
    <row r="176" spans="1:25" x14ac:dyDescent="0.2">
      <c r="A176" s="3">
        <v>94</v>
      </c>
      <c r="B176" s="4" t="s">
        <v>1209</v>
      </c>
      <c r="C176" s="3" t="s">
        <v>1210</v>
      </c>
      <c r="D176" s="3" t="str">
        <f>VLOOKUP(A176,Hebrew!A:C,3,0)</f>
        <v>מלחמת ישראל-עזה: תוכנית המזון העולמית מפסיקה את המשלוחים לצפון עזה</v>
      </c>
      <c r="E176" s="3" t="s">
        <v>1211</v>
      </c>
      <c r="F176" s="3" t="str">
        <f>VLOOKUP($A176,Hebrew!$A:$S,4,0)</f>
        <v>תכנית המזון העולמית הפסיקה את משלוחי המזון לצפון עזה בעקבות ההסלמה, באלימות ובכאוס, שמעצימים את המשבר ההומניטרי באזור.</v>
      </c>
      <c r="G176" s="3" t="s">
        <v>1212</v>
      </c>
      <c r="H176" s="2"/>
      <c r="I176" s="2"/>
      <c r="J176" s="3" t="s">
        <v>1213</v>
      </c>
      <c r="K176" s="3" t="s">
        <v>1214</v>
      </c>
      <c r="L176" s="3" t="str">
        <f>VLOOKUP($A176,Hebrew!$A:$S,9,0)</f>
        <v>חדשות BBC</v>
      </c>
      <c r="M176" s="2"/>
      <c r="N176" s="2"/>
      <c r="O176" s="3" t="s">
        <v>26</v>
      </c>
      <c r="P176" s="3" t="s">
        <v>212</v>
      </c>
      <c r="Q176" s="3" t="str">
        <f>VLOOKUP($A176,Hebrew!$A:$S,13,0)</f>
        <v>צפון רצועת עזה</v>
      </c>
      <c r="R176" s="3" t="s">
        <v>1215</v>
      </c>
      <c r="S176" s="3" t="s">
        <v>413</v>
      </c>
      <c r="T176" s="3" t="s">
        <v>1216</v>
      </c>
      <c r="U176" s="3" t="s">
        <v>1217</v>
      </c>
      <c r="V176" s="3" t="s">
        <v>1218</v>
      </c>
      <c r="W176" s="2"/>
      <c r="X176" s="2"/>
      <c r="Y176" s="2"/>
    </row>
    <row r="177" spans="1:25" x14ac:dyDescent="0.2">
      <c r="A177" s="3">
        <v>91</v>
      </c>
      <c r="B177" s="4" t="s">
        <v>1219</v>
      </c>
      <c r="C177" s="3" t="s">
        <v>1220</v>
      </c>
      <c r="D177" s="3" t="str">
        <f>VLOOKUP(A177,Hebrew!A:C,3,0)</f>
        <v>OCHA: מסיבת עיתונאים - המצב ההומניטרי בשטחים הכבושים</v>
      </c>
      <c r="E177" s="3" t="s">
        <v>1221</v>
      </c>
      <c r="F177" s="3" t="str">
        <f>VLOOKUP($A177,Hebrew!$A:$S,4,0)</f>
        <v>מתאם משרד האו"ם לתיאום עניינים הומנטיריים בשטחים הכבושים, ג'יימי מקגולדריק, מעדכן את העיתונאים עם חזרתו מעזה לאור הפלישה הקרבה לרפיח.</v>
      </c>
      <c r="G177" s="3" t="s">
        <v>1222</v>
      </c>
      <c r="H177" s="2"/>
      <c r="I177" s="2"/>
      <c r="J177" s="3" t="s">
        <v>1223</v>
      </c>
      <c r="K177" s="3" t="s">
        <v>1224</v>
      </c>
      <c r="L177" s="3" t="str">
        <f>VLOOKUP($A177,Hebrew!$A:$S,9,0)</f>
        <v>ג'יימי מקגולדריק</v>
      </c>
      <c r="M177" s="2"/>
      <c r="N177" s="2"/>
      <c r="O177" s="3" t="s">
        <v>26</v>
      </c>
      <c r="P177" s="3" t="s">
        <v>439</v>
      </c>
      <c r="Q177" s="3" t="str">
        <f>VLOOKUP($A177,Hebrew!$A:$S,13,0)</f>
        <v>רפיח</v>
      </c>
      <c r="R177" s="3" t="s">
        <v>1225</v>
      </c>
      <c r="S177" s="3" t="s">
        <v>982</v>
      </c>
      <c r="T177" s="3" t="s">
        <v>1226</v>
      </c>
      <c r="U177" s="3" t="s">
        <v>1227</v>
      </c>
      <c r="V177" s="3" t="s">
        <v>1228</v>
      </c>
      <c r="W177" s="2"/>
      <c r="X177" s="2"/>
      <c r="Y177" s="2"/>
    </row>
    <row r="178" spans="1:25" x14ac:dyDescent="0.2">
      <c r="A178" s="3">
        <v>812</v>
      </c>
      <c r="B178" s="4" t="s">
        <v>1229</v>
      </c>
      <c r="C178" s="3" t="s">
        <v>1230</v>
      </c>
      <c r="D178" s="3" t="str">
        <f>VLOOKUP(A178,Hebrew!A:C,3,0)</f>
        <v>חייל צה"ל מדליק שריפה ברפיח</v>
      </c>
      <c r="E178" s="3" t="s">
        <v>1231</v>
      </c>
      <c r="F178" s="3" t="str">
        <f>VLOOKUP($A178,Hebrew!$A:$S,4,0)</f>
        <v>חייל צה"ל עומד ליד שריפה בבית פרטי ברפיח.</v>
      </c>
      <c r="G178" s="7">
        <v>45442</v>
      </c>
      <c r="H178" s="7">
        <v>45442</v>
      </c>
      <c r="I178" s="7">
        <v>45442</v>
      </c>
      <c r="J178" s="3" t="s">
        <v>393</v>
      </c>
      <c r="K178" s="3" t="s">
        <v>453</v>
      </c>
      <c r="L178" s="3" t="str">
        <f>VLOOKUP($A178,Hebrew!$A:$S,9,0)</f>
        <v>Younis Tirawi (@ytirawi)</v>
      </c>
      <c r="M178" s="2"/>
      <c r="N178" s="2"/>
      <c r="O178" s="3" t="s">
        <v>26</v>
      </c>
      <c r="P178" s="3" t="s">
        <v>439</v>
      </c>
      <c r="Q178" s="3" t="str">
        <f>VLOOKUP($A178,Hebrew!$A:$S,13,0)</f>
        <v>רפיח</v>
      </c>
      <c r="R178" s="3" t="s">
        <v>396</v>
      </c>
      <c r="S178" s="3" t="s">
        <v>455</v>
      </c>
      <c r="T178" s="3" t="s">
        <v>1232</v>
      </c>
      <c r="U178" s="3" t="s">
        <v>43</v>
      </c>
      <c r="V178" s="3" t="s">
        <v>439</v>
      </c>
      <c r="W178" s="2"/>
      <c r="X178" s="2"/>
      <c r="Y178" s="2"/>
    </row>
    <row r="179" spans="1:25" x14ac:dyDescent="0.2">
      <c r="A179" s="3">
        <v>813</v>
      </c>
      <c r="B179" s="4" t="s">
        <v>1233</v>
      </c>
      <c r="C179" s="3" t="s">
        <v>1234</v>
      </c>
      <c r="D179" s="3" t="str">
        <f>VLOOKUP(A179,Hebrew!A:C,3,0)</f>
        <v>חיילי צה"ל בוזזים כסף בעיר עזה</v>
      </c>
      <c r="E179" s="3" t="s">
        <v>1235</v>
      </c>
      <c r="F179" s="3" t="str">
        <f>VLOOKUP($A179,Hebrew!$A:$S,4,0)</f>
        <v>חיילי צה"ל צולמו מציגים כמה שטרות כסף שכנראה נמצאו בבית פלסטיני</v>
      </c>
      <c r="G179" s="7">
        <v>45443</v>
      </c>
      <c r="H179" s="7">
        <v>45352</v>
      </c>
      <c r="I179" s="7">
        <v>45382</v>
      </c>
      <c r="J179" s="3" t="s">
        <v>393</v>
      </c>
      <c r="K179" s="3" t="s">
        <v>453</v>
      </c>
      <c r="L179" s="3" t="str">
        <f>VLOOKUP($A179,Hebrew!$A:$S,9,0)</f>
        <v>Younis Tirawi (@ytirawi)</v>
      </c>
      <c r="M179" s="2"/>
      <c r="N179" s="2"/>
      <c r="O179" s="3" t="s">
        <v>26</v>
      </c>
      <c r="P179" s="3" t="s">
        <v>71</v>
      </c>
      <c r="Q179" s="3" t="str">
        <f>VLOOKUP($A179,Hebrew!$A:$S,13,0)</f>
        <v>עיר עזה</v>
      </c>
      <c r="R179" s="3" t="s">
        <v>396</v>
      </c>
      <c r="S179" s="3" t="s">
        <v>455</v>
      </c>
      <c r="T179" s="3" t="s">
        <v>1236</v>
      </c>
      <c r="U179" s="3" t="s">
        <v>43</v>
      </c>
      <c r="V179" s="3" t="s">
        <v>71</v>
      </c>
      <c r="W179" s="2"/>
      <c r="X179" s="2"/>
      <c r="Y179" s="2"/>
    </row>
    <row r="180" spans="1:25" x14ac:dyDescent="0.2">
      <c r="A180" s="3">
        <v>814</v>
      </c>
      <c r="B180" s="4" t="s">
        <v>1237</v>
      </c>
      <c r="C180" s="3" t="s">
        <v>1238</v>
      </c>
      <c r="D180" s="3" t="str">
        <f>VLOOKUP(A180,Hebrew!A:C,3,0)</f>
        <v>חייל צה"ל מצולם בזמן שהוא שורף בית בעיר עזה</v>
      </c>
      <c r="E180" s="3" t="s">
        <v>1239</v>
      </c>
      <c r="F180" s="3" t="str">
        <f>VLOOKUP($A180,Hebrew!$A:$S,4,0)</f>
        <v>חייל צה"ל צולם שורף בית בעיר עזה תוך כדי שהוא עושה תנועות מגונות לעברו. הכיתוב אומר "Astalavista" (להתראות).</v>
      </c>
      <c r="G180" s="7">
        <v>45444</v>
      </c>
      <c r="H180" s="3" t="s">
        <v>1069</v>
      </c>
      <c r="I180" s="3" t="s">
        <v>1069</v>
      </c>
      <c r="J180" s="3" t="s">
        <v>393</v>
      </c>
      <c r="K180" s="3" t="s">
        <v>453</v>
      </c>
      <c r="L180" s="3" t="str">
        <f>VLOOKUP($A180,Hebrew!$A:$S,9,0)</f>
        <v>Younis Tirawi (@ytirawi)</v>
      </c>
      <c r="M180" s="2"/>
      <c r="N180" s="2"/>
      <c r="O180" s="3" t="s">
        <v>26</v>
      </c>
      <c r="P180" s="3" t="s">
        <v>71</v>
      </c>
      <c r="Q180" s="3" t="str">
        <f>VLOOKUP($A180,Hebrew!$A:$S,13,0)</f>
        <v>עיר עזה</v>
      </c>
      <c r="R180" s="3" t="s">
        <v>396</v>
      </c>
      <c r="S180" s="3" t="s">
        <v>455</v>
      </c>
      <c r="T180" s="3" t="s">
        <v>1240</v>
      </c>
      <c r="U180" s="3" t="s">
        <v>43</v>
      </c>
      <c r="V180" s="3" t="s">
        <v>71</v>
      </c>
      <c r="W180" s="2"/>
      <c r="X180" s="2"/>
      <c r="Y180" s="2"/>
    </row>
    <row r="181" spans="1:25" x14ac:dyDescent="0.2">
      <c r="A181" s="3">
        <v>815</v>
      </c>
      <c r="B181" s="4" t="s">
        <v>1241</v>
      </c>
      <c r="C181" s="3" t="s">
        <v>1242</v>
      </c>
      <c r="D181" s="3" t="str">
        <f>VLOOKUP(A181,Hebrew!A:C,3,0)</f>
        <v>חיילי צה"ל מצטלמים מול בתים שהוצתו בעיר עזה (4 מקרים)</v>
      </c>
      <c r="E181" s="3" t="s">
        <v>1243</v>
      </c>
      <c r="F181" s="3" t="str">
        <f>VLOOKUP($A181,Hebrew!$A:$S,4,0)</f>
        <v>מספר תמונות מראות חיילי צה"ל מתעדים את עצמם מחייכים ומצטלמים מול בתים שהוצתו בעיר עזה.</v>
      </c>
      <c r="G181" s="7">
        <v>45444</v>
      </c>
      <c r="H181" s="2"/>
      <c r="I181" s="2"/>
      <c r="J181" s="3" t="s">
        <v>393</v>
      </c>
      <c r="K181" s="3" t="s">
        <v>453</v>
      </c>
      <c r="L181" s="3" t="str">
        <f>VLOOKUP($A181,Hebrew!$A:$S,9,0)</f>
        <v>Younis Tirawi (@ytirawi)</v>
      </c>
      <c r="M181" s="2"/>
      <c r="N181" s="2"/>
      <c r="O181" s="3" t="s">
        <v>26</v>
      </c>
      <c r="P181" s="3" t="s">
        <v>71</v>
      </c>
      <c r="Q181" s="3" t="str">
        <f>VLOOKUP($A181,Hebrew!$A:$S,13,0)</f>
        <v>עיר עזה</v>
      </c>
      <c r="R181" s="3" t="s">
        <v>396</v>
      </c>
      <c r="S181" s="3" t="s">
        <v>455</v>
      </c>
      <c r="T181" s="3" t="s">
        <v>1240</v>
      </c>
      <c r="U181" s="3" t="s">
        <v>43</v>
      </c>
      <c r="V181" s="3" t="s">
        <v>71</v>
      </c>
      <c r="W181" s="2"/>
      <c r="X181" s="2"/>
      <c r="Y181" s="2"/>
    </row>
    <row r="182" spans="1:25" x14ac:dyDescent="0.2">
      <c r="A182" s="3">
        <v>816</v>
      </c>
      <c r="B182" s="4" t="s">
        <v>1244</v>
      </c>
      <c r="C182" s="3" t="s">
        <v>1245</v>
      </c>
      <c r="D182" s="3" t="str">
        <f>VLOOKUP(A182,Hebrew!A:C,3,0)</f>
        <v>חיילי צה"ל נראים משחקים, ישנים ומצטלמים בבתים בעזה. תוכן נוסף בשרשור מראה חיילים הורסים בתים ומבעירים אותם.</v>
      </c>
      <c r="E182" s="3" t="s">
        <v>1246</v>
      </c>
      <c r="F182" s="3" t="str">
        <f>VLOOKUP($A182,Hebrew!$A:$S,4,0)</f>
        <v>תמונות מראות חיילי צה"ל בתוך בתים פלסטיניים בעזה עם צעצועי ילדים ושוכבים במיטות. השרשור ממשיך עם סרטונים של הרס בתים ופוזות מול בתים שהוצתו.</v>
      </c>
      <c r="G182" s="3" t="s">
        <v>1247</v>
      </c>
      <c r="H182" s="2"/>
      <c r="I182" s="2"/>
      <c r="J182" s="3" t="s">
        <v>393</v>
      </c>
      <c r="K182" s="3" t="s">
        <v>453</v>
      </c>
      <c r="L182" s="3" t="str">
        <f>VLOOKUP($A182,Hebrew!$A:$S,9,0)</f>
        <v>Younis Tirawi (@ytirawi)</v>
      </c>
      <c r="M182" s="2"/>
      <c r="N182" s="2"/>
      <c r="O182" s="3" t="s">
        <v>26</v>
      </c>
      <c r="P182" s="3" t="s">
        <v>27</v>
      </c>
      <c r="Q182" s="3" t="str">
        <f>VLOOKUP($A182,Hebrew!$A:$S,13,0)</f>
        <v>רצועת עזה</v>
      </c>
      <c r="R182" s="3" t="s">
        <v>396</v>
      </c>
      <c r="S182" s="3" t="s">
        <v>397</v>
      </c>
      <c r="T182" s="3" t="s">
        <v>1248</v>
      </c>
      <c r="U182" s="3" t="s">
        <v>43</v>
      </c>
      <c r="V182" s="3" t="s">
        <v>27</v>
      </c>
      <c r="W182" s="2"/>
      <c r="X182" s="2"/>
      <c r="Y182" s="2"/>
    </row>
    <row r="183" spans="1:25" x14ac:dyDescent="0.2">
      <c r="A183" s="3">
        <v>466</v>
      </c>
      <c r="B183" s="4" t="s">
        <v>1249</v>
      </c>
      <c r="C183" s="3" t="s">
        <v>1250</v>
      </c>
      <c r="D183" s="3" t="str">
        <f>VLOOKUP(A183,Hebrew!A:C,3,0)</f>
        <v>אסירים מושפלים על ידי קבוצת "מועדון ציד חמאס" בתוך צה"ל</v>
      </c>
      <c r="E183" s="3" t="s">
        <v>1251</v>
      </c>
      <c r="F183" s="3" t="str">
        <f>VLOOKUP($A183,Hebrew!$A:$S,4,0)</f>
        <v>תמונות ששיתפו חברי קבוצת "מועדון ציד חמאס" מציגות כעשרה עצורים המושפלים, עירומים, עטופים בדגל ישראל. הסמל של המועדון מוצג.</v>
      </c>
      <c r="G183" s="3" t="s">
        <v>1252</v>
      </c>
      <c r="H183" s="2"/>
      <c r="I183" s="2"/>
      <c r="J183" s="3" t="s">
        <v>393</v>
      </c>
      <c r="K183" s="3" t="s">
        <v>659</v>
      </c>
      <c r="L183" s="3" t="str">
        <f>VLOOKUP($A183,Hebrew!$A:$S,9,0)</f>
        <v>Ramy Abdu (@RamAbdu)</v>
      </c>
      <c r="M183" s="2"/>
      <c r="N183" s="2"/>
      <c r="O183" s="3" t="s">
        <v>26</v>
      </c>
      <c r="P183" s="3" t="s">
        <v>27</v>
      </c>
      <c r="Q183" s="3" t="str">
        <f>VLOOKUP($A183,Hebrew!$A:$S,13,0)</f>
        <v>רצועת עזה</v>
      </c>
      <c r="R183" s="3" t="s">
        <v>396</v>
      </c>
      <c r="S183" s="3" t="s">
        <v>397</v>
      </c>
      <c r="T183" s="3" t="s">
        <v>1253</v>
      </c>
      <c r="U183" s="3" t="s">
        <v>43</v>
      </c>
      <c r="V183" s="3" t="s">
        <v>27</v>
      </c>
      <c r="W183" s="2"/>
      <c r="X183" s="2"/>
      <c r="Y183" s="2"/>
    </row>
    <row r="184" spans="1:25" x14ac:dyDescent="0.2">
      <c r="A184" s="3">
        <v>2216</v>
      </c>
      <c r="B184" s="4" t="s">
        <v>1254</v>
      </c>
      <c r="C184" s="3" t="s">
        <v>1255</v>
      </c>
      <c r="D184" s="3" t="str">
        <f>VLOOKUP(A184,Hebrew!A:C,3,0)</f>
        <v>צה"ל תוקף את בית הספר סלאח א דין ששימש מקלט לפליטים בעיר עזה</v>
      </c>
      <c r="E184" s="3" t="s">
        <v>1256</v>
      </c>
      <c r="F184" s="3" t="str">
        <f>VLOOKUP($A184,Hebrew!$A:$S,4,0)</f>
        <v>צה"ל תוקף בית ספר ששימש מקלט לפליטים פלסטינים. ההתקפה הייתה חלק ממבצע רחב היקף בצפון עזה בסוף 2024.</v>
      </c>
      <c r="G184" s="3" t="s">
        <v>1257</v>
      </c>
      <c r="H184" s="3" t="s">
        <v>1257</v>
      </c>
      <c r="I184" s="3" t="s">
        <v>1257</v>
      </c>
      <c r="J184" s="3" t="s">
        <v>393</v>
      </c>
      <c r="K184" s="3" t="s">
        <v>1258</v>
      </c>
      <c r="L184" s="3" t="str">
        <f>VLOOKUP($A184,Hebrew!$A:$S,9,0)</f>
        <v>Hossam Shabat (@HossamShabat)</v>
      </c>
      <c r="M184" s="2"/>
      <c r="N184" s="2"/>
      <c r="O184" s="3" t="s">
        <v>26</v>
      </c>
      <c r="P184" s="3" t="s">
        <v>71</v>
      </c>
      <c r="Q184" s="3" t="str">
        <f>VLOOKUP($A184,Hebrew!$A:$S,13,0)</f>
        <v>עיר עזה</v>
      </c>
      <c r="R184" s="3" t="s">
        <v>396</v>
      </c>
      <c r="S184" s="3" t="s">
        <v>405</v>
      </c>
      <c r="T184" s="3" t="s">
        <v>1259</v>
      </c>
      <c r="U184" s="3" t="s">
        <v>43</v>
      </c>
      <c r="V184" s="3" t="s">
        <v>71</v>
      </c>
      <c r="W184" s="2"/>
      <c r="X184" s="2"/>
      <c r="Y184" s="2"/>
    </row>
    <row r="185" spans="1:25" x14ac:dyDescent="0.2">
      <c r="A185" s="3">
        <v>2217</v>
      </c>
      <c r="B185" s="4" t="s">
        <v>1260</v>
      </c>
      <c r="C185" s="3" t="s">
        <v>1261</v>
      </c>
      <c r="D185" s="3" t="str">
        <f>VLOOKUP(A185,Hebrew!A:C,3,0)</f>
        <v>קשיש מעזה מאחל למותו</v>
      </c>
      <c r="E185" s="3" t="s">
        <v>1262</v>
      </c>
      <c r="F185" s="3" t="str">
        <f>VLOOKUP($A185,Hebrew!$A:$S,4,0)</f>
        <v>גבר זקן מצהיר כי מוות יהיה עדיף על פני גירוש כפוי מתמשך ותנאי חיים רעים.</v>
      </c>
      <c r="G185" s="3" t="s">
        <v>1257</v>
      </c>
      <c r="H185" s="3" t="s">
        <v>1257</v>
      </c>
      <c r="I185" s="3" t="s">
        <v>1257</v>
      </c>
      <c r="J185" s="3" t="s">
        <v>393</v>
      </c>
      <c r="K185" s="3" t="s">
        <v>1258</v>
      </c>
      <c r="L185" s="3" t="str">
        <f>VLOOKUP($A185,Hebrew!$A:$S,9,0)</f>
        <v>Hossam Shabat (@HossamShabat)</v>
      </c>
      <c r="M185" s="2"/>
      <c r="N185" s="2"/>
      <c r="O185" s="3" t="s">
        <v>1011</v>
      </c>
      <c r="P185" s="3" t="s">
        <v>27</v>
      </c>
      <c r="Q185" s="3" t="str">
        <f>VLOOKUP($A185,Hebrew!$A:$S,13,0)</f>
        <v>רצועת עזה</v>
      </c>
      <c r="R185" s="3" t="s">
        <v>396</v>
      </c>
      <c r="S185" s="3" t="s">
        <v>405</v>
      </c>
      <c r="T185" s="3" t="s">
        <v>1263</v>
      </c>
      <c r="U185" s="3" t="s">
        <v>43</v>
      </c>
      <c r="V185" s="3" t="s">
        <v>27</v>
      </c>
      <c r="W185" s="2"/>
      <c r="X185" s="2"/>
      <c r="Y185" s="2"/>
    </row>
    <row r="186" spans="1:25" x14ac:dyDescent="0.2">
      <c r="A186" s="3">
        <v>566</v>
      </c>
      <c r="B186" s="4" t="s">
        <v>1264</v>
      </c>
      <c r="C186" s="3" t="s">
        <v>1265</v>
      </c>
      <c r="D186" s="3" t="str">
        <f>VLOOKUP(A186,Hebrew!A:C,3,0)</f>
        <v>עצירה פלסטינית משוחררת נותנת את עדותה</v>
      </c>
      <c r="E186" s="3" t="s">
        <v>1266</v>
      </c>
      <c r="F186" s="3" t="str">
        <f>VLOOKUP($A186,Hebrew!$A:$S,4,0)</f>
        <v>עצירה פלסטינית משוחררת מתארת כיצד התייחסו אליה. היא נלקחה מבית הספר עמרו בן אס בעיר עזה, עם כיסוי עיניים, הושפלה והוכתה מספר פעמים. לפי עדותה, היא אולצה עם רובה לראש לנשק את הדגל הישראלי.</v>
      </c>
      <c r="G186" s="3" t="s">
        <v>1267</v>
      </c>
      <c r="H186" s="3" t="s">
        <v>1268</v>
      </c>
      <c r="I186" s="3" t="s">
        <v>1267</v>
      </c>
      <c r="J186" s="3" t="s">
        <v>393</v>
      </c>
      <c r="K186" s="3" t="s">
        <v>453</v>
      </c>
      <c r="L186" s="3" t="str">
        <f>VLOOKUP($A186,Hebrew!$A:$S,9,0)</f>
        <v>Younis Tirawi (@ytirawi)</v>
      </c>
      <c r="M186" s="2"/>
      <c r="N186" s="6" t="s">
        <v>1269</v>
      </c>
      <c r="O186" s="3" t="s">
        <v>645</v>
      </c>
      <c r="P186" s="3" t="s">
        <v>27</v>
      </c>
      <c r="Q186" s="3" t="str">
        <f>VLOOKUP($A186,Hebrew!$A:$S,13,0)</f>
        <v>רצועת עזה</v>
      </c>
      <c r="R186" s="3" t="s">
        <v>396</v>
      </c>
      <c r="S186" s="3" t="s">
        <v>982</v>
      </c>
      <c r="T186" s="3" t="s">
        <v>1270</v>
      </c>
      <c r="U186" s="3" t="s">
        <v>782</v>
      </c>
      <c r="V186" s="3" t="s">
        <v>1271</v>
      </c>
      <c r="W186" s="2"/>
      <c r="X186" s="2"/>
      <c r="Y186" s="2"/>
    </row>
    <row r="187" spans="1:25" x14ac:dyDescent="0.2">
      <c r="A187" s="3">
        <v>567</v>
      </c>
      <c r="B187" s="4" t="s">
        <v>1272</v>
      </c>
      <c r="C187" s="3" t="s">
        <v>1273</v>
      </c>
      <c r="D187" s="3" t="str">
        <f>VLOOKUP(A187,Hebrew!A:C,3,0)</f>
        <v>חיילי צה"ל מצטלמים עם הלבשה תחתונה בעזה</v>
      </c>
      <c r="E187" s="3" t="s">
        <v>1274</v>
      </c>
      <c r="F187" s="3" t="str">
        <f>VLOOKUP($A187,Hebrew!$A:$S,4,0)</f>
        <v>תמונה של קבוצת חיילים מחזיקים הלבשה תחתונה בבית חלקית הרוס שהוחזק על ידי צה"ל.</v>
      </c>
      <c r="G187" s="3" t="s">
        <v>1275</v>
      </c>
      <c r="H187" s="2"/>
      <c r="I187" s="2"/>
      <c r="J187" s="3" t="s">
        <v>393</v>
      </c>
      <c r="K187" s="3" t="s">
        <v>453</v>
      </c>
      <c r="L187" s="3" t="str">
        <f>VLOOKUP($A187,Hebrew!$A:$S,9,0)</f>
        <v>Younis Tirawi (@ytirawi)</v>
      </c>
      <c r="M187" s="2"/>
      <c r="N187" s="2"/>
      <c r="O187" s="3" t="s">
        <v>26</v>
      </c>
      <c r="P187" s="3" t="s">
        <v>27</v>
      </c>
      <c r="Q187" s="3" t="str">
        <f>VLOOKUP($A187,Hebrew!$A:$S,13,0)</f>
        <v>רצועת עזה</v>
      </c>
      <c r="R187" s="3" t="s">
        <v>396</v>
      </c>
      <c r="S187" s="3" t="s">
        <v>700</v>
      </c>
      <c r="T187" s="3" t="s">
        <v>1276</v>
      </c>
      <c r="U187" s="3" t="s">
        <v>43</v>
      </c>
      <c r="V187" s="3" t="s">
        <v>1083</v>
      </c>
      <c r="W187" s="2"/>
      <c r="X187" s="2"/>
      <c r="Y187" s="2"/>
    </row>
    <row r="188" spans="1:25" x14ac:dyDescent="0.2">
      <c r="A188" s="3">
        <v>568</v>
      </c>
      <c r="B188" s="4" t="s">
        <v>1277</v>
      </c>
      <c r="C188" s="3" t="s">
        <v>1278</v>
      </c>
      <c r="D188" s="3" t="str">
        <f>VLOOKUP(A188,Hebrew!A:C,3,0)</f>
        <v>קצין צה"ל נותן פקודה להרוס בתים.</v>
      </c>
      <c r="E188" s="3" t="s">
        <v>1279</v>
      </c>
      <c r="F188" s="3" t="str">
        <f>VLOOKUP($A188,Hebrew!$A:$S,4,0)</f>
        <v>סרטון של קצין צה"ל מפקד על חייל בבולדוזר לשטח כמה בתים בעיר עזה.</v>
      </c>
      <c r="G188" s="3" t="s">
        <v>1275</v>
      </c>
      <c r="H188" s="3" t="s">
        <v>788</v>
      </c>
      <c r="I188" s="3" t="s">
        <v>1280</v>
      </c>
      <c r="J188" s="3" t="s">
        <v>393</v>
      </c>
      <c r="K188" s="3" t="s">
        <v>453</v>
      </c>
      <c r="L188" s="3" t="str">
        <f>VLOOKUP($A188,Hebrew!$A:$S,9,0)</f>
        <v>Younis Tirawi (@ytirawi)</v>
      </c>
      <c r="M188" s="2"/>
      <c r="N188" s="2"/>
      <c r="O188" s="3" t="s">
        <v>39</v>
      </c>
      <c r="P188" s="3" t="s">
        <v>27</v>
      </c>
      <c r="Q188" s="3" t="str">
        <f>VLOOKUP($A188,Hebrew!$A:$S,13,0)</f>
        <v>רצועת עזה</v>
      </c>
      <c r="R188" s="3" t="s">
        <v>396</v>
      </c>
      <c r="S188" s="3" t="s">
        <v>982</v>
      </c>
      <c r="T188" s="3" t="s">
        <v>1281</v>
      </c>
      <c r="U188" s="3" t="s">
        <v>43</v>
      </c>
      <c r="V188" s="3" t="s">
        <v>1083</v>
      </c>
      <c r="W188" s="2"/>
      <c r="X188" s="2"/>
      <c r="Y188" s="2"/>
    </row>
    <row r="189" spans="1:25" x14ac:dyDescent="0.2">
      <c r="A189" s="3">
        <v>569</v>
      </c>
      <c r="B189" s="4" t="s">
        <v>1282</v>
      </c>
      <c r="C189" s="3" t="s">
        <v>1283</v>
      </c>
      <c r="D189" s="3" t="str">
        <f>VLOOKUP(A189,Hebrew!A:C,3,0)</f>
        <v>חייל צה"ל משגר רימון על בית לשם השעשוע. שרשור על הרס בתים.</v>
      </c>
      <c r="E189" s="3" t="s">
        <v>1284</v>
      </c>
      <c r="F189" s="3" t="str">
        <f>VLOOKUP($A189,Hebrew!$A:$S,4,0)</f>
        <v>וידאו של חייל משגר רימון לעבר בניין וצוחק בזמן שאין קרב מתמשך. סרטונים אחרים בשרשור מראים את ההרס של מספר בניינים על ידי פיצוץ ודחפור. תמונה כוללת קבוצת חיילים מצטלמת מחוץ לבית החולים האינדונזי.</v>
      </c>
      <c r="G189" s="3" t="s">
        <v>1275</v>
      </c>
      <c r="H189" s="3" t="s">
        <v>840</v>
      </c>
      <c r="I189" s="3" t="s">
        <v>1285</v>
      </c>
      <c r="J189" s="3" t="s">
        <v>393</v>
      </c>
      <c r="K189" s="3" t="s">
        <v>453</v>
      </c>
      <c r="L189" s="3" t="str">
        <f>VLOOKUP($A189,Hebrew!$A:$S,9,0)</f>
        <v>Younis Tirawi (@ytirawi)</v>
      </c>
      <c r="M189" s="2"/>
      <c r="N189" s="2"/>
      <c r="O189" s="3" t="s">
        <v>26</v>
      </c>
      <c r="P189" s="3" t="s">
        <v>27</v>
      </c>
      <c r="Q189" s="3" t="str">
        <f>VLOOKUP($A189,Hebrew!$A:$S,13,0)</f>
        <v>רצועת עזה</v>
      </c>
      <c r="R189" s="3" t="s">
        <v>396</v>
      </c>
      <c r="S189" s="3" t="s">
        <v>982</v>
      </c>
      <c r="T189" s="3" t="s">
        <v>1286</v>
      </c>
      <c r="U189" s="3" t="s">
        <v>43</v>
      </c>
      <c r="V189" s="3" t="s">
        <v>1287</v>
      </c>
      <c r="W189" s="2"/>
      <c r="X189" s="2"/>
      <c r="Y189" s="2"/>
    </row>
    <row r="190" spans="1:25" x14ac:dyDescent="0.2">
      <c r="A190" s="3">
        <v>571</v>
      </c>
      <c r="B190" s="4" t="s">
        <v>1288</v>
      </c>
      <c r="C190" s="3" t="s">
        <v>1289</v>
      </c>
      <c r="D190" s="3" t="str">
        <f>VLOOKUP(A190,Hebrew!A:C,3,0)</f>
        <v>וידאו של חייל צה"ל בתוך בית קפה הרוס</v>
      </c>
      <c r="E190" s="3" t="s">
        <v>1290</v>
      </c>
      <c r="F190" s="3" t="str">
        <f>VLOOKUP($A190,Hebrew!$A:$S,4,0)</f>
        <v>תמונה של חיילי צה"ל יושבים בתוך בית קפה הרוס עם כיתוב שאומר "שירות גרוע, המתנה ארוכה לקפה".</v>
      </c>
      <c r="G190" s="3" t="s">
        <v>1291</v>
      </c>
      <c r="H190" s="2"/>
      <c r="I190" s="3" t="s">
        <v>1292</v>
      </c>
      <c r="J190" s="3" t="s">
        <v>393</v>
      </c>
      <c r="K190" s="3" t="s">
        <v>453</v>
      </c>
      <c r="L190" s="3" t="str">
        <f>VLOOKUP($A190,Hebrew!$A:$S,9,0)</f>
        <v>Younis Tirawi (@ytirawi)</v>
      </c>
      <c r="M190" s="2"/>
      <c r="N190" s="2"/>
      <c r="O190" s="3" t="s">
        <v>26</v>
      </c>
      <c r="P190" s="3" t="s">
        <v>395</v>
      </c>
      <c r="Q190" s="3" t="str">
        <f>VLOOKUP($A190,Hebrew!$A:$S,13,0)</f>
        <v>חאן יונס</v>
      </c>
      <c r="R190" s="3" t="s">
        <v>396</v>
      </c>
      <c r="S190" s="3" t="s">
        <v>700</v>
      </c>
      <c r="T190" s="3" t="s">
        <v>1293</v>
      </c>
      <c r="U190" s="3" t="s">
        <v>43</v>
      </c>
      <c r="V190" s="3" t="s">
        <v>395</v>
      </c>
      <c r="W190" s="2"/>
      <c r="X190" s="2"/>
      <c r="Y190" s="2"/>
    </row>
    <row r="191" spans="1:25" x14ac:dyDescent="0.2">
      <c r="A191" s="3">
        <v>2180</v>
      </c>
      <c r="B191" s="4" t="s">
        <v>1294</v>
      </c>
      <c r="C191" s="3" t="s">
        <v>1295</v>
      </c>
      <c r="D191" s="3" t="str">
        <f>VLOOKUP(A191,Hebrew!A:C,3,0)</f>
        <v>מנהל בית החולים קמאל עדואן, ד"ר חוסאם אבו ספיה, נפצע במתקפה על בית החולים.</v>
      </c>
      <c r="E191" s="3" t="s">
        <v>1296</v>
      </c>
      <c r="F191" s="3" t="str">
        <f>VLOOKUP($A191,Hebrew!$A:$S,4,0)</f>
        <v>וידאו של ד"ר אבו ספיה שנפצע במתקפה על בית החולים קמאל עדואן כחלק מהמבצע הגדול בצפון עזה בסוף 2024. אבו ספיה מאשר את מחויבותו להמשיך לספק טיפול למרות המתקפה הממוקדת של ישראל וקורא לתמיכת העולם.</v>
      </c>
      <c r="G191" s="7">
        <v>45620</v>
      </c>
      <c r="H191" s="7">
        <v>45620</v>
      </c>
      <c r="I191" s="7">
        <v>45620</v>
      </c>
      <c r="J191" s="3" t="s">
        <v>393</v>
      </c>
      <c r="K191" s="3" t="s">
        <v>1297</v>
      </c>
      <c r="L191" s="3" t="str">
        <f>VLOOKUP($A191,Hebrew!$A:$S,9,0)</f>
        <v>Dr Muneer Albourah (@Dr_Muneer1)</v>
      </c>
      <c r="M191" s="2"/>
      <c r="N191" s="2"/>
      <c r="O191" s="3" t="s">
        <v>412</v>
      </c>
      <c r="P191" s="3" t="s">
        <v>51</v>
      </c>
      <c r="Q191" s="3" t="str">
        <f>VLOOKUP($A191,Hebrew!$A:$S,13,0)</f>
        <v>בית החולים כמאל עדואן</v>
      </c>
      <c r="R191" s="3" t="s">
        <v>396</v>
      </c>
      <c r="S191" s="3" t="s">
        <v>405</v>
      </c>
      <c r="T191" s="3" t="s">
        <v>1298</v>
      </c>
      <c r="U191" s="3" t="s">
        <v>43</v>
      </c>
      <c r="V191" s="3" t="s">
        <v>51</v>
      </c>
      <c r="W191" s="3" t="s">
        <v>630</v>
      </c>
      <c r="X191" s="2"/>
      <c r="Y191" s="2"/>
    </row>
    <row r="192" spans="1:25" x14ac:dyDescent="0.2">
      <c r="A192" s="3">
        <v>2181</v>
      </c>
      <c r="B192" s="4" t="s">
        <v>1299</v>
      </c>
      <c r="C192" s="3" t="s">
        <v>1300</v>
      </c>
      <c r="D192" s="3" t="str">
        <f>VLOOKUP(A192,Hebrew!A:C,3,0)</f>
        <v>מנהל בית החולים קמאל עדואן, ד"ר חוסאם אבו ספיה, זקוק לטיפול דחוף לאחר פציעתו.</v>
      </c>
      <c r="E192" s="3" t="s">
        <v>1301</v>
      </c>
      <c r="F192" s="3" t="str">
        <f>VLOOKUP($A192,Hebrew!$A:$S,4,0)</f>
        <v>ד"ר חוסאם אבו ספיה מתאר את הפציעה שלו ומבקש לאפשר טיפול הומניטרי דחוף להגיע לבית החולים הנצור. הוא מבקש שהעולם יפסיק את התקפות ישראל על מערכת הבריאות.</v>
      </c>
      <c r="G192" s="7">
        <v>45620</v>
      </c>
      <c r="H192" s="7">
        <v>45620</v>
      </c>
      <c r="I192" s="7">
        <v>45620</v>
      </c>
      <c r="J192" s="3" t="s">
        <v>393</v>
      </c>
      <c r="K192" s="3" t="s">
        <v>1297</v>
      </c>
      <c r="L192" s="3" t="str">
        <f>VLOOKUP($A192,Hebrew!$A:$S,9,0)</f>
        <v>Dr Muneer Albourah (@Dr_Muneer1)</v>
      </c>
      <c r="M192" s="2"/>
      <c r="N192" s="2"/>
      <c r="O192" s="3" t="s">
        <v>412</v>
      </c>
      <c r="P192" s="3" t="s">
        <v>51</v>
      </c>
      <c r="Q192" s="3" t="str">
        <f>VLOOKUP($A192,Hebrew!$A:$S,13,0)</f>
        <v>בית החולים כמאל עדואן</v>
      </c>
      <c r="R192" s="3" t="s">
        <v>396</v>
      </c>
      <c r="S192" s="3" t="s">
        <v>405</v>
      </c>
      <c r="T192" s="3" t="s">
        <v>1302</v>
      </c>
      <c r="U192" s="3" t="s">
        <v>43</v>
      </c>
      <c r="V192" s="3" t="s">
        <v>51</v>
      </c>
      <c r="W192" s="3" t="s">
        <v>630</v>
      </c>
      <c r="X192" s="2"/>
      <c r="Y192" s="2"/>
    </row>
    <row r="193" spans="1:25" x14ac:dyDescent="0.2">
      <c r="A193" s="3">
        <v>2182</v>
      </c>
      <c r="B193" s="4" t="s">
        <v>1303</v>
      </c>
      <c r="C193" s="3" t="s">
        <v>1304</v>
      </c>
      <c r="D193" s="3" t="str">
        <f>VLOOKUP(A193,Hebrew!A:C,3,0)</f>
        <v>מנהל בית החולים קמאל עדואן, ד"ר חוסאם אבו ספיה הפצוע, מדבר ממיטתו בבית החולים שלו כחלק ממחאה נגד התקפות על מערכת הבריאות.</v>
      </c>
      <c r="E193" s="3" t="s">
        <v>1305</v>
      </c>
      <c r="F193" s="3" t="str">
        <f>VLOOKUP($A193,Hebrew!$A:$S,4,0)</f>
        <v>ד"ר חוסאם אבו ספיה נשא נאום רב עוצמה ממיטתו ביחידה לטיפול נמרץ בבית החולים כמאל עדוואן, בו גינה את צה"ל על פגיעה ישירה בבית החולים ושימוש בפצצות מזל"ט מתקדמות כדי לפגוע בעובדי שירותי בריאות. הוא קורא לשחרור מיידי של אנשי הצוות הרפואי שנעצרו, ודוחק בקהילה הבינלאומית לעצור את מרחץ הדמים המתמשך בצפון עזה.</v>
      </c>
      <c r="G193" s="7">
        <v>45620</v>
      </c>
      <c r="H193" s="7">
        <v>45620</v>
      </c>
      <c r="I193" s="7">
        <v>45620</v>
      </c>
      <c r="J193" s="3" t="s">
        <v>393</v>
      </c>
      <c r="K193" s="3" t="s">
        <v>1297</v>
      </c>
      <c r="L193" s="3" t="str">
        <f>VLOOKUP($A193,Hebrew!$A:$S,9,0)</f>
        <v>Dr Muneer Albourah (@Dr_Muneer1)</v>
      </c>
      <c r="M193" s="2"/>
      <c r="N193" s="2"/>
      <c r="O193" s="3" t="s">
        <v>26</v>
      </c>
      <c r="P193" s="3" t="s">
        <v>51</v>
      </c>
      <c r="Q193" s="3" t="str">
        <f>VLOOKUP($A193,Hebrew!$A:$S,13,0)</f>
        <v>בית החולים כמאל עדואן</v>
      </c>
      <c r="R193" s="3" t="s">
        <v>396</v>
      </c>
      <c r="S193" s="3" t="s">
        <v>405</v>
      </c>
      <c r="T193" s="3" t="s">
        <v>1306</v>
      </c>
      <c r="U193" s="3" t="s">
        <v>420</v>
      </c>
      <c r="V193" s="3" t="s">
        <v>51</v>
      </c>
      <c r="W193" s="3" t="s">
        <v>630</v>
      </c>
      <c r="X193" s="2"/>
      <c r="Y193" s="2"/>
    </row>
    <row r="194" spans="1:25" x14ac:dyDescent="0.2">
      <c r="A194" s="3">
        <v>2184</v>
      </c>
      <c r="B194" s="4" t="s">
        <v>1307</v>
      </c>
      <c r="C194" s="3" t="s">
        <v>1308</v>
      </c>
      <c r="D194" s="3" t="str">
        <f>VLOOKUP(A194,Hebrew!A:C,3,0)</f>
        <v>רופא נורה למוות מול שער בית החולים קמאל עדואן כאשר הגיע לעבודה</v>
      </c>
      <c r="E194" s="3" t="s">
        <v>1309</v>
      </c>
      <c r="F194" s="3" t="str">
        <f>VLOOKUP($A194,Hebrew!$A:$S,4,0)</f>
        <v>ד"ר אחמד אל-קחלות, מנהל מחלקת טיפול נמרץ בבית החולים קמאל עדואן, נורה למוות מול שער בית החולים.</v>
      </c>
      <c r="G194" s="7">
        <v>45624</v>
      </c>
      <c r="H194" s="7">
        <v>45625</v>
      </c>
      <c r="I194" s="7">
        <v>45626</v>
      </c>
      <c r="J194" s="3" t="s">
        <v>393</v>
      </c>
      <c r="K194" s="3" t="s">
        <v>1297</v>
      </c>
      <c r="L194" s="3" t="str">
        <f>VLOOKUP($A194,Hebrew!$A:$S,9,0)</f>
        <v>Dr Muneer Albourah (@Dr_Muneer1)</v>
      </c>
      <c r="M194" s="2"/>
      <c r="N194" s="2"/>
      <c r="O194" s="3" t="s">
        <v>412</v>
      </c>
      <c r="P194" s="3" t="s">
        <v>51</v>
      </c>
      <c r="Q194" s="3" t="str">
        <f>VLOOKUP($A194,Hebrew!$A:$S,13,0)</f>
        <v>בית החולים כמאל עדואן</v>
      </c>
      <c r="R194" s="3" t="s">
        <v>396</v>
      </c>
      <c r="S194" s="3" t="s">
        <v>405</v>
      </c>
      <c r="T194" s="3" t="s">
        <v>1310</v>
      </c>
      <c r="U194" s="3" t="s">
        <v>43</v>
      </c>
      <c r="V194" s="3" t="s">
        <v>51</v>
      </c>
      <c r="W194" s="2"/>
      <c r="X194" s="2"/>
      <c r="Y194" s="2"/>
    </row>
    <row r="195" spans="1:25" x14ac:dyDescent="0.2">
      <c r="A195" s="3">
        <v>2187</v>
      </c>
      <c r="B195" s="4" t="s">
        <v>1311</v>
      </c>
      <c r="C195" s="3" t="s">
        <v>1312</v>
      </c>
      <c r="D195" s="3" t="str">
        <f>VLOOKUP(A195,Hebrew!A:C,3,0)</f>
        <v>הגנרל הישראלי (מיל.) גיורא איילנד על התוכנית שלו לעזה</v>
      </c>
      <c r="E195" s="3" t="s">
        <v>1313</v>
      </c>
      <c r="F195" s="3" t="str">
        <f>VLOOKUP($A195,Hebrew!$A:$S,4,0)</f>
        <v>גנרל (במיל.) איילנד, שהגה תוכנית שכוללת הרעבת תושבי עזה כדי להניעם לפנות את צפון עזה, מבקר את צה"ל על כך שלא פינה אזרחים לפני הפלישה. טוען שהוא רוצה להציל חיים אזרחיים עם התוכנית שלו.</v>
      </c>
      <c r="G195" s="3" t="s">
        <v>1314</v>
      </c>
      <c r="H195" s="3" t="s">
        <v>1314</v>
      </c>
      <c r="I195" s="2"/>
      <c r="J195" s="3" t="s">
        <v>393</v>
      </c>
      <c r="K195" s="3" t="s">
        <v>1315</v>
      </c>
      <c r="L195" s="3" t="str">
        <f>VLOOKUP($A195,Hebrew!$A:$S,9,0)</f>
        <v>Dropsite News (@DropSiteNews)</v>
      </c>
      <c r="M195" s="3" t="s">
        <v>1316</v>
      </c>
      <c r="N195" s="2"/>
      <c r="O195" s="3" t="s">
        <v>26</v>
      </c>
      <c r="P195" s="3" t="s">
        <v>212</v>
      </c>
      <c r="Q195" s="3" t="str">
        <f>VLOOKUP($A195,Hebrew!$A:$S,13,0)</f>
        <v>צפון רצועת עזה</v>
      </c>
      <c r="R195" s="3" t="s">
        <v>396</v>
      </c>
      <c r="S195" s="3" t="s">
        <v>982</v>
      </c>
      <c r="T195" s="3" t="s">
        <v>1317</v>
      </c>
      <c r="U195" s="3" t="s">
        <v>1318</v>
      </c>
      <c r="V195" s="3" t="s">
        <v>212</v>
      </c>
      <c r="W195" s="3" t="s">
        <v>1319</v>
      </c>
      <c r="X195" s="2"/>
      <c r="Y195" s="2"/>
    </row>
    <row r="196" spans="1:25" x14ac:dyDescent="0.2">
      <c r="A196" s="3">
        <v>2189</v>
      </c>
      <c r="B196" s="4" t="s">
        <v>1320</v>
      </c>
      <c r="C196" s="3" t="s">
        <v>1321</v>
      </c>
      <c r="D196" s="3" t="str">
        <f>VLOOKUP(A196,Hebrew!A:C,3,0)</f>
        <v>יותר מ-50 ילדים בין 84 פלסטינים שנהרגו בשני תקיפות ישראליות בצפון עזה</v>
      </c>
      <c r="E196" s="3" t="s">
        <v>1322</v>
      </c>
      <c r="F196" s="3" t="str">
        <f>VLOOKUP($A196,Hebrew!$A:$S,4,0)</f>
        <v>יותר מ-50 ילדים בין 84 פלסטינים שנהרגו בשני תקיפות ישראליות בצפון עזה. 15 ארגוני סיוע מזהירים שהאוכלוסייה כולה בצפון עזה נמצאת בסיכון מיידי ממחלות, רעב ואלימות. תיעוד של התקפה על בית ספר שמשמש כמקלט לעקורים.</v>
      </c>
      <c r="G196" s="3" t="s">
        <v>1323</v>
      </c>
      <c r="H196" s="3" t="s">
        <v>1323</v>
      </c>
      <c r="I196" s="3" t="s">
        <v>1323</v>
      </c>
      <c r="J196" s="3" t="s">
        <v>393</v>
      </c>
      <c r="K196" s="3" t="s">
        <v>1315</v>
      </c>
      <c r="L196" s="3" t="str">
        <f>VLOOKUP($A196,Hebrew!$A:$S,9,0)</f>
        <v>Dropsite News (@DropSiteNews)</v>
      </c>
      <c r="M196" s="3" t="s">
        <v>1324</v>
      </c>
      <c r="N196" s="2"/>
      <c r="O196" s="3" t="s">
        <v>26</v>
      </c>
      <c r="P196" s="3" t="s">
        <v>1325</v>
      </c>
      <c r="Q196" s="3" t="str">
        <f>VLOOKUP($A196,Hebrew!$A:$S,13,0)</f>
        <v>צפון רצועת עזה, מחנה הפליטים נוסייראת</v>
      </c>
      <c r="R196" s="3" t="s">
        <v>396</v>
      </c>
      <c r="S196" s="3" t="s">
        <v>405</v>
      </c>
      <c r="T196" s="3" t="s">
        <v>1326</v>
      </c>
      <c r="U196" s="3" t="s">
        <v>1327</v>
      </c>
      <c r="V196" s="3" t="s">
        <v>1328</v>
      </c>
      <c r="W196" s="2"/>
      <c r="X196" s="2"/>
      <c r="Y196" s="2"/>
    </row>
    <row r="197" spans="1:25" x14ac:dyDescent="0.2">
      <c r="A197" s="3">
        <v>2190</v>
      </c>
      <c r="B197" s="4" t="s">
        <v>1329</v>
      </c>
      <c r="C197" s="3" t="s">
        <v>1330</v>
      </c>
      <c r="D197" s="3" t="str">
        <f>VLOOKUP(A197,Hebrew!A:C,3,0)</f>
        <v>צה"ל טוען ששישה ילדים נפצעו, ותשתיות נפגעו ,בבית החולים כמאל עדואן, בעקבות מטען נפץ של "ארגון טרור".</v>
      </c>
      <c r="E197" s="3" t="s">
        <v>1331</v>
      </c>
      <c r="F197" s="3" t="str">
        <f>VLOOKUP($A197,Hebrew!$A:$S,4,0)</f>
        <v>צה"ל טוען כי שישה ילדים נפצעו ותשתיות נפגעו בבית החולים כמאל עדואן, בעקבות מטען נפץ של "ארגון טרור". מנהל בית החולים כמאל עדואן, ד"ר חוסאם אבו ספיה, מדווח כי זמן קצר לאחר שצוותי ארגון הבריאות העולמי הגיעו כדי לפנות פצועים, כוחות ישראליים חידשו את ההתקפות הכבדות, ופגעו בילדים נוספים. ד"ר סבאח, מנהל הסיעוד בבית החולים כמאל עדואן, דיווח כי ההפצצות הכבדות נמשכו, תוך כדי פגיעה בתשתיות ובמחלקת טיפול נמרץ. צה"ל טוען, בתמיכת המתפ"ש, כי הנזק נגרם כתוצאה מפיצוץ של "טרוריסט" באזור, בעת ששיירה הומניטרית פינתה את המטופלים ואנשי הצוות לבתי חולים אחרים. הפוסט כולל תיעוד גרפי של ההתקפה.</v>
      </c>
      <c r="G197" s="3" t="s">
        <v>125</v>
      </c>
      <c r="H197" s="3" t="s">
        <v>1332</v>
      </c>
      <c r="I197" s="3" t="s">
        <v>125</v>
      </c>
      <c r="J197" s="3" t="s">
        <v>393</v>
      </c>
      <c r="K197" s="3" t="s">
        <v>1315</v>
      </c>
      <c r="L197" s="3" t="str">
        <f>VLOOKUP($A197,Hebrew!$A:$S,9,0)</f>
        <v>Dropsite News (@DropSiteNews)</v>
      </c>
      <c r="M197" s="2"/>
      <c r="N197" s="2"/>
      <c r="O197" s="3" t="s">
        <v>26</v>
      </c>
      <c r="P197" s="3" t="s">
        <v>51</v>
      </c>
      <c r="Q197" s="3" t="str">
        <f>VLOOKUP($A197,Hebrew!$A:$S,13,0)</f>
        <v>בית החולים כמאל עדואן</v>
      </c>
      <c r="R197" s="3" t="s">
        <v>396</v>
      </c>
      <c r="S197" s="3" t="s">
        <v>413</v>
      </c>
      <c r="T197" s="3" t="s">
        <v>1333</v>
      </c>
      <c r="U197" s="3" t="s">
        <v>1334</v>
      </c>
      <c r="V197" s="3" t="s">
        <v>1335</v>
      </c>
      <c r="W197" s="3" t="s">
        <v>630</v>
      </c>
      <c r="X197" s="2"/>
      <c r="Y197" s="2"/>
    </row>
    <row r="198" spans="1:25" x14ac:dyDescent="0.2">
      <c r="A198" s="3">
        <v>2191</v>
      </c>
      <c r="B198" s="6" t="s">
        <v>1336</v>
      </c>
      <c r="C198" s="3" t="s">
        <v>1305</v>
      </c>
      <c r="D198" s="3" t="str">
        <f>VLOOKUP(A198,Hebrew!A:C,3,0)</f>
        <v>משרד החוץ של ארצות הברית מפרסם רשימה של השינויים שישראל ערכה מאז שארצות הברית דרשה להגדיל את הסיוע ההומניטרי לעזה, כאשר נותר פחות משבוע עד המועד האחרון.</v>
      </c>
      <c r="E198" s="3" t="s">
        <v>1337</v>
      </c>
      <c r="F198" s="3" t="str">
        <f>VLOOKUP($A198,Hebrew!$A:$S,4,0)</f>
        <v>דובר מחלקת המדינה של ארצות הברית מפרט , את השינויים שישראל עשתה מאז שארצות הברית דרשה להגדיל את הסיוע ההומניטרי לעזה, במכתב ממזכיר המדינה, אנתוני בלינקן, כאשר נותר פחות משבוע עד המועד האחרון לשינויים. הדובר מאשר שישראל לא עמדה במועד האחרון הראשוני לדון בערוץ פגיעות אזרחיות. אין סימן להשלכות.</v>
      </c>
      <c r="G198" s="3" t="s">
        <v>873</v>
      </c>
      <c r="H198" s="3" t="s">
        <v>1338</v>
      </c>
      <c r="I198" s="3" t="s">
        <v>873</v>
      </c>
      <c r="J198" s="3" t="s">
        <v>393</v>
      </c>
      <c r="K198" s="3" t="s">
        <v>1315</v>
      </c>
      <c r="L198" s="3" t="str">
        <f>VLOOKUP($A198,Hebrew!$A:$S,9,0)</f>
        <v>Dropsite News (@DropSiteNews)</v>
      </c>
      <c r="M198" s="3" t="s">
        <v>1339</v>
      </c>
      <c r="N198" s="2"/>
      <c r="O198" s="3" t="s">
        <v>26</v>
      </c>
      <c r="P198" s="3" t="s">
        <v>212</v>
      </c>
      <c r="Q198" s="3" t="str">
        <f>VLOOKUP($A198,Hebrew!$A:$S,13,0)</f>
        <v>צפון רצועת עזה</v>
      </c>
      <c r="R198" s="3" t="s">
        <v>396</v>
      </c>
      <c r="S198" s="3" t="s">
        <v>405</v>
      </c>
      <c r="T198" s="3" t="s">
        <v>1340</v>
      </c>
      <c r="U198" s="3" t="s">
        <v>715</v>
      </c>
      <c r="V198" s="3" t="s">
        <v>1341</v>
      </c>
      <c r="W198" s="3" t="s">
        <v>1342</v>
      </c>
      <c r="X198" s="2"/>
      <c r="Y198" s="2"/>
    </row>
    <row r="199" spans="1:25" x14ac:dyDescent="0.2">
      <c r="A199" s="3">
        <v>2192</v>
      </c>
      <c r="B199" s="4" t="s">
        <v>1343</v>
      </c>
      <c r="C199" s="3" t="s">
        <v>1344</v>
      </c>
      <c r="D199" s="3" t="str">
        <f>VLOOKUP(A199,Hebrew!A:C,3,0)</f>
        <v>בלינקן מהלל את הצלחת המכתב הדורש מישראל לשפר את אספקת הסיוע ההומניטרי לעזה</v>
      </c>
      <c r="E199" s="3" t="s">
        <v>1345</v>
      </c>
      <c r="F199" s="3" t="str">
        <f>VLOOKUP($A199,Hebrew!$A:$S,4,0)</f>
        <v>למרות האזהרות מפני רעב קרוב, מזכיר המדינה האמריקאי, בלינקן, טוען כי המכתב שלו לישראל לקידום הסיוע הוא הצלחה. בלינקן קורא ל"פסקי זמן אמיתיים ומורחבים" בלחימה, וללחץ על חמאס לשחרר את החטופים ולקבל את התוכניות של ארצות הברית וישראל לסיום המלחמה. ההודעה מגיעה כאשר סוכנויות הסיוע בשטח מתארות את המצב כ"קטסטרופלי" וכי רוב הקריטריונים המפורטים במכתב לא התקיימו.</v>
      </c>
      <c r="G199" s="3" t="s">
        <v>200</v>
      </c>
      <c r="H199" s="3" t="s">
        <v>200</v>
      </c>
      <c r="I199" s="3" t="s">
        <v>200</v>
      </c>
      <c r="J199" s="3" t="s">
        <v>393</v>
      </c>
      <c r="K199" s="3" t="s">
        <v>1315</v>
      </c>
      <c r="L199" s="3" t="str">
        <f>VLOOKUP($A199,Hebrew!$A:$S,9,0)</f>
        <v>Dropsite News (@DropSiteNews)</v>
      </c>
      <c r="M199" s="3" t="s">
        <v>1339</v>
      </c>
      <c r="N199" s="2"/>
      <c r="O199" s="3" t="s">
        <v>26</v>
      </c>
      <c r="P199" s="3" t="s">
        <v>27</v>
      </c>
      <c r="Q199" s="3" t="str">
        <f>VLOOKUP($A199,Hebrew!$A:$S,13,0)</f>
        <v>רצועת עזה</v>
      </c>
      <c r="R199" s="3" t="s">
        <v>396</v>
      </c>
      <c r="S199" s="3" t="s">
        <v>405</v>
      </c>
      <c r="T199" s="3" t="s">
        <v>1346</v>
      </c>
      <c r="U199" s="3" t="s">
        <v>1347</v>
      </c>
      <c r="V199" s="3" t="s">
        <v>27</v>
      </c>
      <c r="W199" s="3" t="s">
        <v>1348</v>
      </c>
      <c r="X199" s="2"/>
      <c r="Y199" s="2"/>
    </row>
    <row r="200" spans="1:25" x14ac:dyDescent="0.2">
      <c r="A200" s="3">
        <v>2193</v>
      </c>
      <c r="B200" s="4" t="s">
        <v>1349</v>
      </c>
      <c r="C200" s="3" t="s">
        <v>1350</v>
      </c>
      <c r="D200" s="3" t="str">
        <f>VLOOKUP(A200,Hebrew!A:C,3,0)</f>
        <v>סקיי ניוז מדווח על טיהור אתני בצפון עזה</v>
      </c>
      <c r="E200" s="3" t="s">
        <v>1351</v>
      </c>
      <c r="F200" s="3" t="str">
        <f>VLOOKUP($A200,Hebrew!$A:$S,4,0)</f>
        <v>דיווח על גירושים חוזרים, התקפות אוויר חוזרות ועצירת סיוע הומניטרי לפלסטינים בצפון עזה, בעקבות חלקם, כשהם בורחים לאזור ה"בטוח" באל-מוואסי. העיתונאי אליסטר בנקל ראיין את האלוף (מיל') גיורא איילנד, מחבר "תוכנית הגנרלים", שטוען כי איום בהרעבה הוא הדרך היעילה ביותר לכבוש את צפון עזה, וכי המטרה של התוכנית המדוברת היא לכבוש שטח כקלף מיקוח כדי להפעיל לחץ על חמאס לשחרר את החטופים הישראלים. הדיווח כולל גם סרטון של תקיפת רחפן ישראלי סמוך לחוף צפון עזה, עם מה שנשמע כמו לעג ובדיחות של חייל ישראלי.</v>
      </c>
      <c r="G200" s="3" t="s">
        <v>1352</v>
      </c>
      <c r="H200" s="2"/>
      <c r="I200" s="2"/>
      <c r="J200" s="3" t="s">
        <v>393</v>
      </c>
      <c r="K200" s="3" t="s">
        <v>1315</v>
      </c>
      <c r="L200" s="3" t="str">
        <f>VLOOKUP($A200,Hebrew!$A:$S,9,0)</f>
        <v>Dropsite News (@DropSiteNews)</v>
      </c>
      <c r="M200" s="3" t="s">
        <v>1353</v>
      </c>
      <c r="N200" s="2"/>
      <c r="O200" s="3" t="s">
        <v>426</v>
      </c>
      <c r="P200" s="3" t="s">
        <v>212</v>
      </c>
      <c r="Q200" s="3" t="str">
        <f>VLOOKUP($A200,Hebrew!$A:$S,13,0)</f>
        <v>צפון רצועת עזה</v>
      </c>
      <c r="R200" s="3" t="s">
        <v>396</v>
      </c>
      <c r="S200" s="3" t="s">
        <v>405</v>
      </c>
      <c r="T200" s="3" t="s">
        <v>1354</v>
      </c>
      <c r="U200" s="3" t="s">
        <v>1355</v>
      </c>
      <c r="V200" s="3" t="s">
        <v>1341</v>
      </c>
      <c r="W200" s="3" t="s">
        <v>1356</v>
      </c>
      <c r="X200" s="2"/>
      <c r="Y200" s="2"/>
    </row>
    <row r="201" spans="1:25" x14ac:dyDescent="0.2">
      <c r="A201" s="3">
        <v>2198</v>
      </c>
      <c r="B201" s="4" t="s">
        <v>1357</v>
      </c>
      <c r="C201" s="3" t="s">
        <v>1358</v>
      </c>
      <c r="D201" s="3" t="str">
        <f>VLOOKUP(A201,Hebrew!A:C,3,0)</f>
        <v>צה"ל פשט על בית החולים כמאל עדואן</v>
      </c>
      <c r="E201" s="3" t="s">
        <v>1359</v>
      </c>
      <c r="F201" s="3" t="str">
        <f>VLOOKUP($A201,Hebrew!$A:$S,4,0)</f>
        <v>לאחר הפצצות חוזרות, צה"ל פרץ לבית החולים, שבו יותר מ-150 ילדים, וכפה על כולם להתאסף בחצר, כולל צוות רפואי, מטופלים ואחרים.</v>
      </c>
      <c r="G201" s="3" t="s">
        <v>1314</v>
      </c>
      <c r="H201" s="3" t="s">
        <v>1314</v>
      </c>
      <c r="I201" s="3" t="s">
        <v>1314</v>
      </c>
      <c r="J201" s="3" t="s">
        <v>393</v>
      </c>
      <c r="K201" s="3" t="s">
        <v>1360</v>
      </c>
      <c r="L201" s="3" t="str">
        <f>VLOOKUP($A201,Hebrew!$A:$S,9,0)</f>
        <v>Euro-Med Monitor (@EuroMedHR)</v>
      </c>
      <c r="M201" s="2"/>
      <c r="N201" s="2"/>
      <c r="O201" s="3" t="s">
        <v>26</v>
      </c>
      <c r="P201" s="3" t="s">
        <v>51</v>
      </c>
      <c r="Q201" s="3" t="str">
        <f>VLOOKUP($A201,Hebrew!$A:$S,13,0)</f>
        <v>בית החולים כמאל עדואן</v>
      </c>
      <c r="R201" s="3" t="s">
        <v>396</v>
      </c>
      <c r="S201" s="3" t="s">
        <v>397</v>
      </c>
      <c r="T201" s="3" t="s">
        <v>1361</v>
      </c>
      <c r="U201" s="3" t="s">
        <v>43</v>
      </c>
      <c r="V201" s="3" t="s">
        <v>653</v>
      </c>
      <c r="W201" s="2"/>
      <c r="X201" s="2"/>
      <c r="Y201" s="2"/>
    </row>
    <row r="202" spans="1:25" x14ac:dyDescent="0.2">
      <c r="A202" s="3">
        <v>2199</v>
      </c>
      <c r="B202" s="4" t="s">
        <v>1362</v>
      </c>
      <c r="C202" s="3" t="s">
        <v>1363</v>
      </c>
      <c r="D202" s="3" t="str">
        <f>VLOOKUP(A202,Hebrew!A:C,3,0)</f>
        <v>אדריכלות פורנזית: טיהור אתני בצפון עזה</v>
      </c>
      <c r="E202" s="3" t="s">
        <v>1364</v>
      </c>
      <c r="F202" s="3" t="str">
        <f>VLOOKUP($A202,Hebrew!$A:$S,4,0)</f>
        <v>קבוצת 'האדריכלות הפורנזית' מנתחת את ההחמרה בטקטיקות צבאיות לאכיפת העברת אוכלוסיה בצפון עזה. עצירת הסיוע ההומניטרי נותרה בעינה, מה שמוביל לרעב יזום ברצועה.</v>
      </c>
      <c r="G202" s="3" t="s">
        <v>1365</v>
      </c>
      <c r="H202" s="3" t="s">
        <v>1365</v>
      </c>
      <c r="I202" s="3" t="s">
        <v>1366</v>
      </c>
      <c r="J202" s="3" t="s">
        <v>393</v>
      </c>
      <c r="K202" s="3" t="s">
        <v>1367</v>
      </c>
      <c r="L202" s="3" t="str">
        <f>VLOOKUP($A202,Hebrew!$A:$S,9,0)</f>
        <v>Forensic Architecture (@ForensicArchi)</v>
      </c>
      <c r="M202" s="2"/>
      <c r="N202" s="2"/>
      <c r="O202" s="3" t="s">
        <v>26</v>
      </c>
      <c r="P202" s="3" t="s">
        <v>461</v>
      </c>
      <c r="Q202" s="3" t="str">
        <f>VLOOKUP($A202,Hebrew!$A:$S,13,0)</f>
        <v>ג'באליה</v>
      </c>
      <c r="R202" s="3" t="s">
        <v>396</v>
      </c>
      <c r="S202" s="3" t="s">
        <v>413</v>
      </c>
      <c r="T202" s="3" t="s">
        <v>1368</v>
      </c>
      <c r="U202" s="3" t="s">
        <v>420</v>
      </c>
      <c r="V202" s="3" t="s">
        <v>1369</v>
      </c>
      <c r="W202" s="2"/>
      <c r="X202" s="2"/>
      <c r="Y202" s="2"/>
    </row>
    <row r="203" spans="1:25" x14ac:dyDescent="0.2">
      <c r="A203" s="3">
        <v>2200</v>
      </c>
      <c r="B203" s="4" t="s">
        <v>1370</v>
      </c>
      <c r="C203" s="3" t="s">
        <v>1371</v>
      </c>
      <c r="D203" s="3" t="str">
        <f>VLOOKUP(A203,Hebrew!A:C,3,0)</f>
        <v>מזה 21 ימים לא נכנס סיוע לצפון עזה</v>
      </c>
      <c r="E203" s="3" t="s">
        <v>1372</v>
      </c>
      <c r="F203" s="3" t="str">
        <f>VLOOKUP($A203,Hebrew!$A:$S,4,0)</f>
        <v>עיתונאי מעזה מאשים את ממשלת ישראל, וארה"ב בהפצת מידע לא מדויק על כניסת סיוע הומניטרי לעזה. בניגוד לדבריהן, המצור באזור מונע הכנסת כל סיוע במשך 21 ימים.</v>
      </c>
      <c r="G203" s="3" t="s">
        <v>22</v>
      </c>
      <c r="H203" s="2"/>
      <c r="I203" s="2"/>
      <c r="J203" s="3" t="s">
        <v>393</v>
      </c>
      <c r="K203" s="3" t="s">
        <v>1258</v>
      </c>
      <c r="L203" s="3" t="str">
        <f>VLOOKUP($A203,Hebrew!$A:$S,9,0)</f>
        <v>Hossam Shabat (@HossamShabat)</v>
      </c>
      <c r="M203" s="2"/>
      <c r="N203" s="2"/>
      <c r="O203" s="3" t="s">
        <v>26</v>
      </c>
      <c r="P203" s="3" t="s">
        <v>212</v>
      </c>
      <c r="Q203" s="3" t="str">
        <f>VLOOKUP($A203,Hebrew!$A:$S,13,0)</f>
        <v>צפון רצועת עזה</v>
      </c>
      <c r="R203" s="3" t="s">
        <v>396</v>
      </c>
      <c r="S203" s="3" t="s">
        <v>29</v>
      </c>
      <c r="T203" s="3" t="s">
        <v>1373</v>
      </c>
      <c r="U203" s="3" t="s">
        <v>1374</v>
      </c>
      <c r="V203" s="3" t="s">
        <v>212</v>
      </c>
      <c r="W203" s="2"/>
      <c r="X203" s="2"/>
      <c r="Y203" s="2"/>
    </row>
    <row r="204" spans="1:25" x14ac:dyDescent="0.2">
      <c r="A204" s="3">
        <v>2201</v>
      </c>
      <c r="B204" s="4" t="s">
        <v>1375</v>
      </c>
      <c r="C204" s="3" t="s">
        <v>1376</v>
      </c>
      <c r="D204" s="3" t="str">
        <f>VLOOKUP(A204,Hebrew!A:C,3,0)</f>
        <v>ההגנה האזרחית בצפון עזה מתמוטטת</v>
      </c>
      <c r="E204" s="3" t="s">
        <v>1377</v>
      </c>
      <c r="F204" s="3" t="str">
        <f>VLOOKUP($A204,Hebrew!$A:$S,4,0)</f>
        <v>ההגנה האזרחית בעזה מכריזה על הפסקת כל הפעילות ההומניטרית בעקבות התקפות צה"ל ופעולותיו. חלק מחברי ההגנה האזרחית נעצרו ואחרים סומנו כמטרות. חברי ההגנה האזרחית קוראים להתערבות הקהילה הבינלאומית.</v>
      </c>
      <c r="G204" s="3" t="s">
        <v>608</v>
      </c>
      <c r="H204" s="3" t="s">
        <v>608</v>
      </c>
      <c r="I204" s="3" t="s">
        <v>608</v>
      </c>
      <c r="J204" s="3" t="s">
        <v>393</v>
      </c>
      <c r="K204" s="3" t="s">
        <v>1258</v>
      </c>
      <c r="L204" s="3" t="str">
        <f>VLOOKUP($A204,Hebrew!$A:$S,9,0)</f>
        <v>Hossam Shabat (@HossamShabat)</v>
      </c>
      <c r="M204" s="2"/>
      <c r="N204" s="2"/>
      <c r="O204" s="3" t="s">
        <v>1011</v>
      </c>
      <c r="P204" s="3" t="s">
        <v>1378</v>
      </c>
      <c r="Q204" s="3" t="str">
        <f>VLOOKUP($A204,Hebrew!$A:$S,13,0)</f>
        <v>צפון רצועת עזה, בית לאהיא, בית החולים כמאל עדואן</v>
      </c>
      <c r="R204" s="3" t="s">
        <v>396</v>
      </c>
      <c r="S204" s="3" t="s">
        <v>405</v>
      </c>
      <c r="T204" s="3" t="s">
        <v>1379</v>
      </c>
      <c r="U204" s="3" t="s">
        <v>43</v>
      </c>
      <c r="V204" s="3" t="s">
        <v>1380</v>
      </c>
      <c r="W204" s="2"/>
      <c r="X204" s="2"/>
      <c r="Y204" s="2"/>
    </row>
    <row r="205" spans="1:25" x14ac:dyDescent="0.2">
      <c r="A205" s="3">
        <v>2204</v>
      </c>
      <c r="B205" s="4" t="s">
        <v>1381</v>
      </c>
      <c r="C205" s="3" t="s">
        <v>1382</v>
      </c>
      <c r="D205" s="3" t="str">
        <f>VLOOKUP(A205,Hebrew!A:C,3,0)</f>
        <v>צה"ל פושט על כמאל עדואן</v>
      </c>
      <c r="E205" s="3" t="s">
        <v>1383</v>
      </c>
      <c r="F205" s="3" t="str">
        <f>VLOOKUP($A205,Hebrew!$A:$S,4,0)</f>
        <v>צה"ל אסף את הפצועים ולצידם את המלוים בחצר בית החולים, והפריד בין הגברים לנשים.</v>
      </c>
      <c r="G205" s="3" t="s">
        <v>624</v>
      </c>
      <c r="H205" s="3" t="s">
        <v>624</v>
      </c>
      <c r="I205" s="3" t="s">
        <v>624</v>
      </c>
      <c r="J205" s="3" t="s">
        <v>393</v>
      </c>
      <c r="K205" s="3" t="s">
        <v>1258</v>
      </c>
      <c r="L205" s="3" t="str">
        <f>VLOOKUP($A205,Hebrew!$A:$S,9,0)</f>
        <v>Hossam Shabat (@HossamShabat)</v>
      </c>
      <c r="M205" s="2"/>
      <c r="N205" s="2"/>
      <c r="O205" s="3" t="s">
        <v>645</v>
      </c>
      <c r="P205" s="3" t="s">
        <v>51</v>
      </c>
      <c r="Q205" s="3" t="str">
        <f>VLOOKUP($A205,Hebrew!$A:$S,13,0)</f>
        <v>בית החולים כמאל עדואן</v>
      </c>
      <c r="R205" s="3" t="s">
        <v>396</v>
      </c>
      <c r="S205" s="3" t="s">
        <v>29</v>
      </c>
      <c r="T205" s="3" t="s">
        <v>1384</v>
      </c>
      <c r="U205" s="3" t="s">
        <v>43</v>
      </c>
      <c r="V205" s="3" t="s">
        <v>51</v>
      </c>
      <c r="W205" s="2"/>
      <c r="X205" s="2"/>
      <c r="Y205" s="2"/>
    </row>
    <row r="206" spans="1:25" x14ac:dyDescent="0.2">
      <c r="A206" s="3">
        <v>2205</v>
      </c>
      <c r="B206" s="4" t="s">
        <v>1385</v>
      </c>
      <c r="C206" s="3" t="s">
        <v>1386</v>
      </c>
      <c r="D206" s="3" t="str">
        <f>VLOOKUP(A206,Hebrew!A:C,3,0)</f>
        <v>ישראל מונעת הכנסת מים לעזה</v>
      </c>
      <c r="E206" s="3" t="s">
        <v>1387</v>
      </c>
      <c r="F206" s="3" t="str">
        <f>VLOOKUP($A206,Hebrew!$A:$S,4,0)</f>
        <v>הממשלה הישראלית עושה שימוש מכוון ברעב ככלי מלחמה.</v>
      </c>
      <c r="G206" s="3" t="s">
        <v>101</v>
      </c>
      <c r="H206" s="3" t="s">
        <v>1338</v>
      </c>
      <c r="I206" s="3" t="s">
        <v>101</v>
      </c>
      <c r="J206" s="3" t="s">
        <v>393</v>
      </c>
      <c r="K206" s="3" t="s">
        <v>1258</v>
      </c>
      <c r="L206" s="3" t="str">
        <f>VLOOKUP($A206,Hebrew!$A:$S,9,0)</f>
        <v>Hossam Shabat (@HossamShabat)</v>
      </c>
      <c r="M206" s="2"/>
      <c r="N206" s="2"/>
      <c r="O206" s="3" t="s">
        <v>26</v>
      </c>
      <c r="P206" s="3" t="s">
        <v>212</v>
      </c>
      <c r="Q206" s="3" t="str">
        <f>VLOOKUP($A206,Hebrew!$A:$S,13,0)</f>
        <v>צפון רצועת עזה</v>
      </c>
      <c r="R206" s="3" t="s">
        <v>396</v>
      </c>
      <c r="S206" s="3" t="s">
        <v>29</v>
      </c>
      <c r="T206" s="3" t="s">
        <v>1388</v>
      </c>
      <c r="U206" s="3" t="s">
        <v>420</v>
      </c>
      <c r="V206" s="3" t="s">
        <v>212</v>
      </c>
      <c r="W206" s="2"/>
      <c r="X206" s="2"/>
      <c r="Y206" s="2"/>
    </row>
    <row r="207" spans="1:25" x14ac:dyDescent="0.2">
      <c r="A207" s="3">
        <v>2206</v>
      </c>
      <c r="B207" s="4" t="s">
        <v>1389</v>
      </c>
      <c r="C207" s="3" t="s">
        <v>1390</v>
      </c>
      <c r="D207" s="3" t="str">
        <f>VLOOKUP(A207,Hebrew!A:C,3,0)</f>
        <v>צה"ל עוצר עשרות גברים מצפון עזה</v>
      </c>
      <c r="E207" s="3" t="s">
        <v>1391</v>
      </c>
      <c r="F207" s="3" t="str">
        <f>VLOOKUP($A207,Hebrew!$A:$S,4,0)</f>
        <v>עשרות עצורים בצפון עזה ממוספרים, מכוסי עיניים, ואז נלקחים למקומות לא ידועים. לפי הפוסט הזה, "רבים" מהם מוצאים להורג.</v>
      </c>
      <c r="G207" s="3" t="s">
        <v>124</v>
      </c>
      <c r="H207" s="2"/>
      <c r="I207" s="2"/>
      <c r="J207" s="3" t="s">
        <v>393</v>
      </c>
      <c r="K207" s="3" t="s">
        <v>1258</v>
      </c>
      <c r="L207" s="3" t="str">
        <f>VLOOKUP($A207,Hebrew!$A:$S,9,0)</f>
        <v>Hossam Shabat (@HossamShabat)</v>
      </c>
      <c r="M207" s="2"/>
      <c r="N207" s="2"/>
      <c r="O207" s="3" t="s">
        <v>26</v>
      </c>
      <c r="P207" s="3" t="s">
        <v>212</v>
      </c>
      <c r="Q207" s="3" t="str">
        <f>VLOOKUP($A207,Hebrew!$A:$S,13,0)</f>
        <v>צפון רצועת עזה</v>
      </c>
      <c r="R207" s="3" t="s">
        <v>396</v>
      </c>
      <c r="S207" s="3" t="s">
        <v>397</v>
      </c>
      <c r="T207" s="3" t="s">
        <v>1392</v>
      </c>
      <c r="U207" s="3" t="s">
        <v>1393</v>
      </c>
      <c r="V207" s="3" t="s">
        <v>212</v>
      </c>
      <c r="W207" s="2"/>
      <c r="X207" s="2"/>
      <c r="Y207" s="2"/>
    </row>
    <row r="208" spans="1:25" x14ac:dyDescent="0.2">
      <c r="A208" s="3">
        <v>2208</v>
      </c>
      <c r="B208" s="4" t="s">
        <v>1394</v>
      </c>
      <c r="C208" s="3" t="s">
        <v>1395</v>
      </c>
      <c r="D208" s="3" t="str">
        <f>VLOOKUP(A208,Hebrew!A:C,3,0)</f>
        <v>צה"ל מפציץ מקלט לעקורים מצפון עזה</v>
      </c>
      <c r="E208" s="3" t="s">
        <v>1396</v>
      </c>
      <c r="F208" s="3" t="str">
        <f>VLOOKUP($A208,Hebrew!$A:$S,4,0)</f>
        <v>עיתונאי מתאר את תוצאות ההפצצה של צה"ל על מקלט לעקורים שהועברו מצפון עזה.</v>
      </c>
      <c r="G208" s="3" t="s">
        <v>873</v>
      </c>
      <c r="H208" s="3" t="s">
        <v>873</v>
      </c>
      <c r="I208" s="3" t="s">
        <v>873</v>
      </c>
      <c r="J208" s="3" t="s">
        <v>393</v>
      </c>
      <c r="K208" s="3" t="s">
        <v>1258</v>
      </c>
      <c r="L208" s="3" t="str">
        <f>VLOOKUP($A208,Hebrew!$A:$S,9,0)</f>
        <v>Hossam Shabat (@HossamShabat)</v>
      </c>
      <c r="M208" s="2"/>
      <c r="N208" s="2"/>
      <c r="O208" s="3" t="s">
        <v>1011</v>
      </c>
      <c r="P208" s="3" t="s">
        <v>212</v>
      </c>
      <c r="Q208" s="3" t="str">
        <f>VLOOKUP($A208,Hebrew!$A:$S,13,0)</f>
        <v>צפון רצועת עזה</v>
      </c>
      <c r="R208" s="3" t="s">
        <v>396</v>
      </c>
      <c r="S208" s="3" t="s">
        <v>413</v>
      </c>
      <c r="T208" s="3" t="s">
        <v>1397</v>
      </c>
      <c r="U208" s="3" t="s">
        <v>43</v>
      </c>
      <c r="V208" s="3" t="s">
        <v>1341</v>
      </c>
      <c r="W208" s="2"/>
      <c r="X208" s="2"/>
      <c r="Y208" s="2"/>
    </row>
    <row r="209" spans="1:25" x14ac:dyDescent="0.2">
      <c r="A209" s="3">
        <v>2209</v>
      </c>
      <c r="B209" s="4" t="s">
        <v>1398</v>
      </c>
      <c r="C209" s="3" t="s">
        <v>1399</v>
      </c>
      <c r="D209" s="3" t="str">
        <f>VLOOKUP(A209,Hebrew!A:C,3,0)</f>
        <v>11 בני משפחתו של העיתונאי חוסאם שבת נהרגו בהתקפה אווירית על מקלט בבית ספר.</v>
      </c>
      <c r="E209" s="3" t="s">
        <v>1400</v>
      </c>
      <c r="F209" s="3" t="str">
        <f>VLOOKUP($A209,Hebrew!$A:$S,4,0)</f>
        <v>11 מבני דודיו של חוסאם שבת נהרגו בהתקפה אווירית על מקלט בבית ספר, ונאלצו להיקבר במהירות ללא הלווייה.</v>
      </c>
      <c r="G209" s="3" t="s">
        <v>873</v>
      </c>
      <c r="H209" s="3" t="s">
        <v>873</v>
      </c>
      <c r="I209" s="3" t="s">
        <v>873</v>
      </c>
      <c r="J209" s="3" t="s">
        <v>393</v>
      </c>
      <c r="K209" s="3" t="s">
        <v>1258</v>
      </c>
      <c r="L209" s="3" t="str">
        <f>VLOOKUP($A209,Hebrew!$A:$S,9,0)</f>
        <v>Hossam Shabat (@HossamShabat)</v>
      </c>
      <c r="M209" s="2"/>
      <c r="N209" s="2"/>
      <c r="O209" s="3" t="s">
        <v>1011</v>
      </c>
      <c r="P209" s="3" t="s">
        <v>1401</v>
      </c>
      <c r="Q209" s="3" t="str">
        <f>VLOOKUP($A209,Hebrew!$A:$S,13,0)</f>
        <v>צפון רצועת עזה</v>
      </c>
      <c r="R209" s="3" t="s">
        <v>396</v>
      </c>
      <c r="S209" s="3" t="s">
        <v>413</v>
      </c>
      <c r="T209" s="3" t="s">
        <v>1402</v>
      </c>
      <c r="U209" s="3" t="s">
        <v>43</v>
      </c>
      <c r="V209" s="3" t="s">
        <v>212</v>
      </c>
      <c r="W209" s="2"/>
      <c r="X209" s="2"/>
      <c r="Y209" s="2"/>
    </row>
    <row r="210" spans="1:25" x14ac:dyDescent="0.2">
      <c r="A210" s="3">
        <v>2210</v>
      </c>
      <c r="B210" s="4" t="s">
        <v>1403</v>
      </c>
      <c r="C210" s="3" t="s">
        <v>1404</v>
      </c>
      <c r="D210" s="3" t="str">
        <f>VLOOKUP(A210,Hebrew!A:C,3,0)</f>
        <v>עיתונאי מעזה שאך זה איבד את משפחתו עד לטבח נוסף</v>
      </c>
      <c r="E210" s="3" t="s">
        <v>1405</v>
      </c>
      <c r="F210" s="3" t="str">
        <f>VLOOKUP($A210,Hebrew!$A:$S,4,0)</f>
        <v>עיתונאי מתאר כיצד קבר את 11 בני דודיו שנרצחו בהתקפת אוויר וכמעט מיד לאחר מכן היה עד להתקפת אוויר נוספת.</v>
      </c>
      <c r="G210" s="3" t="s">
        <v>873</v>
      </c>
      <c r="H210" s="3" t="s">
        <v>873</v>
      </c>
      <c r="I210" s="3" t="s">
        <v>873</v>
      </c>
      <c r="J210" s="3" t="s">
        <v>393</v>
      </c>
      <c r="K210" s="3" t="s">
        <v>1258</v>
      </c>
      <c r="L210" s="3" t="str">
        <f>VLOOKUP($A210,Hebrew!$A:$S,9,0)</f>
        <v>Hossam Shabat (@HossamShabat)</v>
      </c>
      <c r="M210" s="2"/>
      <c r="N210" s="2"/>
      <c r="O210" s="3" t="s">
        <v>26</v>
      </c>
      <c r="P210" s="3" t="s">
        <v>212</v>
      </c>
      <c r="Q210" s="3" t="str">
        <f>VLOOKUP($A210,Hebrew!$A:$S,13,0)</f>
        <v>צפון רצועת עזה</v>
      </c>
      <c r="R210" s="3" t="s">
        <v>396</v>
      </c>
      <c r="S210" s="3" t="s">
        <v>29</v>
      </c>
      <c r="T210" s="3" t="s">
        <v>1406</v>
      </c>
      <c r="U210" s="3" t="s">
        <v>43</v>
      </c>
      <c r="V210" s="3" t="s">
        <v>1341</v>
      </c>
      <c r="W210" s="2"/>
      <c r="X210" s="2"/>
      <c r="Y210" s="2"/>
    </row>
    <row r="211" spans="1:25" x14ac:dyDescent="0.2">
      <c r="A211" s="3">
        <v>2212</v>
      </c>
      <c r="B211" s="4" t="s">
        <v>1407</v>
      </c>
      <c r="C211" s="3" t="s">
        <v>1408</v>
      </c>
      <c r="D211" s="3" t="str">
        <f>VLOOKUP(A211,Hebrew!A:C,3,0)</f>
        <v>קבורת בני דודיו של חוסאם שבת</v>
      </c>
      <c r="E211" s="3" t="s">
        <v>1409</v>
      </c>
      <c r="F211" s="3" t="str">
        <f>VLOOKUP($A211,Hebrew!$A:$S,4,0)</f>
        <v>מקרי מוות תכופים מפריעים למנהגים הרגילים של קבורה ואבל בעזה. הקבורות מהירות, בקברים מאולתרים, בין ההריסות. הסרטון צולם ב-7 בנובמבר 2024.</v>
      </c>
      <c r="G211" s="3" t="s">
        <v>1410</v>
      </c>
      <c r="H211" s="3" t="s">
        <v>1410</v>
      </c>
      <c r="I211" s="3" t="s">
        <v>1410</v>
      </c>
      <c r="J211" s="3" t="s">
        <v>393</v>
      </c>
      <c r="K211" s="3" t="s">
        <v>1258</v>
      </c>
      <c r="L211" s="3" t="str">
        <f>VLOOKUP($A211,Hebrew!$A:$S,9,0)</f>
        <v>Hossam Shabat (@HossamShabat)</v>
      </c>
      <c r="M211" s="2"/>
      <c r="N211" s="2"/>
      <c r="O211" s="3" t="s">
        <v>26</v>
      </c>
      <c r="P211" s="3" t="s">
        <v>212</v>
      </c>
      <c r="Q211" s="3" t="str">
        <f>VLOOKUP($A211,Hebrew!$A:$S,13,0)</f>
        <v>צפון רצועת עזה</v>
      </c>
      <c r="R211" s="3" t="s">
        <v>396</v>
      </c>
      <c r="S211" s="3" t="s">
        <v>413</v>
      </c>
      <c r="T211" s="3" t="s">
        <v>1411</v>
      </c>
      <c r="U211" s="3" t="s">
        <v>43</v>
      </c>
      <c r="V211" s="3" t="s">
        <v>1341</v>
      </c>
      <c r="W211" s="2"/>
      <c r="X211" s="2"/>
      <c r="Y211" s="2"/>
    </row>
    <row r="212" spans="1:25" x14ac:dyDescent="0.2">
      <c r="A212" s="3">
        <v>2213</v>
      </c>
      <c r="B212" s="4" t="s">
        <v>1412</v>
      </c>
      <c r="C212" s="3" t="s">
        <v>1413</v>
      </c>
      <c r="D212" s="3" t="str">
        <f>VLOOKUP(A212,Hebrew!A:C,3,0)</f>
        <v>הפצצות בבית חנון; קרובי משפחתו של חוסאם שבת לכודים תחת ההריסות</v>
      </c>
      <c r="E212" s="3" t="s">
        <v>1414</v>
      </c>
      <c r="F212" s="3" t="str">
        <f>VLOOKUP($A212,Hebrew!$A:$S,4,0)</f>
        <v>ביתו של קרוב משפחה של חוסאם שבת הופצץ ואנשים נלכדו תחת ההריסות בבת חנון הנצורה. האזור אינו נגיש לצוותי החילוץ.</v>
      </c>
      <c r="G212" s="3" t="s">
        <v>1415</v>
      </c>
      <c r="H212" s="3" t="s">
        <v>1415</v>
      </c>
      <c r="I212" s="3" t="s">
        <v>1415</v>
      </c>
      <c r="J212" s="3" t="s">
        <v>393</v>
      </c>
      <c r="K212" s="3" t="s">
        <v>1258</v>
      </c>
      <c r="L212" s="3" t="str">
        <f>VLOOKUP($A212,Hebrew!$A:$S,9,0)</f>
        <v>Hossam Shabat (@HossamShabat)</v>
      </c>
      <c r="M212" s="2"/>
      <c r="N212" s="2"/>
      <c r="O212" s="3" t="s">
        <v>26</v>
      </c>
      <c r="P212" s="3" t="s">
        <v>1416</v>
      </c>
      <c r="Q212" s="3" t="str">
        <f>VLOOKUP($A212,Hebrew!$A:$S,13,0)</f>
        <v>בית חאנון</v>
      </c>
      <c r="R212" s="3" t="s">
        <v>396</v>
      </c>
      <c r="S212" s="3" t="s">
        <v>29</v>
      </c>
      <c r="T212" s="3" t="s">
        <v>1417</v>
      </c>
      <c r="U212" s="3" t="s">
        <v>43</v>
      </c>
      <c r="V212" s="3" t="s">
        <v>1418</v>
      </c>
      <c r="W212" s="2"/>
      <c r="X212" s="2"/>
      <c r="Y212" s="2"/>
    </row>
    <row r="213" spans="1:25" x14ac:dyDescent="0.2">
      <c r="A213" s="3">
        <v>1026</v>
      </c>
      <c r="B213" s="4" t="s">
        <v>1419</v>
      </c>
      <c r="C213" s="3" t="s">
        <v>1420</v>
      </c>
      <c r="D213" s="3" t="str">
        <f>VLOOKUP(A213,Hebrew!A:C,3,0)</f>
        <v>מתפשטת הסכמה כי ישראל מבצעת רצח עם בעזה</v>
      </c>
      <c r="E213" s="3" t="s">
        <v>1421</v>
      </c>
      <c r="F213" s="3" t="str">
        <f>VLOOKUP($A213,Hebrew!$A:$S,4,0)</f>
        <v>אוסף של עשרות קישורים של חוקרים, מומחים ומוסדות שטוענים כי ישראל מבצעת רצח עם בעזה. הקישורים מסודרים בסדר כרונולוגי בדרך כלל.</v>
      </c>
      <c r="G213" s="3" t="s">
        <v>1352</v>
      </c>
      <c r="H213" s="2"/>
      <c r="I213" s="2"/>
      <c r="J213" s="3" t="s">
        <v>393</v>
      </c>
      <c r="K213" s="3" t="s">
        <v>1422</v>
      </c>
      <c r="L213" s="3" t="str">
        <f>VLOOKUP($A213,Hebrew!$A:$S,9,0)</f>
        <v>Nimer Sultany (@NimerSultany)</v>
      </c>
      <c r="M213" s="2"/>
      <c r="N213" s="2"/>
      <c r="O213" s="3" t="s">
        <v>26</v>
      </c>
      <c r="P213" s="3" t="s">
        <v>27</v>
      </c>
      <c r="Q213" s="3" t="str">
        <f>VLOOKUP($A213,Hebrew!$A:$S,13,0)</f>
        <v>רצועת עזה</v>
      </c>
      <c r="R213" s="3" t="s">
        <v>396</v>
      </c>
      <c r="S213" s="3" t="s">
        <v>29</v>
      </c>
      <c r="T213" s="3" t="s">
        <v>1423</v>
      </c>
      <c r="U213" s="3" t="s">
        <v>1424</v>
      </c>
      <c r="V213" s="3" t="s">
        <v>27</v>
      </c>
      <c r="W213" s="2"/>
      <c r="X213" s="2"/>
      <c r="Y213" s="2"/>
    </row>
    <row r="214" spans="1:25" x14ac:dyDescent="0.2">
      <c r="A214" s="3">
        <v>1027</v>
      </c>
      <c r="B214" s="4" t="s">
        <v>1425</v>
      </c>
      <c r="C214" s="3" t="s">
        <v>1426</v>
      </c>
      <c r="D214" s="3" t="str">
        <f>VLOOKUP(A214,Hebrew!A:C,3,0)</f>
        <v>הצהרה של הממונה המיוחד של האומות המאוחדות לתהליך השלום במזרח התיכון</v>
      </c>
      <c r="E214" s="3" t="s">
        <v>1427</v>
      </c>
      <c r="F214" s="3" t="str">
        <f>VLOOKUP($A214,Hebrew!$A:$S,4,0)</f>
        <v>טור ונסלנד, מתאם האומות המאוחדות לתהליך השלום במזרח התיכון, מגנה את ההתקפות על אזרחים בעזה וקורא להחזיר את החטופים ולהגן על כל האזרחים.</v>
      </c>
      <c r="G214" s="3" t="s">
        <v>1428</v>
      </c>
      <c r="H214" s="2"/>
      <c r="I214" s="2"/>
      <c r="J214" s="3" t="s">
        <v>393</v>
      </c>
      <c r="K214" s="3" t="s">
        <v>1429</v>
      </c>
      <c r="L214" s="3" t="str">
        <f>VLOOKUP($A214,Hebrew!$A:$S,9,0)</f>
        <v>Tor Wennesland (@TWennesland)</v>
      </c>
      <c r="M214" s="2"/>
      <c r="N214" s="2"/>
      <c r="O214" s="3" t="s">
        <v>26</v>
      </c>
      <c r="P214" s="3" t="s">
        <v>27</v>
      </c>
      <c r="Q214" s="3" t="str">
        <f>VLOOKUP($A214,Hebrew!$A:$S,13,0)</f>
        <v>רצועת עזה</v>
      </c>
      <c r="R214" s="3" t="s">
        <v>396</v>
      </c>
      <c r="S214" s="3" t="s">
        <v>397</v>
      </c>
      <c r="T214" s="3" t="s">
        <v>1430</v>
      </c>
      <c r="U214" s="3" t="s">
        <v>275</v>
      </c>
      <c r="V214" s="3" t="s">
        <v>1341</v>
      </c>
      <c r="W214" s="2"/>
      <c r="X214" s="2"/>
      <c r="Y214" s="2"/>
    </row>
    <row r="215" spans="1:25" x14ac:dyDescent="0.2">
      <c r="A215" s="3">
        <v>1032</v>
      </c>
      <c r="B215" s="4" t="s">
        <v>1431</v>
      </c>
      <c r="C215" s="3" t="s">
        <v>1432</v>
      </c>
      <c r="D215" s="3" t="str">
        <f>VLOOKUP(A215,Hebrew!A:C,3,0)</f>
        <v>בית הדין הפלילי הבינלאומי מפרסם את תגובת ישראל לבקשות המעצר</v>
      </c>
      <c r="E215" s="3" t="s">
        <v>1433</v>
      </c>
      <c r="F215" s="3" t="str">
        <f>VLOOKUP($A215,Hebrew!$A:$S,4,0)</f>
        <v>בית המשפט הפלילי הבינלאומי פרסם את התגובות הרשמית של ישראל לבקשות צו המעצר נגד בנימין נתניהו ויואב גלנט, המאתגרות את סמכות בית המשפט וטוענות לצורך בהודעה נדרשת.</v>
      </c>
      <c r="G215" s="3" t="s">
        <v>893</v>
      </c>
      <c r="H215" s="2"/>
      <c r="I215" s="2"/>
      <c r="J215" s="3" t="s">
        <v>393</v>
      </c>
      <c r="K215" s="3" t="s">
        <v>1434</v>
      </c>
      <c r="L215" s="3" t="str">
        <f>VLOOKUP($A215,Hebrew!$A:$S,9,0)</f>
        <v>Just Security (@just_security)</v>
      </c>
      <c r="M215" s="2"/>
      <c r="N215" s="4" t="s">
        <v>1435</v>
      </c>
      <c r="O215" s="3" t="s">
        <v>26</v>
      </c>
      <c r="P215" s="2"/>
      <c r="Q215" s="3">
        <f>VLOOKUP($A215,Hebrew!$A:$S,13,0)</f>
        <v>0</v>
      </c>
      <c r="R215" s="3" t="s">
        <v>396</v>
      </c>
      <c r="S215" s="3" t="s">
        <v>397</v>
      </c>
      <c r="T215" s="3" t="s">
        <v>1436</v>
      </c>
      <c r="U215" s="3" t="s">
        <v>897</v>
      </c>
      <c r="V215" s="2"/>
      <c r="W215" s="3" t="s">
        <v>219</v>
      </c>
      <c r="X215" s="2"/>
      <c r="Y215" s="2"/>
    </row>
    <row r="216" spans="1:25" x14ac:dyDescent="0.2">
      <c r="A216" s="3">
        <v>1034</v>
      </c>
      <c r="B216" s="4" t="s">
        <v>1437</v>
      </c>
      <c r="C216" s="3" t="s">
        <v>1438</v>
      </c>
      <c r="D216" s="3" t="str">
        <f>VLOOKUP(A216,Hebrew!A:C,3,0)</f>
        <v>סקר מצביע על כך שרוב הישראלים תומכים בסיום הסכסוך בעזה באמצעים דיפלומטיים</v>
      </c>
      <c r="E216" s="3" t="s">
        <v>1439</v>
      </c>
      <c r="F216" s="3" t="str">
        <f>VLOOKUP($A216,Hebrew!$A:$S,4,0)</f>
        <v>סקר של ערוץ 13 מגלה ששני שליש מהישראלים (66%) תומכים בסיום המלחמה ובביצוע עסקת חטופים, בעוד שרק 27% תומכים בהמשך הפעולות הצבאיות.</v>
      </c>
      <c r="G216" s="3" t="s">
        <v>1440</v>
      </c>
      <c r="H216" s="2"/>
      <c r="I216" s="2"/>
      <c r="J216" s="3" t="s">
        <v>393</v>
      </c>
      <c r="K216" s="3" t="s">
        <v>1441</v>
      </c>
      <c r="L216" s="3" t="str">
        <f>VLOOKUP($A216,Hebrew!$A:$S,9,0)</f>
        <v>אורי ולטמן (@uriweltmann)</v>
      </c>
      <c r="M216" s="3" t="s">
        <v>374</v>
      </c>
      <c r="N216" s="2"/>
      <c r="O216" s="3" t="s">
        <v>39</v>
      </c>
      <c r="P216" s="2"/>
      <c r="Q216" s="3">
        <f>VLOOKUP($A216,Hebrew!$A:$S,13,0)</f>
        <v>0</v>
      </c>
      <c r="R216" s="3" t="s">
        <v>396</v>
      </c>
      <c r="S216" s="3" t="s">
        <v>455</v>
      </c>
      <c r="T216" s="3" t="s">
        <v>1442</v>
      </c>
      <c r="U216" s="2"/>
      <c r="V216" s="2"/>
      <c r="W216" s="2"/>
      <c r="X216" s="2"/>
      <c r="Y216" s="2"/>
    </row>
    <row r="217" spans="1:25" x14ac:dyDescent="0.2">
      <c r="A217" s="3">
        <v>1035</v>
      </c>
      <c r="B217" s="4" t="s">
        <v>1443</v>
      </c>
      <c r="C217" s="3" t="s">
        <v>1444</v>
      </c>
      <c r="D217" s="3" t="str">
        <f>VLOOKUP(A217,Hebrew!A:C,3,0)</f>
        <v>יואב גלנט מגיב לבקשה למעצרו מטעם בית הדין הבינלאומי</v>
      </c>
      <c r="E217" s="3" t="s">
        <v>1445</v>
      </c>
      <c r="F217" s="3" t="str">
        <f>VLOOKUP($A217,Hebrew!$A:$S,4,0)</f>
        <v>שר הביטחון, יואב גלנט, משתף את הצהרתו לאחר שבית הדין הפלילי הבינלאומי הוציא נגדו צווי מעצר. גלנט הצהיר כי הוא עומד מאחורי מעשיו ומעשי ישראל והצבא, ומגנה את החלטת בית הדין.</v>
      </c>
      <c r="G217" s="3" t="s">
        <v>199</v>
      </c>
      <c r="H217" s="2"/>
      <c r="I217" s="2"/>
      <c r="J217" s="3" t="s">
        <v>393</v>
      </c>
      <c r="K217" s="3" t="s">
        <v>1446</v>
      </c>
      <c r="L217" s="3" t="str">
        <f>VLOOKUP($A217,Hebrew!$A:$S,9,0)</f>
        <v>יואב גלנט (@yoavgallant)</v>
      </c>
      <c r="M217" s="2"/>
      <c r="N217" s="2"/>
      <c r="O217" s="3" t="s">
        <v>26</v>
      </c>
      <c r="P217" s="2"/>
      <c r="Q217" s="3">
        <f>VLOOKUP($A217,Hebrew!$A:$S,13,0)</f>
        <v>0</v>
      </c>
      <c r="R217" s="3" t="s">
        <v>396</v>
      </c>
      <c r="S217" s="3" t="s">
        <v>29</v>
      </c>
      <c r="T217" s="3" t="s">
        <v>1447</v>
      </c>
      <c r="U217" s="3" t="s">
        <v>897</v>
      </c>
      <c r="V217" s="2"/>
      <c r="W217" s="3" t="s">
        <v>1160</v>
      </c>
      <c r="X217" s="2"/>
      <c r="Y217" s="2"/>
    </row>
    <row r="218" spans="1:25" x14ac:dyDescent="0.2">
      <c r="A218" s="3">
        <v>1129</v>
      </c>
      <c r="B218" s="4" t="s">
        <v>1448</v>
      </c>
      <c r="C218" s="3" t="s">
        <v>1449</v>
      </c>
      <c r="D218" s="3" t="str">
        <f>VLOOKUP(A218,Hebrew!A:C,3,0)</f>
        <v>פלסטיני שהמיר את דתו ליהדות נורה למוות על ידי חיילי מילואים בגוש עציון</v>
      </c>
      <c r="E218" s="3" t="s">
        <v>1450</v>
      </c>
      <c r="F218" s="3" t="str">
        <f>VLOOKUP($A218,Hebrew!$A:$S,4,0)</f>
        <v>גבר פלסטיני בן 63 שהמיר את דתו ליהדות נורה למוות על ידי חייל צה"ל במילואים, ליד תחנת אוטובוס בגוש עציון. נסיבות הירי והטיפול במקרה אפופים בחשד.</v>
      </c>
      <c r="G218" s="3" t="s">
        <v>927</v>
      </c>
      <c r="H218" s="2"/>
      <c r="I218" s="2"/>
      <c r="J218" s="3" t="s">
        <v>258</v>
      </c>
      <c r="K218" s="3" t="s">
        <v>1451</v>
      </c>
      <c r="L218" s="3" t="str">
        <f>VLOOKUP($A218,Hebrew!$A:$S,9,0)</f>
        <v>אלישע בן קימון, יואב זיתון</v>
      </c>
      <c r="M218" s="2"/>
      <c r="N218" s="2"/>
      <c r="O218" s="3" t="s">
        <v>39</v>
      </c>
      <c r="P218" s="3" t="s">
        <v>1452</v>
      </c>
      <c r="Q218" s="3" t="str">
        <f>VLOOKUP($A218,Hebrew!$A:$S,13,0)</f>
        <v>גוש עציון</v>
      </c>
      <c r="R218" s="3" t="s">
        <v>1215</v>
      </c>
      <c r="S218" s="3" t="s">
        <v>29</v>
      </c>
      <c r="T218" s="3" t="s">
        <v>1453</v>
      </c>
      <c r="U218" s="3" t="s">
        <v>43</v>
      </c>
      <c r="V218" s="3" t="s">
        <v>245</v>
      </c>
      <c r="W218" s="2"/>
      <c r="X218" s="2"/>
      <c r="Y218" s="2"/>
    </row>
    <row r="219" spans="1:25" x14ac:dyDescent="0.2">
      <c r="A219" s="3">
        <v>1746</v>
      </c>
      <c r="B219" s="4" t="s">
        <v>1454</v>
      </c>
      <c r="C219" s="3" t="s">
        <v>1455</v>
      </c>
      <c r="D219" s="3" t="str">
        <f>VLOOKUP(A219,Hebrew!A:C,3,0)</f>
        <v>לפי הערכת ה-CIA נתניהו צפוי להתנגד ללחץ האמריקאי לקבוע תוכנית עבור עזה אחר המלחמה.</v>
      </c>
      <c r="E219" s="3" t="s">
        <v>1456</v>
      </c>
      <c r="F219" s="3" t="str">
        <f>VLOOKUP($A219,Hebrew!$A:$S,4,0)</f>
        <v>הערכה של ה-CIA מצביעה על כך שראש ממשלת ישראל, בנימין נתניהו, צפוי להתנגד ללחץ אמריקאי מצד ממשלת ביידן, להעמיד תוכנית עבור עזה לאחר המלחמה, עוד במהלך הסכסוך המתמשך.</v>
      </c>
      <c r="G219" s="3" t="s">
        <v>1457</v>
      </c>
      <c r="H219" s="7">
        <v>45446</v>
      </c>
      <c r="I219" s="2"/>
      <c r="J219" s="3" t="s">
        <v>135</v>
      </c>
      <c r="K219" s="3" t="s">
        <v>1458</v>
      </c>
      <c r="L219" s="3" t="str">
        <f>VLOOKUP($A219,Hebrew!$A:$S,9,0)</f>
        <v>זכרי כהן, קייטי בו ליליס</v>
      </c>
      <c r="M219" s="2"/>
      <c r="N219" s="2"/>
      <c r="O219" s="3" t="s">
        <v>26</v>
      </c>
      <c r="P219" s="2"/>
      <c r="Q219" s="3">
        <f>VLOOKUP($A219,Hebrew!$A:$S,13,0)</f>
        <v>0</v>
      </c>
      <c r="R219" s="3" t="s">
        <v>1215</v>
      </c>
      <c r="S219" s="3" t="s">
        <v>29</v>
      </c>
      <c r="T219" s="3" t="s">
        <v>61</v>
      </c>
      <c r="U219" s="3" t="s">
        <v>1374</v>
      </c>
      <c r="V219" s="3" t="s">
        <v>1459</v>
      </c>
      <c r="W219" s="3" t="s">
        <v>1460</v>
      </c>
      <c r="X219" s="2"/>
      <c r="Y219" s="2"/>
    </row>
    <row r="220" spans="1:25" x14ac:dyDescent="0.2">
      <c r="A220" s="3">
        <v>2223</v>
      </c>
      <c r="B220" s="6" t="s">
        <v>1461</v>
      </c>
      <c r="C220" s="3" t="s">
        <v>1462</v>
      </c>
      <c r="D220" s="3" t="str">
        <f>VLOOKUP(A220,Hebrew!A:C,3,0)</f>
        <v>חיילי צה"ל הופכים עיתונאים למטרות</v>
      </c>
      <c r="E220" s="3" t="s">
        <v>1463</v>
      </c>
      <c r="F220" s="3" t="str">
        <f>VLOOKUP($A220,Hebrew!$A:$S,4,0)</f>
        <v>חובש נהרג ועיתונאי נפצע בהתקפה כפולה מכוונת על בניין אזרחי. רבים נהרגו ואחרים נלכדו בהריסות.</v>
      </c>
      <c r="G220" s="3" t="s">
        <v>650</v>
      </c>
      <c r="H220" s="2"/>
      <c r="I220" s="2"/>
      <c r="J220" s="3" t="s">
        <v>393</v>
      </c>
      <c r="K220" s="3" t="s">
        <v>1258</v>
      </c>
      <c r="L220" s="3" t="str">
        <f>VLOOKUP($A220,Hebrew!$A:$S,9,0)</f>
        <v>Hossam Shabat (@HossamShabat)</v>
      </c>
      <c r="M220" s="2"/>
      <c r="N220" s="2"/>
      <c r="O220" s="3" t="s">
        <v>26</v>
      </c>
      <c r="P220" s="3" t="s">
        <v>212</v>
      </c>
      <c r="Q220" s="3" t="str">
        <f>VLOOKUP($A220,Hebrew!$A:$S,13,0)</f>
        <v>צפון רצועת עזה</v>
      </c>
      <c r="R220" s="3" t="s">
        <v>396</v>
      </c>
      <c r="S220" s="3" t="s">
        <v>29</v>
      </c>
      <c r="T220" s="3" t="s">
        <v>1464</v>
      </c>
      <c r="U220" s="3" t="s">
        <v>43</v>
      </c>
      <c r="V220" s="3" t="s">
        <v>212</v>
      </c>
      <c r="W220" s="2"/>
      <c r="X220" s="2"/>
      <c r="Y220" s="2"/>
    </row>
    <row r="221" spans="1:25" x14ac:dyDescent="0.2">
      <c r="A221" s="3">
        <v>2225</v>
      </c>
      <c r="B221" s="4" t="s">
        <v>1465</v>
      </c>
      <c r="C221" s="3" t="s">
        <v>1466</v>
      </c>
      <c r="D221" s="3" t="str">
        <f>VLOOKUP(A221,Hebrew!A:C,3,0)</f>
        <v>סיקור אל ג'זירה על התקפה כפולה ישראלית שהביאה לפציעתו של העיתונאי חוסאם שבט. בסרטון מצויין כי ישראל הרגה 188 עיתונאים.</v>
      </c>
      <c r="E221" s="3" t="s">
        <v>1467</v>
      </c>
      <c r="F221" s="3" t="str">
        <f>VLOOKUP($A221,Hebrew!$A:$S,4,0)</f>
        <v>דיווח קצר של אל ג'זירה (1:00 דקות) על תקיפת עיתונאים, המתמקד במקרה של חוסאם שבת אך גם מספק הקשר למקרה.</v>
      </c>
      <c r="G221" s="3" t="s">
        <v>650</v>
      </c>
      <c r="H221" s="2"/>
      <c r="I221" s="2"/>
      <c r="J221" s="3" t="s">
        <v>393</v>
      </c>
      <c r="K221" s="3" t="s">
        <v>1258</v>
      </c>
      <c r="L221" s="3" t="str">
        <f>VLOOKUP($A221,Hebrew!$A:$S,9,0)</f>
        <v>Hossam Shabat (@HossamShabat)</v>
      </c>
      <c r="M221" s="3" t="s">
        <v>1324</v>
      </c>
      <c r="N221" s="2"/>
      <c r="O221" s="3" t="s">
        <v>26</v>
      </c>
      <c r="P221" s="3" t="s">
        <v>27</v>
      </c>
      <c r="Q221" s="3" t="str">
        <f>VLOOKUP($A221,Hebrew!$A:$S,13,0)</f>
        <v>רצועת עזה</v>
      </c>
      <c r="R221" s="3" t="s">
        <v>396</v>
      </c>
      <c r="S221" s="3" t="s">
        <v>413</v>
      </c>
      <c r="T221" s="3" t="s">
        <v>1468</v>
      </c>
      <c r="U221" s="3" t="s">
        <v>43</v>
      </c>
      <c r="V221" s="3" t="s">
        <v>27</v>
      </c>
      <c r="W221" s="2"/>
      <c r="X221" s="2"/>
      <c r="Y221" s="2"/>
    </row>
    <row r="222" spans="1:25" x14ac:dyDescent="0.2">
      <c r="A222" s="3">
        <v>2227</v>
      </c>
      <c r="B222" s="4" t="s">
        <v>1469</v>
      </c>
      <c r="C222" s="3" t="s">
        <v>1470</v>
      </c>
      <c r="D222" s="3" t="str">
        <f>VLOOKUP(A222,Hebrew!A:C,3,0)</f>
        <v>חוסאם שבת מתאר את חייו היומיומיים בצפון עזה</v>
      </c>
      <c r="E222" s="3" t="s">
        <v>1471</v>
      </c>
      <c r="F222" s="3" t="str">
        <f>VLOOKUP($A222,Hebrew!$A:$S,4,0)</f>
        <v>העיתונאי חוסאם שבת משתף כיצד נראה יומו, מפרט קשיים וכאב גדולים בתוך ההרס בעזה.</v>
      </c>
      <c r="G222" s="3" t="s">
        <v>1472</v>
      </c>
      <c r="H222" s="2"/>
      <c r="I222" s="2"/>
      <c r="J222" s="3" t="s">
        <v>393</v>
      </c>
      <c r="K222" s="3" t="s">
        <v>1258</v>
      </c>
      <c r="L222" s="3" t="str">
        <f>VLOOKUP($A222,Hebrew!$A:$S,9,0)</f>
        <v>Hossam Shabat (@HossamShabat)</v>
      </c>
      <c r="M222" s="2"/>
      <c r="N222" s="2"/>
      <c r="O222" s="3" t="s">
        <v>26</v>
      </c>
      <c r="P222" s="3" t="s">
        <v>212</v>
      </c>
      <c r="Q222" s="3" t="str">
        <f>VLOOKUP($A222,Hebrew!$A:$S,13,0)</f>
        <v>צפון רצועת עזה</v>
      </c>
      <c r="R222" s="3" t="s">
        <v>396</v>
      </c>
      <c r="S222" s="3" t="s">
        <v>29</v>
      </c>
      <c r="T222" s="3" t="s">
        <v>1473</v>
      </c>
      <c r="U222" s="3" t="s">
        <v>43</v>
      </c>
      <c r="V222" s="3" t="s">
        <v>212</v>
      </c>
      <c r="W222" s="2"/>
      <c r="X222" s="2"/>
      <c r="Y222" s="2"/>
    </row>
    <row r="223" spans="1:25" x14ac:dyDescent="0.2">
      <c r="A223" s="3">
        <v>818</v>
      </c>
      <c r="B223" s="4" t="s">
        <v>1474</v>
      </c>
      <c r="C223" s="3" t="s">
        <v>1475</v>
      </c>
      <c r="D223" s="3" t="str">
        <f>VLOOKUP(A223,Hebrew!A:C,3,0)</f>
        <v>חייל צה"ל מפוצץ בית ברפיח</v>
      </c>
      <c r="E223" s="3" t="s">
        <v>1476</v>
      </c>
      <c r="F223" s="3" t="str">
        <f>VLOOKUP($A223,Hebrew!$A:$S,4,0)</f>
        <v>וידאו המראה חייל צה"ל יושב בתוך רכב משוריין ומפוצץ בית ברפיח, ומקדיש את המעשה "לאמא שלי".</v>
      </c>
      <c r="G223" s="3" t="s">
        <v>1477</v>
      </c>
      <c r="H223" s="2"/>
      <c r="I223" s="2"/>
      <c r="J223" s="3" t="s">
        <v>393</v>
      </c>
      <c r="K223" s="3" t="s">
        <v>453</v>
      </c>
      <c r="L223" s="3" t="str">
        <f>VLOOKUP($A223,Hebrew!$A:$S,9,0)</f>
        <v>Younis Tirawi (@ytirawi)</v>
      </c>
      <c r="M223" s="2"/>
      <c r="N223" s="2"/>
      <c r="O223" s="3" t="s">
        <v>26</v>
      </c>
      <c r="P223" s="3" t="s">
        <v>439</v>
      </c>
      <c r="Q223" s="3" t="str">
        <f>VLOOKUP($A223,Hebrew!$A:$S,13,0)</f>
        <v>רפיח</v>
      </c>
      <c r="R223" s="3" t="s">
        <v>396</v>
      </c>
      <c r="S223" s="3" t="s">
        <v>413</v>
      </c>
      <c r="T223" s="3" t="s">
        <v>1478</v>
      </c>
      <c r="U223" s="3" t="s">
        <v>43</v>
      </c>
      <c r="V223" s="3" t="s">
        <v>439</v>
      </c>
      <c r="W223" s="2"/>
      <c r="X223" s="2"/>
      <c r="Y223" s="2"/>
    </row>
    <row r="224" spans="1:25" x14ac:dyDescent="0.2">
      <c r="A224" s="3">
        <v>819</v>
      </c>
      <c r="B224" s="4" t="s">
        <v>1479</v>
      </c>
      <c r="C224" s="3" t="s">
        <v>1480</v>
      </c>
      <c r="D224" s="3" t="str">
        <f>VLOOKUP(A224,Hebrew!A:C,3,0)</f>
        <v>חיילי צה"ל מפוצצים מסגד</v>
      </c>
      <c r="E224" s="3" t="s">
        <v>1481</v>
      </c>
      <c r="F224" s="3" t="str">
        <f>VLOOKUP($A224,Hebrew!$A:$S,4,0)</f>
        <v>וידאו המראה חיילי צה"ל מהגדוד 8219 מפוצצים מסגד בכפר ח'רבת חיזא, חאן יונס, בעוד הם צוהלים בשמחה וצורחים "אין יותר תפילות יום שישי. יאי! עם ישראל חי".</v>
      </c>
      <c r="G224" s="3" t="s">
        <v>1477</v>
      </c>
      <c r="H224" s="2"/>
      <c r="I224" s="2"/>
      <c r="J224" s="3" t="s">
        <v>393</v>
      </c>
      <c r="K224" s="3" t="s">
        <v>453</v>
      </c>
      <c r="L224" s="3" t="str">
        <f>VLOOKUP($A224,Hebrew!$A:$S,9,0)</f>
        <v>Younis Tirawi (@ytirawi)</v>
      </c>
      <c r="M224" s="2"/>
      <c r="N224" s="2"/>
      <c r="O224" s="3" t="s">
        <v>426</v>
      </c>
      <c r="P224" s="3" t="s">
        <v>1482</v>
      </c>
      <c r="Q224" s="3" t="str">
        <f>VLOOKUP($A224,Hebrew!$A:$S,13,0)</f>
        <v>רצועת עזה, חאן יונס, ח'וזעה</v>
      </c>
      <c r="R224" s="3" t="s">
        <v>396</v>
      </c>
      <c r="S224" s="3" t="s">
        <v>405</v>
      </c>
      <c r="T224" s="3" t="s">
        <v>1483</v>
      </c>
      <c r="U224" s="3" t="s">
        <v>43</v>
      </c>
      <c r="V224" s="3" t="s">
        <v>502</v>
      </c>
      <c r="W224" s="2"/>
      <c r="X224" s="2"/>
      <c r="Y224" s="2"/>
    </row>
    <row r="225" spans="1:25" x14ac:dyDescent="0.2">
      <c r="A225" s="3">
        <v>820</v>
      </c>
      <c r="B225" s="4" t="s">
        <v>1484</v>
      </c>
      <c r="C225" s="3" t="s">
        <v>1485</v>
      </c>
      <c r="D225" s="3" t="str">
        <f>VLOOKUP(A225,Hebrew!A:C,3,0)</f>
        <v>צה"ל שורף בתים במרכז עזה</v>
      </c>
      <c r="E225" s="3" t="s">
        <v>1486</v>
      </c>
      <c r="F225" s="3" t="str">
        <f>VLOOKUP($A225,Hebrew!$A:$S,4,0)</f>
        <v>תמונה המראה חייל צה"ל מבעיר בתים במרכז עזה, עם כיתוב בעברית: "היית טובה אלינו עזה, אבל אינטנסיבית".</v>
      </c>
      <c r="G225" s="3" t="s">
        <v>410</v>
      </c>
      <c r="H225" s="2"/>
      <c r="I225" s="2"/>
      <c r="J225" s="3" t="s">
        <v>393</v>
      </c>
      <c r="K225" s="3" t="s">
        <v>453</v>
      </c>
      <c r="L225" s="3" t="str">
        <f>VLOOKUP($A225,Hebrew!$A:$S,9,0)</f>
        <v>Younis Tirawi (@ytirawi)</v>
      </c>
      <c r="M225" s="2"/>
      <c r="N225" s="2"/>
      <c r="O225" s="3" t="s">
        <v>426</v>
      </c>
      <c r="P225" s="3" t="s">
        <v>1487</v>
      </c>
      <c r="Q225" s="3" t="str">
        <f>VLOOKUP($A225,Hebrew!$A:$S,13,0)</f>
        <v>מזרח אל-בורייג'</v>
      </c>
      <c r="R225" s="3" t="s">
        <v>396</v>
      </c>
      <c r="S225" s="3" t="s">
        <v>455</v>
      </c>
      <c r="T225" s="3" t="s">
        <v>1488</v>
      </c>
      <c r="U225" s="3" t="s">
        <v>43</v>
      </c>
      <c r="V225" s="3" t="s">
        <v>1489</v>
      </c>
      <c r="W225" s="2"/>
      <c r="X225" s="2"/>
      <c r="Y225" s="2"/>
    </row>
    <row r="226" spans="1:25" x14ac:dyDescent="0.2">
      <c r="A226" s="3">
        <v>821</v>
      </c>
      <c r="B226" s="4" t="s">
        <v>1490</v>
      </c>
      <c r="C226" s="3" t="s">
        <v>1491</v>
      </c>
      <c r="D226" s="3" t="str">
        <f>VLOOKUP(A226,Hebrew!A:C,3,0)</f>
        <v>צילומים מחשבונות מדיה חברתית של חיילי צה"ל המראים ירי חסר הבחנה ופיצוץ בתים</v>
      </c>
      <c r="E226" s="3" t="s">
        <v>1492</v>
      </c>
      <c r="F226" s="3" t="str">
        <f>VLOOKUP($A226,Hebrew!$A:$S,4,0)</f>
        <v>ארבעה סרטוני מדיה חברתית שפורסמו על ידי חיילים ישראלים מראים אותם מפוצצים בתים, יורים במקלעים ללא הבחנה ומשגרים רימונים לבית ספר של האו"ם.</v>
      </c>
      <c r="G226" s="3" t="s">
        <v>410</v>
      </c>
      <c r="H226" s="2"/>
      <c r="I226" s="2"/>
      <c r="J226" s="3" t="s">
        <v>393</v>
      </c>
      <c r="K226" s="3" t="s">
        <v>453</v>
      </c>
      <c r="L226" s="3" t="str">
        <f>VLOOKUP($A226,Hebrew!$A:$S,9,0)</f>
        <v>Younis Tirawi (@ytirawi)</v>
      </c>
      <c r="M226" s="2"/>
      <c r="N226" s="2"/>
      <c r="O226" s="3" t="s">
        <v>26</v>
      </c>
      <c r="P226" s="3" t="s">
        <v>439</v>
      </c>
      <c r="Q226" s="3" t="str">
        <f>VLOOKUP($A226,Hebrew!$A:$S,13,0)</f>
        <v>רפיח</v>
      </c>
      <c r="R226" s="3" t="s">
        <v>396</v>
      </c>
      <c r="S226" s="3" t="s">
        <v>413</v>
      </c>
      <c r="T226" s="3" t="s">
        <v>1493</v>
      </c>
      <c r="U226" s="3" t="s">
        <v>43</v>
      </c>
      <c r="V226" s="3" t="s">
        <v>1494</v>
      </c>
      <c r="W226" s="2"/>
      <c r="X226" s="2"/>
      <c r="Y226" s="2"/>
    </row>
    <row r="227" spans="1:25" x14ac:dyDescent="0.2">
      <c r="A227" s="3">
        <v>824</v>
      </c>
      <c r="B227" s="4" t="s">
        <v>1495</v>
      </c>
      <c r="C227" s="3" t="s">
        <v>1496</v>
      </c>
      <c r="D227" s="3" t="str">
        <f>VLOOKUP(A227,Hebrew!A:C,3,0)</f>
        <v>אלוף-משנה בצה"ל תומך בניצחון ישראלי מוחלט בעזה, כולל סיפוח, התנחלויות וגירוש פלסטינים מבתיהם.</v>
      </c>
      <c r="E227" s="3" t="s">
        <v>1497</v>
      </c>
      <c r="F227" s="3" t="str">
        <f>VLOOKUP($A227,Hebrew!$A:$S,4,0)</f>
        <v>סגן אלוף בצה"ל קורא לניצחון מוחלט בעזה, "כדי לקבע נַכְבָּה שנייה בתודעה שלהם." לגבי 'יום שאחרי" הוא מציע להחזיר את עזה 56 שנה אחורה, למצב בו הם "קטנים, פצועים, חבולים, עסוקים בקבורת יקיריהם, ומעל לכל, מפוחדים." בנוסף, הוא קורא לספח את רצועת עזה, להקים שם יישובים יהודיים, ולעודד הגירה המונית של תושבי עזה. הוא מתייחס לרשות הפלסטינית כ"נאצים אסלאמיים מרמאללה," ואומר שלא צריך לאפשר להם לשלוט בעזה בשום תנאי.</v>
      </c>
      <c r="G227" s="3" t="s">
        <v>1498</v>
      </c>
      <c r="H227" s="3" t="s">
        <v>513</v>
      </c>
      <c r="I227" s="2"/>
      <c r="J227" s="3" t="s">
        <v>393</v>
      </c>
      <c r="K227" s="3" t="s">
        <v>453</v>
      </c>
      <c r="L227" s="3" t="str">
        <f>VLOOKUP($A227,Hebrew!$A:$S,9,0)</f>
        <v>Younis Tirawi (@ytirawi)</v>
      </c>
      <c r="M227" s="2"/>
      <c r="N227" s="2"/>
      <c r="O227" s="3" t="s">
        <v>426</v>
      </c>
      <c r="P227" s="3" t="s">
        <v>27</v>
      </c>
      <c r="Q227" s="3" t="str">
        <f>VLOOKUP($A227,Hebrew!$A:$S,13,0)</f>
        <v>רצועת עזה</v>
      </c>
      <c r="R227" s="3" t="s">
        <v>396</v>
      </c>
      <c r="S227" s="3" t="s">
        <v>397</v>
      </c>
      <c r="T227" s="3" t="s">
        <v>1499</v>
      </c>
      <c r="U227" s="3" t="s">
        <v>43</v>
      </c>
      <c r="V227" s="3" t="s">
        <v>27</v>
      </c>
      <c r="W227" s="2"/>
      <c r="X227" s="2"/>
      <c r="Y227" s="2"/>
    </row>
    <row r="228" spans="1:25" x14ac:dyDescent="0.2">
      <c r="A228" s="3">
        <v>825</v>
      </c>
      <c r="B228" s="4" t="s">
        <v>1500</v>
      </c>
      <c r="C228" s="3" t="s">
        <v>1501</v>
      </c>
      <c r="D228" s="3" t="str">
        <f>VLOOKUP(A228,Hebrew!A:C,3,0)</f>
        <v>חיילי צה"ל מצטלמים בתוך מסגד שהציתו</v>
      </c>
      <c r="E228" s="3" t="s">
        <v>1502</v>
      </c>
      <c r="F228" s="3" t="str">
        <f>VLOOKUP($A228,Hebrew!$A:$S,4,0)</f>
        <v>התמונה מראה חיילים ישראלים מצטלמים בתוך מסגד שהציתו בעיר עזה.</v>
      </c>
      <c r="G228" s="3" t="s">
        <v>858</v>
      </c>
      <c r="H228" s="2"/>
      <c r="I228" s="2"/>
      <c r="J228" s="3" t="s">
        <v>393</v>
      </c>
      <c r="K228" s="3" t="s">
        <v>453</v>
      </c>
      <c r="L228" s="3" t="str">
        <f>VLOOKUP($A228,Hebrew!$A:$S,9,0)</f>
        <v>Younis Tirawi (@ytirawi)</v>
      </c>
      <c r="M228" s="2"/>
      <c r="N228" s="2"/>
      <c r="O228" s="3" t="s">
        <v>26</v>
      </c>
      <c r="P228" s="3" t="s">
        <v>71</v>
      </c>
      <c r="Q228" s="3" t="str">
        <f>VLOOKUP($A228,Hebrew!$A:$S,13,0)</f>
        <v>עיר עזה</v>
      </c>
      <c r="R228" s="3" t="s">
        <v>396</v>
      </c>
      <c r="S228" s="3" t="s">
        <v>397</v>
      </c>
      <c r="T228" s="3" t="s">
        <v>1503</v>
      </c>
      <c r="U228" s="3" t="s">
        <v>43</v>
      </c>
      <c r="V228" s="3" t="s">
        <v>1083</v>
      </c>
      <c r="W228" s="2"/>
      <c r="X228" s="2"/>
      <c r="Y228" s="2"/>
    </row>
    <row r="229" spans="1:25" x14ac:dyDescent="0.2">
      <c r="A229" s="3">
        <v>826</v>
      </c>
      <c r="B229" s="4" t="s">
        <v>1504</v>
      </c>
      <c r="C229" s="3" t="s">
        <v>1505</v>
      </c>
      <c r="D229" s="3" t="str">
        <f>VLOOKUP(A229,Hebrew!A:C,3,0)</f>
        <v>חיילי צה"ל מפוצצים בניין מגורים</v>
      </c>
      <c r="E229" s="3" t="s">
        <v>1506</v>
      </c>
      <c r="F229" s="3" t="str">
        <f>VLOOKUP($A229,Hebrew!$A:$S,4,0)</f>
        <v>תמונה ברשתות החברתיות מציגה כוחות ישראליים מפוצצים בניין מגורים גבוה (לפחות 6 קומות) ברפיח.</v>
      </c>
      <c r="G229" s="3" t="s">
        <v>1507</v>
      </c>
      <c r="H229" s="2"/>
      <c r="I229" s="2"/>
      <c r="J229" s="3" t="s">
        <v>393</v>
      </c>
      <c r="K229" s="3" t="s">
        <v>453</v>
      </c>
      <c r="L229" s="3" t="str">
        <f>VLOOKUP($A229,Hebrew!$A:$S,9,0)</f>
        <v>Younis Tirawi (@ytirawi)</v>
      </c>
      <c r="M229" s="2"/>
      <c r="N229" s="2"/>
      <c r="O229" s="3" t="s">
        <v>26</v>
      </c>
      <c r="P229" s="3" t="s">
        <v>439</v>
      </c>
      <c r="Q229" s="3" t="str">
        <f>VLOOKUP($A229,Hebrew!$A:$S,13,0)</f>
        <v>רפיח</v>
      </c>
      <c r="R229" s="3" t="s">
        <v>396</v>
      </c>
      <c r="S229" s="3" t="s">
        <v>413</v>
      </c>
      <c r="T229" s="3" t="s">
        <v>1508</v>
      </c>
      <c r="U229" s="3" t="s">
        <v>43</v>
      </c>
      <c r="V229" s="3" t="s">
        <v>439</v>
      </c>
      <c r="W229" s="2"/>
      <c r="X229" s="2"/>
      <c r="Y229" s="2"/>
    </row>
    <row r="230" spans="1:25" x14ac:dyDescent="0.2">
      <c r="A230" s="3">
        <v>827</v>
      </c>
      <c r="B230" s="4" t="s">
        <v>1509</v>
      </c>
      <c r="C230" s="3" t="s">
        <v>1510</v>
      </c>
      <c r="D230" s="3" t="str">
        <f>VLOOKUP(A230,Hebrew!A:C,3,0)</f>
        <v>חייל צה"ל טוען ששרף ושדד ברפיח</v>
      </c>
      <c r="E230" s="3" t="s">
        <v>1511</v>
      </c>
      <c r="F230" s="3" t="str">
        <f>VLOOKUP($A230,Hebrew!$A:$S,4,0)</f>
        <v>דיווח על חייל צה"ל שפרסם בחשבון המדיה החברתית שלו שמצא "שלל אגדי" ו"נהנה לשרוף בתים" עם חיילים אחרים ברפיח (רמז למשחקי וידאו).</v>
      </c>
      <c r="G230" s="3" t="s">
        <v>1512</v>
      </c>
      <c r="H230" s="2"/>
      <c r="I230" s="2"/>
      <c r="J230" s="3" t="s">
        <v>393</v>
      </c>
      <c r="K230" s="3" t="s">
        <v>453</v>
      </c>
      <c r="L230" s="3" t="str">
        <f>VLOOKUP($A230,Hebrew!$A:$S,9,0)</f>
        <v>Younis Tirawi (@ytirawi)</v>
      </c>
      <c r="M230" s="2"/>
      <c r="N230" s="2"/>
      <c r="O230" s="3" t="s">
        <v>26</v>
      </c>
      <c r="P230" s="3" t="s">
        <v>439</v>
      </c>
      <c r="Q230" s="3" t="str">
        <f>VLOOKUP($A230,Hebrew!$A:$S,13,0)</f>
        <v>רפיח</v>
      </c>
      <c r="R230" s="3" t="s">
        <v>396</v>
      </c>
      <c r="S230" s="3" t="s">
        <v>455</v>
      </c>
      <c r="T230" s="3" t="s">
        <v>1513</v>
      </c>
      <c r="U230" s="3" t="s">
        <v>43</v>
      </c>
      <c r="V230" s="3" t="s">
        <v>439</v>
      </c>
      <c r="W230" s="2"/>
      <c r="X230" s="2"/>
      <c r="Y230" s="2"/>
    </row>
    <row r="231" spans="1:25" x14ac:dyDescent="0.2">
      <c r="A231" s="3">
        <v>828</v>
      </c>
      <c r="B231" s="4" t="s">
        <v>1514</v>
      </c>
      <c r="C231" s="3" t="s">
        <v>1515</v>
      </c>
      <c r="D231" s="3" t="str">
        <f>VLOOKUP(A231,Hebrew!A:C,3,0)</f>
        <v>חיילי צה"ל מחללים מסגד בגרפיטי ובזבל</v>
      </c>
      <c r="E231" s="3" t="s">
        <v>1516</v>
      </c>
      <c r="F231" s="3" t="str">
        <f>VLOOKUP($A231,Hebrew!$A:$S,4,0)</f>
        <v>חיילים ישראלים כתבו "מוחמד שרמוטה" ו"מוחמד הוא פדופיל" על קירות המסגד במעבר רפיח, והשאירו הרבה זבל בפנים.</v>
      </c>
      <c r="G231" s="3" t="s">
        <v>1512</v>
      </c>
      <c r="H231" s="2"/>
      <c r="I231" s="2"/>
      <c r="J231" s="3" t="s">
        <v>393</v>
      </c>
      <c r="K231" s="3" t="s">
        <v>453</v>
      </c>
      <c r="L231" s="3" t="str">
        <f>VLOOKUP($A231,Hebrew!$A:$S,9,0)</f>
        <v>Younis Tirawi (@ytirawi)</v>
      </c>
      <c r="M231" s="2"/>
      <c r="N231" s="2"/>
      <c r="O231" s="3" t="s">
        <v>426</v>
      </c>
      <c r="P231" s="3" t="s">
        <v>439</v>
      </c>
      <c r="Q231" s="3" t="str">
        <f>VLOOKUP($A231,Hebrew!$A:$S,13,0)</f>
        <v>רפיח</v>
      </c>
      <c r="R231" s="3" t="s">
        <v>396</v>
      </c>
      <c r="S231" s="3" t="s">
        <v>455</v>
      </c>
      <c r="T231" s="3" t="s">
        <v>1517</v>
      </c>
      <c r="U231" s="3" t="s">
        <v>43</v>
      </c>
      <c r="V231" s="3" t="s">
        <v>439</v>
      </c>
      <c r="W231" s="2"/>
      <c r="X231" s="2"/>
      <c r="Y231" s="2"/>
    </row>
    <row r="232" spans="1:25" x14ac:dyDescent="0.2">
      <c r="A232" s="3">
        <v>829</v>
      </c>
      <c r="B232" s="4" t="s">
        <v>1518</v>
      </c>
      <c r="C232" s="3" t="s">
        <v>1519</v>
      </c>
      <c r="D232" s="3" t="str">
        <f>VLOOKUP(A232,Hebrew!A:C,3,0)</f>
        <v>אלוף בצה"ל קורא להשמדת עזה לחלוטין ולגירוש תושביה.</v>
      </c>
      <c r="E232" s="3" t="s">
        <v>1520</v>
      </c>
      <c r="F232" s="3" t="str">
        <f>VLOOKUP($A232,Hebrew!$A:$S,4,0)</f>
        <v>אלוף-משנה גור רוזנבלט, המשרת כסגן מנהל במשרד החינוך הישראלי ובראש חטיבת החי"ר הצפונית של צה"ל, מתבטא בקריאות ג'נוסיידיות. בפוסטים שלו ברשתות החברתיות, הוא הודה שישראל מכוונת למקומות עם קשרים רופפים בלבד לחמאס והציע "סוג של נַכְבָּה שנייה או שלישית." האסטרטגיה המוצעת שלו כוללת מחיקה מוחלטת של העיר עזה, העברת תושביה לדרום עזה, ואפשרות לאפשר להעבירם למדינות אחרות.</v>
      </c>
      <c r="G232" s="3" t="s">
        <v>1521</v>
      </c>
      <c r="H232" s="2"/>
      <c r="I232" s="2"/>
      <c r="J232" s="3" t="s">
        <v>393</v>
      </c>
      <c r="K232" s="3" t="s">
        <v>453</v>
      </c>
      <c r="L232" s="3" t="str">
        <f>VLOOKUP($A232,Hebrew!$A:$S,9,0)</f>
        <v>Younis Tirawi (@ytirawi)</v>
      </c>
      <c r="M232" s="2"/>
      <c r="N232" s="2"/>
      <c r="O232" s="3" t="s">
        <v>426</v>
      </c>
      <c r="P232" s="3" t="s">
        <v>27</v>
      </c>
      <c r="Q232" s="3" t="str">
        <f>VLOOKUP($A232,Hebrew!$A:$S,13,0)</f>
        <v>רצועת עזה</v>
      </c>
      <c r="R232" s="3" t="s">
        <v>396</v>
      </c>
      <c r="S232" s="3" t="s">
        <v>455</v>
      </c>
      <c r="T232" s="3" t="s">
        <v>1522</v>
      </c>
      <c r="U232" s="3" t="s">
        <v>43</v>
      </c>
      <c r="V232" s="3" t="s">
        <v>27</v>
      </c>
      <c r="W232" s="2"/>
      <c r="X232" s="2"/>
      <c r="Y232" s="2"/>
    </row>
    <row r="233" spans="1:25" x14ac:dyDescent="0.2">
      <c r="A233" s="3">
        <v>663</v>
      </c>
      <c r="B233" s="4" t="s">
        <v>1523</v>
      </c>
      <c r="C233" s="3" t="s">
        <v>1524</v>
      </c>
      <c r="D233" s="3" t="str">
        <f>VLOOKUP(A233,Hebrew!A:C,3,0)</f>
        <v>צה"ל מפוצץ מסגד ריק בחאן יונס</v>
      </c>
      <c r="E233" s="3" t="s">
        <v>1525</v>
      </c>
      <c r="F233" s="3" t="str">
        <f>VLOOKUP($A233,Hebrew!$A:$S,4,0)</f>
        <v>חיילי צה"ל מצלמים מסגד עם רחפן, רואים שהוא ריק לחלוטין ואין בו דבר, ואז מפוצצים אותו.</v>
      </c>
      <c r="G233" s="3" t="s">
        <v>846</v>
      </c>
      <c r="H233" s="2"/>
      <c r="I233" s="2"/>
      <c r="J233" s="3" t="s">
        <v>393</v>
      </c>
      <c r="K233" s="3" t="s">
        <v>453</v>
      </c>
      <c r="L233" s="3" t="str">
        <f>VLOOKUP($A233,Hebrew!$A:$S,9,0)</f>
        <v>Younis Tirawi (@ytirawi)</v>
      </c>
      <c r="M233" s="2"/>
      <c r="N233" s="2"/>
      <c r="O233" s="3" t="s">
        <v>426</v>
      </c>
      <c r="P233" s="3" t="s">
        <v>395</v>
      </c>
      <c r="Q233" s="3" t="str">
        <f>VLOOKUP($A233,Hebrew!$A:$S,13,0)</f>
        <v>חאן יונס</v>
      </c>
      <c r="R233" s="3" t="s">
        <v>396</v>
      </c>
      <c r="S233" s="3" t="s">
        <v>982</v>
      </c>
      <c r="T233" s="3" t="s">
        <v>1526</v>
      </c>
      <c r="U233" s="3" t="s">
        <v>43</v>
      </c>
      <c r="V233" s="3" t="s">
        <v>395</v>
      </c>
      <c r="W233" s="2"/>
      <c r="X233" s="2"/>
      <c r="Y233" s="2"/>
    </row>
    <row r="234" spans="1:25" x14ac:dyDescent="0.2">
      <c r="A234" s="3">
        <v>664</v>
      </c>
      <c r="B234" s="4" t="s">
        <v>1527</v>
      </c>
      <c r="C234" s="3" t="s">
        <v>1528</v>
      </c>
      <c r="D234" s="3" t="str">
        <f>VLOOKUP(A234,Hebrew!A:C,3,0)</f>
        <v>גרפיטי במגרש משחקים בתל אביב: "מחקו את עזה"</v>
      </c>
      <c r="E234" s="3" t="s">
        <v>1529</v>
      </c>
      <c r="F234" s="3" t="str">
        <f>VLOOKUP($A234,Hebrew!$A:$S,4,0)</f>
        <v>גן משחקים בתל אביב עם ילדים משחקים. בשולי הפארק נכתב בגרפיטי: "מחקו את עזה".</v>
      </c>
      <c r="G234" s="3" t="s">
        <v>846</v>
      </c>
      <c r="H234" s="2"/>
      <c r="I234" s="2"/>
      <c r="J234" s="3" t="s">
        <v>393</v>
      </c>
      <c r="K234" s="3" t="s">
        <v>453</v>
      </c>
      <c r="L234" s="3" t="str">
        <f>VLOOKUP($A234,Hebrew!$A:$S,9,0)</f>
        <v>Younis Tirawi (@ytirawi)</v>
      </c>
      <c r="M234" s="2"/>
      <c r="N234" s="2"/>
      <c r="O234" s="3" t="s">
        <v>426</v>
      </c>
      <c r="P234" s="3" t="s">
        <v>1530</v>
      </c>
      <c r="Q234" s="3" t="str">
        <f>VLOOKUP($A234,Hebrew!$A:$S,13,0)</f>
        <v>תל אביב</v>
      </c>
      <c r="R234" s="3" t="s">
        <v>396</v>
      </c>
      <c r="S234" s="3" t="s">
        <v>982</v>
      </c>
      <c r="T234" s="3" t="s">
        <v>1531</v>
      </c>
      <c r="U234" s="2"/>
      <c r="V234" s="3" t="s">
        <v>60</v>
      </c>
      <c r="W234" s="2"/>
      <c r="X234" s="2"/>
      <c r="Y234" s="2"/>
    </row>
    <row r="235" spans="1:25" x14ac:dyDescent="0.2">
      <c r="A235" s="3">
        <v>665</v>
      </c>
      <c r="B235" s="4" t="s">
        <v>1532</v>
      </c>
      <c r="C235" s="3" t="s">
        <v>1533</v>
      </c>
      <c r="D235" s="3" t="str">
        <f>VLOOKUP(A235,Hebrew!A:C,3,0)</f>
        <v>צה"ל שורף ומחריב בניינים בעזה. סרטונים בהמשך הפוסט מראים מקרים נוספים של דה-הומניזציה, כולל עזתים שנעצרו ושיחות על עזתים.</v>
      </c>
      <c r="E235" s="3" t="s">
        <v>1534</v>
      </c>
      <c r="F235" s="3" t="str">
        <f>VLOOKUP($A235,Hebrew!$A:$S,4,0)</f>
        <v>שני סרטונים, אחד מראה בניין בוער והשני דחפור הורס בניין עם חיילים מדברים בערוץ התקשורת ברקע. על הבניין הבוער יש דמות מונפשת המראה תחת עירום זז עם השיר "שית燃 הכפר שלך" ברקע. השרשור נמשך וכולל פרסומות מזויפות לבתים בעזה, תגובות גזעניות, התעללות בעצורים פלסטינים והשחתה.</v>
      </c>
      <c r="G235" s="3" t="s">
        <v>846</v>
      </c>
      <c r="H235" s="2"/>
      <c r="I235" s="2"/>
      <c r="J235" s="3" t="s">
        <v>393</v>
      </c>
      <c r="K235" s="3" t="s">
        <v>453</v>
      </c>
      <c r="L235" s="3" t="str">
        <f>VLOOKUP($A235,Hebrew!$A:$S,9,0)</f>
        <v>Younis Tirawi (@ytirawi)</v>
      </c>
      <c r="M235" s="2"/>
      <c r="N235" s="2"/>
      <c r="O235" s="3" t="s">
        <v>426</v>
      </c>
      <c r="P235" s="3" t="s">
        <v>27</v>
      </c>
      <c r="Q235" s="3" t="str">
        <f>VLOOKUP($A235,Hebrew!$A:$S,13,0)</f>
        <v>רצועת עזה</v>
      </c>
      <c r="R235" s="3" t="s">
        <v>396</v>
      </c>
      <c r="S235" s="3" t="s">
        <v>1535</v>
      </c>
      <c r="T235" s="3" t="s">
        <v>1536</v>
      </c>
      <c r="U235" s="3" t="s">
        <v>43</v>
      </c>
      <c r="V235" s="3" t="s">
        <v>1537</v>
      </c>
      <c r="W235" s="2"/>
      <c r="X235" s="2"/>
      <c r="Y235" s="2"/>
    </row>
    <row r="236" spans="1:25" x14ac:dyDescent="0.2">
      <c r="A236" s="3">
        <v>765</v>
      </c>
      <c r="B236" s="4" t="s">
        <v>1538</v>
      </c>
      <c r="C236" s="3" t="s">
        <v>1539</v>
      </c>
      <c r="D236" s="3" t="str">
        <f>VLOOKUP(A236,Hebrew!A:C,3,0)</f>
        <v>עשרות ישראלים מגיבים ברשתות החברתיות לחדשות על משפחה פלסטינית-ישראלית שנהרגה בתאונת דרכים</v>
      </c>
      <c r="E236" s="3" t="s">
        <v>1540</v>
      </c>
      <c r="F236" s="3" t="str">
        <f>VLOOKUP($A236,Hebrew!$A:$S,4,0)</f>
        <v>בקבוצת הטלגרם "חדשות ישראל בטלגרם" התנהלה שיחה בעקבות דיווח חדשותי על משפחה מקפר קאסם שנהרגה בתאונת דרכים, חלק מהמשתתפים כינו זאת "חדשות טובות", הביעו אדישות, ואפילו הגיבו בשמחה.</v>
      </c>
      <c r="G236" s="3" t="s">
        <v>988</v>
      </c>
      <c r="H236" s="2"/>
      <c r="I236" s="2"/>
      <c r="J236" s="3" t="s">
        <v>393</v>
      </c>
      <c r="K236" s="3" t="s">
        <v>880</v>
      </c>
      <c r="L236" s="3" t="str">
        <f>VLOOKUP($A236,Hebrew!$A:$S,9,0)</f>
        <v>אחמד טיבי (@Ahmad_tibi)</v>
      </c>
      <c r="M236" s="2"/>
      <c r="N236" s="2"/>
      <c r="O236" s="3" t="s">
        <v>39</v>
      </c>
      <c r="P236" s="3" t="s">
        <v>60</v>
      </c>
      <c r="Q236" s="3" t="str">
        <f>VLOOKUP($A236,Hebrew!$A:$S,13,0)</f>
        <v>ישראל</v>
      </c>
      <c r="R236" s="3" t="s">
        <v>396</v>
      </c>
      <c r="S236" s="3" t="s">
        <v>29</v>
      </c>
      <c r="T236" s="3" t="s">
        <v>1541</v>
      </c>
      <c r="U236" s="2"/>
      <c r="V236" s="3" t="s">
        <v>60</v>
      </c>
      <c r="W236" s="2"/>
      <c r="X236" s="2"/>
      <c r="Y236" s="2"/>
    </row>
    <row r="237" spans="1:25" x14ac:dyDescent="0.2">
      <c r="A237" s="3">
        <v>767</v>
      </c>
      <c r="B237" s="4" t="s">
        <v>1542</v>
      </c>
      <c r="C237" s="3" t="s">
        <v>1543</v>
      </c>
      <c r="D237" s="3" t="str">
        <f>VLOOKUP(A237,Hebrew!A:C,3,0)</f>
        <v>דו"ח על עינויים של עצורים פלסטינים מעזה, המבוסס על ראיונות עמם</v>
      </c>
      <c r="E237" s="3" t="s">
        <v>1544</v>
      </c>
      <c r="F237" s="3" t="str">
        <f>VLOOKUP($A237,Hebrew!$A:$S,4,0)</f>
        <v>דו"ח יורו-מד על עינויים של עצורים מעזה על ידי צה"ל, המובסס על מאה ראיונות עם עצורים.</v>
      </c>
      <c r="G237" s="3" t="s">
        <v>451</v>
      </c>
      <c r="H237" s="3" t="s">
        <v>1545</v>
      </c>
      <c r="I237" s="3" t="s">
        <v>77</v>
      </c>
      <c r="J237" s="3" t="s">
        <v>393</v>
      </c>
      <c r="K237" s="3" t="s">
        <v>1360</v>
      </c>
      <c r="L237" s="3" t="str">
        <f>VLOOKUP($A237,Hebrew!$A:$S,9,0)</f>
        <v>Euro-Med Monitor (@EuroMedHR)</v>
      </c>
      <c r="M237" s="2"/>
      <c r="N237" s="4" t="s">
        <v>1546</v>
      </c>
      <c r="O237" s="3" t="s">
        <v>26</v>
      </c>
      <c r="P237" s="3" t="s">
        <v>60</v>
      </c>
      <c r="Q237" s="3" t="str">
        <f>VLOOKUP($A237,Hebrew!$A:$S,13,0)</f>
        <v>ישראל</v>
      </c>
      <c r="R237" s="3" t="s">
        <v>396</v>
      </c>
      <c r="S237" s="3" t="s">
        <v>700</v>
      </c>
      <c r="T237" s="3" t="s">
        <v>1547</v>
      </c>
      <c r="U237" s="3" t="s">
        <v>1548</v>
      </c>
      <c r="V237" s="3" t="s">
        <v>60</v>
      </c>
      <c r="W237" s="2"/>
      <c r="X237" s="2"/>
      <c r="Y237" s="2"/>
    </row>
    <row r="238" spans="1:25" x14ac:dyDescent="0.2">
      <c r="A238" s="3">
        <v>769</v>
      </c>
      <c r="B238" s="4" t="s">
        <v>1549</v>
      </c>
      <c r="C238" s="3" t="s">
        <v>1550</v>
      </c>
      <c r="D238" s="3" t="str">
        <f>VLOOKUP(A238,Hebrew!A:C,3,0)</f>
        <v>מאות עצורים פלסטינים בחצר בית ספר בעזה</v>
      </c>
      <c r="E238" s="3" t="s">
        <v>1551</v>
      </c>
      <c r="F238" s="3" t="str">
        <f>VLOOKUP($A238,Hebrew!$A:$S,4,0)</f>
        <v>פלסטיני מתראיין על ידי חיילים בעוד ברקע מאות פלסטינים עצורים יושבים על האדמה, ללא בגדים, בחצר בית ספר (בית ספר הכנה לבנים סלאח א-דין (A+B) לפליטים).</v>
      </c>
      <c r="G238" s="3" t="s">
        <v>437</v>
      </c>
      <c r="H238" s="3" t="s">
        <v>1552</v>
      </c>
      <c r="I238" s="3" t="s">
        <v>1552</v>
      </c>
      <c r="J238" s="3" t="s">
        <v>393</v>
      </c>
      <c r="K238" s="3" t="s">
        <v>411</v>
      </c>
      <c r="L238" s="3" t="str">
        <f>VLOOKUP($A238,Hebrew!$A:$S,9,0)</f>
        <v>Khaled Yousry (@KhaledYousry22)</v>
      </c>
      <c r="M238" s="2"/>
      <c r="N238" s="2"/>
      <c r="O238" s="3" t="s">
        <v>1553</v>
      </c>
      <c r="P238" s="3" t="s">
        <v>1554</v>
      </c>
      <c r="Q238" s="3" t="str">
        <f>VLOOKUP($A238,Hebrew!$A:$S,13,0)</f>
        <v>א-רימאל, עזה</v>
      </c>
      <c r="R238" s="3" t="s">
        <v>396</v>
      </c>
      <c r="S238" s="3" t="s">
        <v>405</v>
      </c>
      <c r="T238" s="3" t="s">
        <v>1555</v>
      </c>
      <c r="U238" s="3" t="s">
        <v>43</v>
      </c>
      <c r="V238" s="3" t="s">
        <v>71</v>
      </c>
      <c r="W238" s="2"/>
      <c r="X238" s="2"/>
      <c r="Y238" s="2"/>
    </row>
    <row r="239" spans="1:25" x14ac:dyDescent="0.2">
      <c r="A239" s="3">
        <v>784</v>
      </c>
      <c r="B239" s="4" t="s">
        <v>1556</v>
      </c>
      <c r="C239" s="3" t="s">
        <v>1557</v>
      </c>
      <c r="D239" s="3" t="str">
        <f>VLOOKUP(A239,Hebrew!A:C,3,0)</f>
        <v>עדויות של עצורים פלסטינים בישראל (שרשור)</v>
      </c>
      <c r="E239" s="3" t="s">
        <v>1558</v>
      </c>
      <c r="F239" s="3" t="str">
        <f>VLOOKUP($A239,Hebrew!$A:$S,4,0)</f>
        <v>השרשור כולל שישה סרטונים וארבע תמונות. הסרטונים מציגים ראיונות עם עצירים פלסטיניים בישראל ששוחררו או עם אנשים שמעבירים את הסיפורים שלהם . העצירים הם רופאים, אישה, נער בן 14, אדם עם מוגבלות, אדם זקן ואחרים. חלקם עם גפיים קטועות וחלקם מתו בשבי. העדויות מתארות אלימות, השפלה, רעב, שמירה במקפיא עם גופות, מוזיקה רועשת 24 שעות, טיפול כמו בכלב וצורות אחרות של עינויים. נטען כי רופאים מקבלים טיפול קשה במיוחד.</v>
      </c>
      <c r="G239" s="3" t="s">
        <v>392</v>
      </c>
      <c r="H239" s="2"/>
      <c r="I239" s="2"/>
      <c r="J239" s="3" t="s">
        <v>393</v>
      </c>
      <c r="K239" s="3" t="s">
        <v>1559</v>
      </c>
      <c r="L239" s="3" t="str">
        <f>VLOOKUP($A239,Hebrew!$A:$S,9,0)</f>
        <v>Ihcen (@ihcentoo)</v>
      </c>
      <c r="M239" s="2"/>
      <c r="N239" s="2"/>
      <c r="O239" s="3" t="s">
        <v>412</v>
      </c>
      <c r="P239" s="2"/>
      <c r="Q239" s="3">
        <f>VLOOKUP($A239,Hebrew!$A:$S,13,0)</f>
        <v>0</v>
      </c>
      <c r="R239" s="3" t="s">
        <v>396</v>
      </c>
      <c r="S239" s="3" t="s">
        <v>1560</v>
      </c>
      <c r="T239" s="3" t="s">
        <v>1561</v>
      </c>
      <c r="U239" s="3" t="s">
        <v>1548</v>
      </c>
      <c r="V239" s="3" t="s">
        <v>1459</v>
      </c>
      <c r="W239" s="2"/>
      <c r="X239" s="2"/>
      <c r="Y239" s="2"/>
    </row>
    <row r="240" spans="1:25" x14ac:dyDescent="0.2">
      <c r="A240" s="3">
        <v>785</v>
      </c>
      <c r="B240" s="4" t="s">
        <v>1562</v>
      </c>
      <c r="C240" s="3" t="s">
        <v>1563</v>
      </c>
      <c r="D240" s="3" t="str">
        <f>VLOOKUP(A240,Hebrew!A:C,3,0)</f>
        <v>חייל צה"ל מציג גלויה המבזה צעירה פלסטינית</v>
      </c>
      <c r="E240" s="3" t="s">
        <v>1564</v>
      </c>
      <c r="F240" s="3" t="str">
        <f>VLOOKUP($A240,Hebrew!$A:$S,4,0)</f>
        <v>שתי תמונות, באחת חייל צה"ל מחזיק גלוית דואר עם תמונה של צעירה פלסטינית בחיג'אב מחזיקה פרחים. כיתוב בתמונה אומר: "פאטמה השובבה [כך במקור] שלחה לי מכתב לחזית". בשנייה אותו חייל מציג כתיבה בעברית בצד השני של הגלוית: "אהובתי, אני מתגעגע אלייך וחושב עלייך כל יום. באהבה, פאטימה".</v>
      </c>
      <c r="G240" s="3" t="s">
        <v>1565</v>
      </c>
      <c r="H240" s="2"/>
      <c r="I240" s="2"/>
      <c r="J240" s="3" t="s">
        <v>393</v>
      </c>
      <c r="K240" s="3" t="s">
        <v>491</v>
      </c>
      <c r="L240" s="3" t="str">
        <f>VLOOKUP($A240,Hebrew!$A:$S,9,0)</f>
        <v>B.M. (@ireallyhateyou)</v>
      </c>
      <c r="M240" s="2"/>
      <c r="N240" s="2"/>
      <c r="O240" s="3" t="s">
        <v>426</v>
      </c>
      <c r="P240" s="3" t="s">
        <v>27</v>
      </c>
      <c r="Q240" s="3" t="str">
        <f>VLOOKUP($A240,Hebrew!$A:$S,13,0)</f>
        <v>רצועת עזה</v>
      </c>
      <c r="R240" s="3" t="s">
        <v>396</v>
      </c>
      <c r="S240" s="3" t="s">
        <v>700</v>
      </c>
      <c r="T240" s="3" t="s">
        <v>1566</v>
      </c>
      <c r="U240" s="3" t="s">
        <v>43</v>
      </c>
      <c r="V240" s="3" t="s">
        <v>27</v>
      </c>
      <c r="W240" s="2"/>
      <c r="X240" s="2"/>
      <c r="Y240" s="2"/>
    </row>
    <row r="241" spans="1:25" x14ac:dyDescent="0.2">
      <c r="A241" s="3">
        <v>799</v>
      </c>
      <c r="B241" s="4" t="s">
        <v>1567</v>
      </c>
      <c r="C241" s="3" t="s">
        <v>1568</v>
      </c>
      <c r="D241" s="3" t="str">
        <f>VLOOKUP(A241,Hebrew!A:C,3,0)</f>
        <v>חייל צה"ל הצית מחסן ברפיח</v>
      </c>
      <c r="E241" s="3" t="s">
        <v>1569</v>
      </c>
      <c r="F241" s="3" t="str">
        <f>VLOOKUP($A241,Hebrew!$A:$S,4,0)</f>
        <v>שתי תמונות שפורסמו על ידי חייל מראות מחסן בוער ברפיח: אחת מבפנים ואחת מבחוץ.</v>
      </c>
      <c r="G241" s="3" t="s">
        <v>1565</v>
      </c>
      <c r="H241" s="3" t="s">
        <v>1565</v>
      </c>
      <c r="I241" s="3" t="s">
        <v>1565</v>
      </c>
      <c r="J241" s="3" t="s">
        <v>393</v>
      </c>
      <c r="K241" s="3" t="s">
        <v>453</v>
      </c>
      <c r="L241" s="3" t="str">
        <f>VLOOKUP($A241,Hebrew!$A:$S,9,0)</f>
        <v>Younis Tirawi (@ytirawi)</v>
      </c>
      <c r="M241" s="2"/>
      <c r="N241" s="2"/>
      <c r="O241" s="3" t="s">
        <v>26</v>
      </c>
      <c r="P241" s="3" t="s">
        <v>439</v>
      </c>
      <c r="Q241" s="3" t="str">
        <f>VLOOKUP($A241,Hebrew!$A:$S,13,0)</f>
        <v>רפיח</v>
      </c>
      <c r="R241" s="3" t="s">
        <v>396</v>
      </c>
      <c r="S241" s="3" t="s">
        <v>700</v>
      </c>
      <c r="T241" s="3" t="s">
        <v>1570</v>
      </c>
      <c r="U241" s="3" t="s">
        <v>43</v>
      </c>
      <c r="V241" s="3" t="s">
        <v>439</v>
      </c>
      <c r="W241" s="2"/>
      <c r="X241" s="2"/>
      <c r="Y241" s="2"/>
    </row>
    <row r="242" spans="1:25" x14ac:dyDescent="0.2">
      <c r="A242" s="3">
        <v>800</v>
      </c>
      <c r="B242" s="4" t="s">
        <v>1571</v>
      </c>
      <c r="C242" s="3" t="s">
        <v>1572</v>
      </c>
      <c r="D242" s="3" t="str">
        <f>VLOOKUP(A242,Hebrew!A:C,3,0)</f>
        <v>חייל מעמיד פנים כאילו מסניף קוקאין בבית מגורים פלסטיני ברפיח [שרשור]</v>
      </c>
      <c r="E242" s="3" t="s">
        <v>1573</v>
      </c>
      <c r="F242" s="3" t="str">
        <f>VLOOKUP($A242,Hebrew!$A:$S,4,0)</f>
        <v>חייל צה"ל במטבח של משפחה פלסטינית מעמיד פנים כאילו הוא מסניף קוקאין. בשרשור וידיאו של החייל מתנדנד על נדנדה בחצר בית נטוש.</v>
      </c>
      <c r="G242" s="3" t="s">
        <v>451</v>
      </c>
      <c r="H242" s="3" t="s">
        <v>451</v>
      </c>
      <c r="I242" s="3" t="s">
        <v>451</v>
      </c>
      <c r="J242" s="3" t="s">
        <v>393</v>
      </c>
      <c r="K242" s="3" t="s">
        <v>453</v>
      </c>
      <c r="L242" s="3" t="str">
        <f>VLOOKUP($A242,Hebrew!$A:$S,9,0)</f>
        <v>Younis Tirawi (@ytirawi)</v>
      </c>
      <c r="M242" s="2"/>
      <c r="N242" s="2"/>
      <c r="O242" s="3" t="s">
        <v>26</v>
      </c>
      <c r="P242" s="3" t="s">
        <v>439</v>
      </c>
      <c r="Q242" s="3" t="str">
        <f>VLOOKUP($A242,Hebrew!$A:$S,13,0)</f>
        <v>רפיח</v>
      </c>
      <c r="R242" s="3" t="s">
        <v>396</v>
      </c>
      <c r="S242" s="3" t="s">
        <v>982</v>
      </c>
      <c r="T242" s="3" t="s">
        <v>1574</v>
      </c>
      <c r="U242" s="3" t="s">
        <v>43</v>
      </c>
      <c r="V242" s="3" t="s">
        <v>27</v>
      </c>
      <c r="W242" s="2"/>
      <c r="X242" s="2"/>
      <c r="Y242" s="2"/>
    </row>
    <row r="243" spans="1:25" x14ac:dyDescent="0.2">
      <c r="A243" s="3">
        <v>801</v>
      </c>
      <c r="B243" s="4" t="s">
        <v>1575</v>
      </c>
      <c r="C243" s="3" t="s">
        <v>1576</v>
      </c>
      <c r="D243" s="3" t="str">
        <f>VLOOKUP(A243,Hebrew!A:C,3,0)</f>
        <v>חייל צה"ל בשמלה שנלקחה מדירה ברפיח</v>
      </c>
      <c r="E243" s="3" t="s">
        <v>1577</v>
      </c>
      <c r="F243" s="3" t="str">
        <f>VLOOKUP($A243,Hebrew!$A:$S,4,0)</f>
        <v>שני חיילי צה"ל במדי קרב מלאים במה שנראה כמו חדר שינה של אישה עם חפצים אינטימיים שלה (קרמים, תחתונים, איפור), אחד לובש אפוד אדום ותיק נשי, והשני עם ורד מזויף בין שיניו. השרשור נמשך ל-13 ציוצים נוספים שכוללים תוכן נוסף המפחית את האנושיות, כולל הרס, שוד, ונדליזם, הצתת בתים.</v>
      </c>
      <c r="G243" s="3" t="s">
        <v>451</v>
      </c>
      <c r="H243" s="3" t="s">
        <v>451</v>
      </c>
      <c r="I243" s="3" t="s">
        <v>451</v>
      </c>
      <c r="J243" s="3" t="s">
        <v>393</v>
      </c>
      <c r="K243" s="3" t="s">
        <v>453</v>
      </c>
      <c r="L243" s="3" t="str">
        <f>VLOOKUP($A243,Hebrew!$A:$S,9,0)</f>
        <v>Younis Tirawi (@ytirawi)</v>
      </c>
      <c r="M243" s="2"/>
      <c r="N243" s="2"/>
      <c r="O243" s="3" t="s">
        <v>26</v>
      </c>
      <c r="P243" s="3" t="s">
        <v>439</v>
      </c>
      <c r="Q243" s="3" t="str">
        <f>VLOOKUP($A243,Hebrew!$A:$S,13,0)</f>
        <v>רפיח</v>
      </c>
      <c r="R243" s="3" t="s">
        <v>396</v>
      </c>
      <c r="S243" s="3" t="s">
        <v>700</v>
      </c>
      <c r="T243" s="3" t="s">
        <v>1578</v>
      </c>
      <c r="U243" s="3" t="s">
        <v>43</v>
      </c>
      <c r="V243" s="3" t="s">
        <v>439</v>
      </c>
      <c r="W243" s="2"/>
      <c r="X243" s="2"/>
      <c r="Y243" s="2"/>
    </row>
    <row r="244" spans="1:25" x14ac:dyDescent="0.2">
      <c r="A244" s="3">
        <v>802</v>
      </c>
      <c r="B244" s="4" t="s">
        <v>1579</v>
      </c>
      <c r="C244" s="3" t="s">
        <v>1580</v>
      </c>
      <c r="D244" s="3" t="str">
        <f>VLOOKUP(A244,Hebrew!A:C,3,0)</f>
        <v>תמונות של בניינים בוערים ברפיח</v>
      </c>
      <c r="E244" s="3" t="s">
        <v>1581</v>
      </c>
      <c r="F244" s="3" t="str">
        <f>VLOOKUP($A244,Hebrew!$A:$S,4,0)</f>
        <v>שלוש תמונות של בתים בוערים ברפיח. באחת מהן, חייל צה"ל במדי קרב מלא, מחזיק רובה ומחייך מול הבניינים הבוערים.</v>
      </c>
      <c r="G244" s="3" t="s">
        <v>1498</v>
      </c>
      <c r="H244" s="3" t="s">
        <v>451</v>
      </c>
      <c r="I244" s="3" t="s">
        <v>451</v>
      </c>
      <c r="J244" s="3" t="s">
        <v>393</v>
      </c>
      <c r="K244" s="3" t="s">
        <v>453</v>
      </c>
      <c r="L244" s="3" t="str">
        <f>VLOOKUP($A244,Hebrew!$A:$S,9,0)</f>
        <v>Younis Tirawi (@ytirawi)</v>
      </c>
      <c r="M244" s="2"/>
      <c r="N244" s="2"/>
      <c r="O244" s="3" t="s">
        <v>26</v>
      </c>
      <c r="P244" s="3" t="s">
        <v>439</v>
      </c>
      <c r="Q244" s="3" t="str">
        <f>VLOOKUP($A244,Hebrew!$A:$S,13,0)</f>
        <v>רפיח</v>
      </c>
      <c r="R244" s="3" t="s">
        <v>396</v>
      </c>
      <c r="S244" s="3" t="s">
        <v>700</v>
      </c>
      <c r="T244" s="3" t="s">
        <v>1582</v>
      </c>
      <c r="U244" s="3" t="s">
        <v>43</v>
      </c>
      <c r="V244" s="3" t="s">
        <v>439</v>
      </c>
      <c r="W244" s="2"/>
      <c r="X244" s="2"/>
      <c r="Y244" s="2"/>
    </row>
    <row r="245" spans="1:25" x14ac:dyDescent="0.2">
      <c r="A245" s="3">
        <v>803</v>
      </c>
      <c r="B245" s="4" t="s">
        <v>1583</v>
      </c>
      <c r="C245" s="3" t="s">
        <v>1584</v>
      </c>
      <c r="D245" s="3" t="str">
        <f>VLOOKUP(A245,Hebrew!A:C,3,0)</f>
        <v>שירשור הודעות של מפקדי צה"ל (רובם כנראה מפקדים במילואים) הקוראים לרצח עם ו/או טיהור אתני</v>
      </c>
      <c r="E245" s="3" t="s">
        <v>1585</v>
      </c>
      <c r="F245" s="3" t="str">
        <f>VLOOKUP($A245,Hebrew!$A:$S,4,0)</f>
        <v>אוסף פוסטים של קציני צה"ל הקוראים ל"להרוג אזרחים", "להרוג ילדים", "להרעיב את תושבי עזה למוות", "למחוק את עזה" ו"להפיץ מחלות בקרב אזרחים". כל אדם בשרשור מוזכר בשמו, עם תמונות וצילומי מסך של פעילותם ברשתות החברתיות. חלק גדול מזה מתורגם לאנגלית.</v>
      </c>
      <c r="G245" s="3" t="s">
        <v>1498</v>
      </c>
      <c r="H245" s="3" t="s">
        <v>1586</v>
      </c>
      <c r="I245" s="2"/>
      <c r="J245" s="3" t="s">
        <v>393</v>
      </c>
      <c r="K245" s="3" t="s">
        <v>453</v>
      </c>
      <c r="L245" s="3" t="str">
        <f>VLOOKUP($A245,Hebrew!$A:$S,9,0)</f>
        <v>Younis Tirawi (@ytirawi)</v>
      </c>
      <c r="M245" s="3" t="s">
        <v>1587</v>
      </c>
      <c r="N245" s="2"/>
      <c r="O245" s="3" t="s">
        <v>426</v>
      </c>
      <c r="P245" s="3" t="s">
        <v>1588</v>
      </c>
      <c r="Q245" s="3" t="str">
        <f>VLOOKUP($A245,Hebrew!$A:$S,13,0)</f>
        <v>רצועת עזה, ישראל</v>
      </c>
      <c r="R245" s="3" t="s">
        <v>396</v>
      </c>
      <c r="S245" s="3" t="s">
        <v>455</v>
      </c>
      <c r="T245" s="3" t="s">
        <v>1589</v>
      </c>
      <c r="U245" s="3" t="s">
        <v>43</v>
      </c>
      <c r="V245" s="3" t="s">
        <v>709</v>
      </c>
      <c r="W245" s="2"/>
      <c r="X245" s="2"/>
      <c r="Y245" s="2"/>
    </row>
    <row r="246" spans="1:25" x14ac:dyDescent="0.2">
      <c r="A246" s="3">
        <v>804</v>
      </c>
      <c r="B246" s="4" t="s">
        <v>1590</v>
      </c>
      <c r="C246" s="3" t="s">
        <v>1591</v>
      </c>
      <c r="D246" s="3" t="str">
        <f>VLOOKUP(A246,Hebrew!A:C,3,0)</f>
        <v>חיילי צה"ל בוזזים ומשתינים בבית בחאן יונס</v>
      </c>
      <c r="E246" s="3" t="s">
        <v>1592</v>
      </c>
      <c r="F246" s="3" t="str">
        <f>VLOOKUP($A246,Hebrew!$A:$S,4,0)</f>
        <v>תמונה של חייל צה"ל שעונד שלושה שעונים וטבעת שבזז מבית בחאן יונס, תמונה של חייל שלובש מעיל שהוא כנראה מצא, ווידאו של חייל שמצלם את עצמו משתין על רצפת בית.</v>
      </c>
      <c r="G246" s="3" t="s">
        <v>403</v>
      </c>
      <c r="H246" s="2"/>
      <c r="I246" s="2"/>
      <c r="J246" s="3" t="s">
        <v>393</v>
      </c>
      <c r="K246" s="3" t="s">
        <v>453</v>
      </c>
      <c r="L246" s="3" t="str">
        <f>VLOOKUP($A246,Hebrew!$A:$S,9,0)</f>
        <v>Younis Tirawi (@ytirawi)</v>
      </c>
      <c r="M246" s="2"/>
      <c r="N246" s="2"/>
      <c r="O246" s="3" t="s">
        <v>26</v>
      </c>
      <c r="P246" s="3" t="s">
        <v>395</v>
      </c>
      <c r="Q246" s="3" t="str">
        <f>VLOOKUP($A246,Hebrew!$A:$S,13,0)</f>
        <v>חאן יונס</v>
      </c>
      <c r="R246" s="3" t="s">
        <v>396</v>
      </c>
      <c r="S246" s="3" t="s">
        <v>1593</v>
      </c>
      <c r="T246" s="3" t="s">
        <v>1594</v>
      </c>
      <c r="U246" s="3" t="s">
        <v>43</v>
      </c>
      <c r="V246" s="3" t="s">
        <v>395</v>
      </c>
      <c r="W246" s="2"/>
      <c r="X246" s="2"/>
      <c r="Y246" s="2"/>
    </row>
    <row r="247" spans="1:25" x14ac:dyDescent="0.2">
      <c r="A247" s="3">
        <v>805</v>
      </c>
      <c r="B247" s="4" t="s">
        <v>1595</v>
      </c>
      <c r="C247" s="3" t="s">
        <v>1596</v>
      </c>
      <c r="D247" s="3" t="str">
        <f>VLOOKUP(A247,Hebrew!A:C,3,0)</f>
        <v>תמונה של פלסטיני על ברכיו עם שלושה חיילים מכוונים אליו רובים</v>
      </c>
      <c r="E247" s="3" t="s">
        <v>1597</v>
      </c>
      <c r="F247" s="3" t="str">
        <f>VLOOKUP($A247,Hebrew!$A:$S,4,0)</f>
        <v>תמונה של פלסטיני על ברכיו, ידיו קשורות ועיניו מכוסות, בעוד שלושה חיילי צה"ל מחזיקים רובים ומביטים למצלמה, שניים מהם מכוונים את הרובה לעבר הפלסטיני, ואחד מהם מחייך.</v>
      </c>
      <c r="G247" s="3" t="s">
        <v>403</v>
      </c>
      <c r="H247" s="3" t="s">
        <v>1598</v>
      </c>
      <c r="I247" s="3" t="s">
        <v>1598</v>
      </c>
      <c r="J247" s="3" t="s">
        <v>393</v>
      </c>
      <c r="K247" s="3" t="s">
        <v>453</v>
      </c>
      <c r="L247" s="3" t="str">
        <f>VLOOKUP($A247,Hebrew!$A:$S,9,0)</f>
        <v>Younis Tirawi (@ytirawi)</v>
      </c>
      <c r="M247" s="2"/>
      <c r="N247" s="2"/>
      <c r="O247" s="3" t="s">
        <v>26</v>
      </c>
      <c r="P247" s="3" t="s">
        <v>71</v>
      </c>
      <c r="Q247" s="3" t="str">
        <f>VLOOKUP($A247,Hebrew!$A:$S,13,0)</f>
        <v>עיר עזה</v>
      </c>
      <c r="R247" s="3" t="s">
        <v>396</v>
      </c>
      <c r="S247" s="3" t="s">
        <v>700</v>
      </c>
      <c r="T247" s="3" t="s">
        <v>1599</v>
      </c>
      <c r="U247" s="3" t="s">
        <v>43</v>
      </c>
      <c r="V247" s="3" t="s">
        <v>71</v>
      </c>
      <c r="W247" s="2"/>
      <c r="X247" s="2"/>
      <c r="Y247" s="2"/>
    </row>
    <row r="248" spans="1:25" x14ac:dyDescent="0.2">
      <c r="A248" s="3">
        <v>806</v>
      </c>
      <c r="B248" s="4" t="s">
        <v>1600</v>
      </c>
      <c r="C248" s="3" t="s">
        <v>1601</v>
      </c>
      <c r="D248" s="3" t="str">
        <f>VLOOKUP(A248,Hebrew!A:C,3,0)</f>
        <v>חייל צה"ל בבולדוזר צבאי הורס בית</v>
      </c>
      <c r="E248" s="3" t="s">
        <v>1602</v>
      </c>
      <c r="F248" s="3" t="str">
        <f>VLOOKUP($A248,Hebrew!$A:$S,4,0)</f>
        <v>וידאו של חייל צה"ל מפעיל ציוד מכני כבד שממוטט בית. קולות של חיילים מעודדים נשמעים ברקע.</v>
      </c>
      <c r="G248" s="3" t="s">
        <v>403</v>
      </c>
      <c r="H248" s="3" t="s">
        <v>403</v>
      </c>
      <c r="I248" s="3" t="s">
        <v>403</v>
      </c>
      <c r="J248" s="3" t="s">
        <v>393</v>
      </c>
      <c r="K248" s="3" t="s">
        <v>453</v>
      </c>
      <c r="L248" s="3" t="str">
        <f>VLOOKUP($A248,Hebrew!$A:$S,9,0)</f>
        <v>Younis Tirawi (@ytirawi)</v>
      </c>
      <c r="M248" s="2"/>
      <c r="N248" s="2"/>
      <c r="O248" s="3" t="s">
        <v>602</v>
      </c>
      <c r="P248" s="3" t="s">
        <v>439</v>
      </c>
      <c r="Q248" s="3" t="str">
        <f>VLOOKUP($A248,Hebrew!$A:$S,13,0)</f>
        <v>רפיח</v>
      </c>
      <c r="R248" s="3" t="s">
        <v>396</v>
      </c>
      <c r="S248" s="3" t="s">
        <v>982</v>
      </c>
      <c r="T248" s="3" t="s">
        <v>1603</v>
      </c>
      <c r="U248" s="3" t="s">
        <v>43</v>
      </c>
      <c r="V248" s="3" t="s">
        <v>439</v>
      </c>
      <c r="W248" s="2"/>
      <c r="X248" s="2"/>
      <c r="Y248" s="2"/>
    </row>
    <row r="249" spans="1:25" x14ac:dyDescent="0.2">
      <c r="A249" s="3">
        <v>807</v>
      </c>
      <c r="B249" s="4" t="s">
        <v>1604</v>
      </c>
      <c r="C249" s="3" t="s">
        <v>1605</v>
      </c>
      <c r="D249" s="3" t="str">
        <f>VLOOKUP(A249,Hebrew!A:C,3,0)</f>
        <v>מפקד בכיר בצה"ל קורא לנתק חשמל, מים, סיוע הומניטרי לעזה תוך מניעת גישה לתקשורת</v>
      </c>
      <c r="E249" s="3" t="s">
        <v>1606</v>
      </c>
      <c r="F249" s="3" t="str">
        <f>VLOOKUP($A249,Hebrew!$A:$S,4,0)</f>
        <v>תמונה של מפקד בכיר בצה"ל ליד הפוסט שלו בפייסבוק שבו הוא קורא לממשלה להיות יותר אגרסיבית, לנתק חשמל, מים, תקשורת וסיוע הומניטרי לרצועת עזה.</v>
      </c>
      <c r="G249" s="3" t="s">
        <v>403</v>
      </c>
      <c r="H249" s="3" t="s">
        <v>1498</v>
      </c>
      <c r="I249" s="3" t="s">
        <v>1498</v>
      </c>
      <c r="J249" s="3" t="s">
        <v>393</v>
      </c>
      <c r="K249" s="3" t="s">
        <v>453</v>
      </c>
      <c r="L249" s="3" t="str">
        <f>VLOOKUP($A249,Hebrew!$A:$S,9,0)</f>
        <v>Younis Tirawi (@ytirawi)</v>
      </c>
      <c r="M249" s="3" t="s">
        <v>1587</v>
      </c>
      <c r="N249" s="2"/>
      <c r="O249" s="3" t="s">
        <v>426</v>
      </c>
      <c r="P249" s="2"/>
      <c r="Q249" s="3">
        <f>VLOOKUP($A249,Hebrew!$A:$S,13,0)</f>
        <v>0</v>
      </c>
      <c r="R249" s="3" t="s">
        <v>396</v>
      </c>
      <c r="S249" s="3" t="s">
        <v>455</v>
      </c>
      <c r="T249" s="3" t="s">
        <v>1607</v>
      </c>
      <c r="U249" s="3" t="s">
        <v>43</v>
      </c>
      <c r="V249" s="2"/>
      <c r="W249" s="2"/>
      <c r="X249" s="2"/>
      <c r="Y249" s="2"/>
    </row>
    <row r="250" spans="1:25" x14ac:dyDescent="0.2">
      <c r="A250" s="3">
        <v>808</v>
      </c>
      <c r="B250" s="4" t="s">
        <v>1608</v>
      </c>
      <c r="C250" s="3" t="s">
        <v>1609</v>
      </c>
      <c r="D250" s="3" t="str">
        <f>VLOOKUP(A250,Hebrew!A:C,3,0)</f>
        <v>לפי מפקד בכיר בצה"ל, ההתקפה על עיירה בעזה בוצעה כנקמה.</v>
      </c>
      <c r="E250" s="3" t="s">
        <v>1610</v>
      </c>
      <c r="F250" s="3" t="str">
        <f>VLOOKUP($A250,Hebrew!$A:$S,4,0)</f>
        <v>מפקד בכיר בצה"ל כותב שהמבצע עוז וניר באזור חאן יונס, שבו הושמדה העיירה חירבת ח'וזעא, בוצע כנקמה. הוא טוען שזו העיירה שממנה יצאה המתקפה על קיבוץ ניר עוז. התמונה מראה הרס בעיירה חירבת ח'וזעא, לצד התמונה שלו ופוסט בפייסבוק.</v>
      </c>
      <c r="G250" s="3" t="s">
        <v>968</v>
      </c>
      <c r="H250" s="2"/>
      <c r="I250" s="2"/>
      <c r="J250" s="3" t="s">
        <v>393</v>
      </c>
      <c r="K250" s="3" t="s">
        <v>453</v>
      </c>
      <c r="L250" s="3" t="str">
        <f>VLOOKUP($A250,Hebrew!$A:$S,9,0)</f>
        <v>Younis Tirawi (@ytirawi)</v>
      </c>
      <c r="M250" s="3" t="s">
        <v>1587</v>
      </c>
      <c r="N250" s="2"/>
      <c r="O250" s="3" t="s">
        <v>426</v>
      </c>
      <c r="P250" s="3" t="s">
        <v>1611</v>
      </c>
      <c r="Q250" s="3" t="str">
        <f>VLOOKUP($A250,Hebrew!$A:$S,13,0)</f>
        <v>חאן יונס, רצועת עזה, ח'וזעה</v>
      </c>
      <c r="R250" s="3" t="s">
        <v>396</v>
      </c>
      <c r="S250" s="3" t="s">
        <v>700</v>
      </c>
      <c r="T250" s="3" t="s">
        <v>1612</v>
      </c>
      <c r="U250" s="3" t="s">
        <v>43</v>
      </c>
      <c r="V250" s="3" t="s">
        <v>1613</v>
      </c>
      <c r="W250" s="2"/>
      <c r="X250" s="2"/>
      <c r="Y250" s="2"/>
    </row>
    <row r="251" spans="1:25" x14ac:dyDescent="0.2">
      <c r="A251" s="3">
        <v>809</v>
      </c>
      <c r="B251" s="4" t="s">
        <v>1614</v>
      </c>
      <c r="C251" s="3" t="s">
        <v>1615</v>
      </c>
      <c r="D251" s="3" t="str">
        <f>VLOOKUP(A251,Hebrew!A:C,3,0)</f>
        <v>חייל צה"ל מנפה קמח שנכנס לעזה כסיוע הומניטרי</v>
      </c>
      <c r="E251" s="3" t="s">
        <v>1616</v>
      </c>
      <c r="F251" s="3" t="str">
        <f>VLOOKUP($A251,Hebrew!$A:$S,4,0)</f>
        <v>וידאו של חייל צה"ל מנפה קמח תוך כדי שהוא מסתכל למצלמה ומודה לאו"ם, לאונר"א ולארגוני סיוע הומניטרי על הסיוע ההומניטרי.</v>
      </c>
      <c r="G251" s="3" t="s">
        <v>968</v>
      </c>
      <c r="H251" s="2"/>
      <c r="I251" s="2"/>
      <c r="J251" s="3" t="s">
        <v>393</v>
      </c>
      <c r="K251" s="3" t="s">
        <v>453</v>
      </c>
      <c r="L251" s="3" t="str">
        <f>VLOOKUP($A251,Hebrew!$A:$S,9,0)</f>
        <v>Younis Tirawi (@ytirawi)</v>
      </c>
      <c r="M251" s="2"/>
      <c r="N251" s="2"/>
      <c r="O251" s="3" t="s">
        <v>426</v>
      </c>
      <c r="P251" s="3" t="s">
        <v>439</v>
      </c>
      <c r="Q251" s="3" t="str">
        <f>VLOOKUP($A251,Hebrew!$A:$S,13,0)</f>
        <v>רפיח</v>
      </c>
      <c r="R251" s="3" t="s">
        <v>396</v>
      </c>
      <c r="S251" s="3" t="s">
        <v>982</v>
      </c>
      <c r="T251" s="3" t="s">
        <v>1617</v>
      </c>
      <c r="U251" s="3" t="s">
        <v>1618</v>
      </c>
      <c r="V251" s="3" t="s">
        <v>439</v>
      </c>
      <c r="W251" s="2"/>
      <c r="X251" s="2"/>
      <c r="Y251" s="2"/>
    </row>
    <row r="252" spans="1:25" x14ac:dyDescent="0.2">
      <c r="A252" s="3">
        <v>810</v>
      </c>
      <c r="B252" s="4" t="s">
        <v>1619</v>
      </c>
      <c r="C252" s="3" t="s">
        <v>1620</v>
      </c>
      <c r="D252" s="3" t="str">
        <f>VLOOKUP(A252,Hebrew!A:C,3,0)</f>
        <v>חייל צה"ל מציג בית של פלסטינים כמו בתוכנית טלוויזיה</v>
      </c>
      <c r="E252" s="3" t="s">
        <v>1621</v>
      </c>
      <c r="F252" s="3" t="str">
        <f>VLOOKUP($A252,Hebrew!$A:$S,4,0)</f>
        <v>וידאו של חיילי צה"ל שמתרברב בביתו כביכול, שהוא ביתם של פלסטינים שנעקרו מרפיח.</v>
      </c>
      <c r="G252" s="3" t="s">
        <v>968</v>
      </c>
      <c r="H252" s="3" t="s">
        <v>600</v>
      </c>
      <c r="I252" s="3" t="s">
        <v>600</v>
      </c>
      <c r="J252" s="3" t="s">
        <v>393</v>
      </c>
      <c r="K252" s="3" t="s">
        <v>453</v>
      </c>
      <c r="L252" s="3" t="str">
        <f>VLOOKUP($A252,Hebrew!$A:$S,9,0)</f>
        <v>Younis Tirawi (@ytirawi)</v>
      </c>
      <c r="M252" s="2"/>
      <c r="N252" s="2"/>
      <c r="O252" s="3" t="s">
        <v>426</v>
      </c>
      <c r="P252" s="3" t="s">
        <v>439</v>
      </c>
      <c r="Q252" s="3" t="str">
        <f>VLOOKUP($A252,Hebrew!$A:$S,13,0)</f>
        <v>רפיח</v>
      </c>
      <c r="R252" s="3" t="s">
        <v>396</v>
      </c>
      <c r="S252" s="3" t="s">
        <v>982</v>
      </c>
      <c r="T252" s="3" t="s">
        <v>1622</v>
      </c>
      <c r="U252" s="3" t="s">
        <v>43</v>
      </c>
      <c r="V252" s="3" t="s">
        <v>439</v>
      </c>
      <c r="W252" s="2"/>
      <c r="X252" s="2"/>
      <c r="Y252" s="2"/>
    </row>
    <row r="253" spans="1:25" x14ac:dyDescent="0.2">
      <c r="A253" s="3">
        <v>231</v>
      </c>
      <c r="B253" s="4" t="s">
        <v>1623</v>
      </c>
      <c r="C253" s="3" t="s">
        <v>1624</v>
      </c>
      <c r="D253" s="3" t="str">
        <f>VLOOKUP(A253,Hebrew!A:C,3,0)</f>
        <v>עלון פרסום לכנס גדול שמעודד כיבוש והתנחלות ברצועת עזה</v>
      </c>
      <c r="E253" s="3" t="s">
        <v>1625</v>
      </c>
      <c r="F253" s="3" t="str">
        <f>VLOOKUP($A253,Hebrew!$A:$S,4,0)</f>
        <v>העלון כולל לוגואים של יותר מ-30 ארגונים ימניים ודתיים.</v>
      </c>
      <c r="G253" s="3" t="s">
        <v>1626</v>
      </c>
      <c r="H253" s="3" t="s">
        <v>1113</v>
      </c>
      <c r="I253" s="3" t="s">
        <v>1113</v>
      </c>
      <c r="J253" s="3" t="s">
        <v>393</v>
      </c>
      <c r="K253" s="3" t="s">
        <v>693</v>
      </c>
      <c r="L253" s="3" t="str">
        <f>VLOOKUP($A253,Hebrew!$A:$S,9,0)</f>
        <v>אלון-לי גרין (@AlonLeeGreen)</v>
      </c>
      <c r="M253" s="2"/>
      <c r="N253" s="2"/>
      <c r="O253" s="3" t="s">
        <v>39</v>
      </c>
      <c r="P253" s="3" t="s">
        <v>168</v>
      </c>
      <c r="Q253" s="3" t="str">
        <f>VLOOKUP($A253,Hebrew!$A:$S,13,0)</f>
        <v>ירושלים</v>
      </c>
      <c r="R253" s="3" t="s">
        <v>396</v>
      </c>
      <c r="S253" s="3" t="s">
        <v>29</v>
      </c>
      <c r="T253" s="3" t="s">
        <v>1627</v>
      </c>
      <c r="U253" s="2"/>
      <c r="V253" s="3" t="s">
        <v>168</v>
      </c>
      <c r="W253" s="2"/>
      <c r="X253" s="2"/>
      <c r="Y253" s="2"/>
    </row>
    <row r="254" spans="1:25" x14ac:dyDescent="0.2">
      <c r="A254" s="3">
        <v>233</v>
      </c>
      <c r="B254" s="4" t="s">
        <v>1628</v>
      </c>
      <c r="C254" s="3" t="s">
        <v>1629</v>
      </c>
      <c r="D254" s="3" t="str">
        <f>VLOOKUP(A254,Hebrew!A:C,3,0)</f>
        <v>שר המורשת הישראלי: "מי ששחט אותנו, ניקח את אדמתו. נקודה!"</v>
      </c>
      <c r="E254" s="3" t="s">
        <v>1630</v>
      </c>
      <c r="F254" s="3" t="str">
        <f>VLOOKUP($A254,Hebrew!$A:$S,4,0)</f>
        <v>דיון בין השר אמיחי אליהו לכתבת CNN קלריסה וורד. השר טוען שאין דבר לא מוסרי בלקיחת האדמות של מישהו שבא לשחוט ולאנוס "את הילדים שלנו".</v>
      </c>
      <c r="G254" s="3" t="s">
        <v>1631</v>
      </c>
      <c r="H254" s="2"/>
      <c r="I254" s="2"/>
      <c r="J254" s="3" t="s">
        <v>393</v>
      </c>
      <c r="K254" s="3" t="s">
        <v>1632</v>
      </c>
      <c r="L254" s="3" t="str">
        <f>VLOOKUP($A254,Hebrew!$A:$S,9,0)</f>
        <v>עמיחי אליהו (@Eliyahu_a)</v>
      </c>
      <c r="M254" s="3" t="s">
        <v>135</v>
      </c>
      <c r="N254" s="2"/>
      <c r="O254" s="3" t="s">
        <v>493</v>
      </c>
      <c r="P254" s="3" t="s">
        <v>60</v>
      </c>
      <c r="Q254" s="3" t="str">
        <f>VLOOKUP($A254,Hebrew!$A:$S,13,0)</f>
        <v>ישראל</v>
      </c>
      <c r="R254" s="3" t="s">
        <v>396</v>
      </c>
      <c r="S254" s="3" t="s">
        <v>413</v>
      </c>
      <c r="T254" s="3" t="s">
        <v>1633</v>
      </c>
      <c r="U254" s="3" t="s">
        <v>253</v>
      </c>
      <c r="V254" s="3" t="s">
        <v>60</v>
      </c>
      <c r="W254" s="3" t="s">
        <v>1634</v>
      </c>
      <c r="X254" s="2"/>
      <c r="Y254" s="2"/>
    </row>
    <row r="255" spans="1:25" x14ac:dyDescent="0.2">
      <c r="A255" s="3">
        <v>237</v>
      </c>
      <c r="B255" s="4" t="s">
        <v>1635</v>
      </c>
      <c r="C255" s="3" t="s">
        <v>1636</v>
      </c>
      <c r="D255" s="3" t="str">
        <f>VLOOKUP(A255,Hebrew!A:C,3,0)</f>
        <v>צה"ל בבית החולים ע"ש הידידות הטורקית-פלסטינית (Turkish-Plaestinian Friendship Hospital)</v>
      </c>
      <c r="E255" s="3" t="s">
        <v>1637</v>
      </c>
      <c r="F255" s="3" t="str">
        <f>VLOOKUP($A255,Hebrew!$A:$S,4,0)</f>
        <v>הווידאו מראה חייל צה"ל מספר סיפור מול מקום שלפי הפוסט הוא חדר המיון ובנק הדם של בית החולים ע"ש הידידות הטורקית-פלסטינית. רכבי צה"ל נראים ברקע. הפוסט מסביר כיצד השימוש בבית החולים למטרות צבאיות מפר את החוק ההומניטרי ופרוטוקולים אחרים.</v>
      </c>
      <c r="G255" s="3" t="s">
        <v>1222</v>
      </c>
      <c r="H255" s="3" t="s">
        <v>476</v>
      </c>
      <c r="I255" s="3" t="s">
        <v>476</v>
      </c>
      <c r="J255" s="3" t="s">
        <v>393</v>
      </c>
      <c r="K255" s="3" t="s">
        <v>411</v>
      </c>
      <c r="L255" s="3" t="str">
        <f>VLOOKUP($A255,Hebrew!$A:$S,9,0)</f>
        <v>Khaled Yousry (@KhaledYousry22)</v>
      </c>
      <c r="M255" s="2"/>
      <c r="N255" s="2"/>
      <c r="O255" s="3" t="s">
        <v>26</v>
      </c>
      <c r="P255" s="3" t="s">
        <v>1638</v>
      </c>
      <c r="Q255" s="3" t="str">
        <f>VLOOKUP($A255,Hebrew!$A:$S,13,0)</f>
        <v>בית החולים ע"ש הידידות הטורקית-פלסטינית</v>
      </c>
      <c r="R255" s="3" t="s">
        <v>396</v>
      </c>
      <c r="S255" s="3" t="s">
        <v>413</v>
      </c>
      <c r="T255" s="3" t="s">
        <v>1639</v>
      </c>
      <c r="U255" s="3" t="s">
        <v>43</v>
      </c>
      <c r="V255" s="3" t="s">
        <v>27</v>
      </c>
      <c r="W255" s="2"/>
      <c r="X255" s="2"/>
      <c r="Y255" s="2"/>
    </row>
    <row r="256" spans="1:25" x14ac:dyDescent="0.2">
      <c r="A256" s="3">
        <v>1023</v>
      </c>
      <c r="B256" s="4" t="s">
        <v>1640</v>
      </c>
      <c r="C256" s="3" t="s">
        <v>1641</v>
      </c>
      <c r="D256" s="3" t="str">
        <f>VLOOKUP(A256,Hebrew!A:C,3,0)</f>
        <v>הרצוג גינה את צווי המעצר של בית הדין הפלילי הבינלאומי נגד נתניהו וגלנט</v>
      </c>
      <c r="E256" s="3" t="s">
        <v>1642</v>
      </c>
      <c r="F256" s="3" t="str">
        <f>VLOOKUP($A256,Hebrew!$A:$S,4,0)</f>
        <v>בעקבות הוצאת צווי המעצר של בית הדין הפלילי הבינלאומי נגד ראש ממשלת ישראל בנימין נתניהו ושר הביטחון יואב גלנט, פרסם נשיא ישראל יצחק הרצוג הודעה המגנה את החלטת בית הדין; הוא טוען שהיא מתעלמת מהתקפות חמאס, חטיפת בני ערובה ושימוש במגנים אנושיים, תוך שהיא מתעלמת מזכותה של ישראל להגנה עצמית וממאמציה לפעול לפי החוק הבינלאומי. הוא גם מאשים את בית הדין בכך שהוא תומך בטרור, פוגע בצדק ומאפשר את פשעי חמאס.</v>
      </c>
      <c r="G256" s="3" t="s">
        <v>199</v>
      </c>
      <c r="H256" s="2"/>
      <c r="I256" s="2"/>
      <c r="J256" s="3" t="s">
        <v>393</v>
      </c>
      <c r="K256" s="3" t="s">
        <v>1643</v>
      </c>
      <c r="L256" s="3" t="str">
        <f>VLOOKUP($A256,Hebrew!$A:$S,9,0)</f>
        <v>יצחק הרצוג (@Isaac_Herzog)</v>
      </c>
      <c r="M256" s="2"/>
      <c r="N256" s="2"/>
      <c r="O256" s="3" t="s">
        <v>26</v>
      </c>
      <c r="P256" s="3" t="s">
        <v>60</v>
      </c>
      <c r="Q256" s="3" t="str">
        <f>VLOOKUP($A256,Hebrew!$A:$S,13,0)</f>
        <v>ישראל</v>
      </c>
      <c r="R256" s="3" t="s">
        <v>396</v>
      </c>
      <c r="S256" s="3" t="s">
        <v>29</v>
      </c>
      <c r="T256" s="3" t="s">
        <v>1447</v>
      </c>
      <c r="U256" s="3" t="s">
        <v>1644</v>
      </c>
      <c r="V256" s="3" t="s">
        <v>60</v>
      </c>
      <c r="W256" s="3" t="s">
        <v>1645</v>
      </c>
      <c r="X256" s="2"/>
      <c r="Y256" s="2"/>
    </row>
    <row r="257" spans="1:25" x14ac:dyDescent="0.2">
      <c r="A257" s="3">
        <v>1025</v>
      </c>
      <c r="B257" s="4" t="s">
        <v>1646</v>
      </c>
      <c r="C257" s="3" t="s">
        <v>1647</v>
      </c>
      <c r="D257" s="3" t="str">
        <f>VLOOKUP(A257,Hebrew!A:C,3,0)</f>
        <v>הודעה רשמית ממשרד ראש ממשלת ישראל על צווי מעצר של בית הדין הפלילי הבינלאומי</v>
      </c>
      <c r="E257" s="3" t="s">
        <v>1648</v>
      </c>
      <c r="F257" s="3" t="str">
        <f>VLOOKUP($A257,Hebrew!$A:$S,4,0)</f>
        <v>ראש ממשלת ישראל בנימין נתניהו גינה את החלטת בית הדין הפלילי הבינלאומי להוציא צווי מעצר נגדו ונגד שר הביטחון יואב גלנט, ותיאר זאת כ'משפט דרייפוס מודרני' והגדיר את בית המשפט כ'גוף פוליטי מוטה ומפלה.'</v>
      </c>
      <c r="G257" s="3" t="s">
        <v>199</v>
      </c>
      <c r="H257" s="2"/>
      <c r="I257" s="2"/>
      <c r="J257" s="3" t="s">
        <v>393</v>
      </c>
      <c r="K257" s="3" t="s">
        <v>1649</v>
      </c>
      <c r="L257" s="3" t="str">
        <f>VLOOKUP($A257,Hebrew!$A:$S,9,0)</f>
        <v>משרד ראש ממשלת ישראל (@IsraeliPM)</v>
      </c>
      <c r="M257" s="2"/>
      <c r="N257" s="4" t="s">
        <v>1650</v>
      </c>
      <c r="O257" s="3" t="s">
        <v>26</v>
      </c>
      <c r="P257" s="2"/>
      <c r="Q257" s="3">
        <f>VLOOKUP($A257,Hebrew!$A:$S,13,0)</f>
        <v>0</v>
      </c>
      <c r="R257" s="3" t="s">
        <v>396</v>
      </c>
      <c r="S257" s="3" t="s">
        <v>29</v>
      </c>
      <c r="T257" s="3" t="s">
        <v>1651</v>
      </c>
      <c r="U257" s="3" t="s">
        <v>897</v>
      </c>
      <c r="V257" s="2"/>
      <c r="W257" s="3" t="s">
        <v>219</v>
      </c>
      <c r="X257" s="2"/>
      <c r="Y257" s="2"/>
    </row>
    <row r="258" spans="1:25" x14ac:dyDescent="0.2">
      <c r="A258" s="3">
        <v>1028</v>
      </c>
      <c r="B258" s="4" t="s">
        <v>1652</v>
      </c>
      <c r="C258" s="3" t="s">
        <v>1653</v>
      </c>
      <c r="D258" s="3" t="str">
        <f>VLOOKUP(A258,Hebrew!A:C,3,0)</f>
        <v>דובר יוניצ"ף מגנה את "הגיהנום על פני האדמה" בעזה</v>
      </c>
      <c r="E258" s="3" t="s">
        <v>1654</v>
      </c>
      <c r="F258" s="3" t="str">
        <f>VLOOKUP($A258,Hebrew!$A:$S,4,0)</f>
        <v>דובר יוניצ"ף, ג'יימס אלדר, אומר כי עזה הפכה ל"התגשמות הגיהנום על פני כדור הארץ עבור מיליון הילדים שבה", כאשר התנאים מחמירים מיום ליום. כדוגמה, הוא משתף את הסיפור של קמר, בת 7, שסבלה מפציעה ברגל כתוצאה מהפצצה ישראלית על ג'בליה. בית החולים היחיד שיכול היה לטפל בה, בית יולדות, היה נתון למצור צבאי ישראלי במשך עשרה ימים. בינתיים, הרסיס גרם לזיהום ברגל שלה, והרופאים נאלצו לקטוע אותה. זמן קצר לאחר מכן, היא נאלצה לברוח מג'בליה – ברגל – עם אמה ואחותה, בדרכן דרומה. עכשיו, הן חיות באוהל קרוע מוקף במים עומדים.</v>
      </c>
      <c r="G258" s="3" t="s">
        <v>1655</v>
      </c>
      <c r="H258" s="2"/>
      <c r="I258" s="2"/>
      <c r="J258" s="3" t="s">
        <v>393</v>
      </c>
      <c r="K258" s="3" t="s">
        <v>1656</v>
      </c>
      <c r="L258" s="3" t="str">
        <f>VLOOKUP($A258,Hebrew!$A:$S,9,0)</f>
        <v>אומות המאוחדות ג'נבה (@UNGeneva)</v>
      </c>
      <c r="M258" s="2"/>
      <c r="N258" s="2"/>
      <c r="O258" s="3" t="s">
        <v>26</v>
      </c>
      <c r="P258" s="3" t="s">
        <v>461</v>
      </c>
      <c r="Q258" s="3" t="str">
        <f>VLOOKUP($A258,Hebrew!$A:$S,13,0)</f>
        <v>ג'באליה</v>
      </c>
      <c r="R258" s="3" t="s">
        <v>396</v>
      </c>
      <c r="S258" s="3" t="s">
        <v>405</v>
      </c>
      <c r="T258" s="3" t="s">
        <v>1657</v>
      </c>
      <c r="U258" s="3" t="s">
        <v>1658</v>
      </c>
      <c r="V258" s="3" t="s">
        <v>461</v>
      </c>
      <c r="W258" s="3" t="s">
        <v>1659</v>
      </c>
      <c r="X258" s="2"/>
      <c r="Y258" s="2"/>
    </row>
    <row r="259" spans="1:25" x14ac:dyDescent="0.2">
      <c r="A259" s="3">
        <v>1029</v>
      </c>
      <c r="B259" s="4" t="s">
        <v>1660</v>
      </c>
      <c r="C259" s="3" t="s">
        <v>1661</v>
      </c>
      <c r="D259" s="3" t="str">
        <f>VLOOKUP(A259,Hebrew!A:C,3,0)</f>
        <v>יאיר גולן מגנה את החלטת בית הדין הפלילי הבינלאומי להוציא צווי מעצר נגד נתניהו וגלנט</v>
      </c>
      <c r="E259" s="3" t="s">
        <v>1662</v>
      </c>
      <c r="F259" s="3" t="str">
        <f>VLOOKUP($A259,Hebrew!$A:$S,4,0)</f>
        <v>יאיר גולן מגנה את ההחלטה של בית הדין הפלילי הבינלאומי בהאג להוציא צווי מעצר נגד הבכירים הישראלים בנימין נתניהו ויואב גלנט, וטוען ש"ישראל הייתה ותמיד תהיה בעלת הזכות להגן על עצמה"</v>
      </c>
      <c r="G259" s="3" t="s">
        <v>199</v>
      </c>
      <c r="H259" s="3" t="s">
        <v>199</v>
      </c>
      <c r="I259" s="3" t="s">
        <v>199</v>
      </c>
      <c r="J259" s="3" t="s">
        <v>393</v>
      </c>
      <c r="K259" s="3" t="s">
        <v>1663</v>
      </c>
      <c r="L259" s="3" t="str">
        <f>VLOOKUP($A259,Hebrew!$A:$S,9,0)</f>
        <v>יאיר גולן (@YairGolan1)</v>
      </c>
      <c r="M259" s="2"/>
      <c r="N259" s="2"/>
      <c r="O259" s="3" t="s">
        <v>39</v>
      </c>
      <c r="P259" s="2"/>
      <c r="Q259" s="3">
        <f>VLOOKUP($A259,Hebrew!$A:$S,13,0)</f>
        <v>0</v>
      </c>
      <c r="R259" s="3" t="s">
        <v>396</v>
      </c>
      <c r="S259" s="3" t="s">
        <v>29</v>
      </c>
      <c r="T259" s="3" t="s">
        <v>1664</v>
      </c>
      <c r="U259" s="3" t="s">
        <v>897</v>
      </c>
      <c r="V259" s="2"/>
      <c r="W259" s="3" t="s">
        <v>1665</v>
      </c>
      <c r="X259" s="2"/>
      <c r="Y259" s="2"/>
    </row>
    <row r="260" spans="1:25" x14ac:dyDescent="0.2">
      <c r="A260" s="3">
        <v>1031</v>
      </c>
      <c r="B260" s="4" t="s">
        <v>1666</v>
      </c>
      <c r="C260" s="3" t="s">
        <v>1667</v>
      </c>
      <c r="D260" s="3" t="str">
        <f>VLOOKUP(A260,Hebrew!A:C,3,0)</f>
        <v>מזכ"ל האו"ם אנטוניו גוטרש מגנה את מלחמת ישראל על עזה</v>
      </c>
      <c r="E260" s="3" t="s">
        <v>1668</v>
      </c>
      <c r="F260" s="3" t="str">
        <f>VLOOKUP($A260,Hebrew!$A:$S,4,0)</f>
        <v>מזכ"ל האו"ם אנטוניו גוטרש, שעליו הוטל לאחרונה איסור כניסה לישראל, אומר שהמלחמה של ישראל נגד עזה היא "הקמפיין הצבאי ההרסני והקטלני ביותר בשנותיי כמזכ"ל. הסבל שעובר העם הפלסטיני בעזה הוא מעבר לכל דמיון."</v>
      </c>
      <c r="G260" s="3" t="s">
        <v>90</v>
      </c>
      <c r="H260" s="2"/>
      <c r="I260" s="2"/>
      <c r="J260" s="3" t="s">
        <v>393</v>
      </c>
      <c r="K260" s="3" t="s">
        <v>1669</v>
      </c>
      <c r="L260" s="3" t="str">
        <f>VLOOKUP($A260,Hebrew!$A:$S,9,0)</f>
        <v>Jeremy Scahill (@jeremyscahill)</v>
      </c>
      <c r="M260" s="2"/>
      <c r="N260" s="2"/>
      <c r="O260" s="3" t="s">
        <v>26</v>
      </c>
      <c r="P260" s="3" t="s">
        <v>27</v>
      </c>
      <c r="Q260" s="3" t="str">
        <f>VLOOKUP($A260,Hebrew!$A:$S,13,0)</f>
        <v>רצועת עזה</v>
      </c>
      <c r="R260" s="3" t="s">
        <v>396</v>
      </c>
      <c r="S260" s="3" t="s">
        <v>29</v>
      </c>
      <c r="T260" s="3" t="s">
        <v>1670</v>
      </c>
      <c r="U260" s="3" t="s">
        <v>275</v>
      </c>
      <c r="V260" s="3" t="s">
        <v>27</v>
      </c>
      <c r="W260" s="3" t="s">
        <v>1671</v>
      </c>
      <c r="X260" s="2"/>
      <c r="Y260" s="2"/>
    </row>
    <row r="261" spans="1:25" x14ac:dyDescent="0.2">
      <c r="A261" s="3">
        <v>2202</v>
      </c>
      <c r="B261" s="4" t="s">
        <v>1672</v>
      </c>
      <c r="C261" s="3" t="s">
        <v>1673</v>
      </c>
      <c r="D261" s="3" t="str">
        <f>VLOOKUP(A261,Hebrew!A:C,3,0)</f>
        <v>תחנות התפלה ושאיבת המים בצפון עזה מפסיקות לפעול בשל חוסר דלק</v>
      </c>
      <c r="E261" s="3" t="s">
        <v>1674</v>
      </c>
      <c r="F261" s="3" t="str">
        <f>VLOOKUP($A261,Hebrew!$A:$S,4,0)</f>
        <v>תחנות ההתפלה ושאיבת המים בצפון עזה מפסיקות לפעול בשל חוסר דלק. לא נכנס סיוע לאזור במשך 3 שבועות.</v>
      </c>
      <c r="G261" s="3" t="s">
        <v>625</v>
      </c>
      <c r="H261" s="2"/>
      <c r="I261" s="2"/>
      <c r="J261" s="3" t="s">
        <v>393</v>
      </c>
      <c r="K261" s="3" t="s">
        <v>1258</v>
      </c>
      <c r="L261" s="3" t="str">
        <f>VLOOKUP($A261,Hebrew!$A:$S,9,0)</f>
        <v>Hossam Shabat (@HossamShabat)</v>
      </c>
      <c r="M261" s="2"/>
      <c r="N261" s="2"/>
      <c r="O261" s="3" t="s">
        <v>412</v>
      </c>
      <c r="P261" s="3" t="s">
        <v>212</v>
      </c>
      <c r="Q261" s="3" t="str">
        <f>VLOOKUP($A261,Hebrew!$A:$S,13,0)</f>
        <v>צפון רצועת עזה</v>
      </c>
      <c r="R261" s="3" t="s">
        <v>396</v>
      </c>
      <c r="S261" s="3" t="s">
        <v>405</v>
      </c>
      <c r="T261" s="3" t="s">
        <v>1675</v>
      </c>
      <c r="U261" s="3" t="s">
        <v>43</v>
      </c>
      <c r="V261" s="3" t="s">
        <v>212</v>
      </c>
      <c r="W261" s="2"/>
      <c r="X261" s="2"/>
      <c r="Y261" s="2"/>
    </row>
    <row r="262" spans="1:25" x14ac:dyDescent="0.2">
      <c r="A262" s="3">
        <v>2207</v>
      </c>
      <c r="B262" s="4" t="s">
        <v>1676</v>
      </c>
      <c r="C262" s="3" t="s">
        <v>1677</v>
      </c>
      <c r="D262" s="3" t="str">
        <f>VLOOKUP(A262,Hebrew!A:C,3,0)</f>
        <v>משפחה בת 11 נפשות נהרגה בהתקפה על בית הספר שחביר</v>
      </c>
      <c r="E262" s="3" t="s">
        <v>1678</v>
      </c>
      <c r="F262" s="3" t="str">
        <f>VLOOKUP($A262,Hebrew!$A:$S,4,0)</f>
        <v>משפחה בת 11 נפשות נהרגה בתקיפה על בית הספר שחביר, שקלט אנשים שנעקרו מבתיהם - הפוסט כולל את שמות הקורבנות, בני משפחתו של העיתונאי חוסאם שבאת.</v>
      </c>
      <c r="G262" s="3" t="s">
        <v>873</v>
      </c>
      <c r="H262" s="2"/>
      <c r="I262" s="2"/>
      <c r="J262" s="3" t="s">
        <v>393</v>
      </c>
      <c r="K262" s="3" t="s">
        <v>1258</v>
      </c>
      <c r="L262" s="3" t="str">
        <f>VLOOKUP($A262,Hebrew!$A:$S,9,0)</f>
        <v>Hossam Shabat (@HossamShabat)</v>
      </c>
      <c r="M262" s="2"/>
      <c r="N262" s="2"/>
      <c r="O262" s="3" t="s">
        <v>645</v>
      </c>
      <c r="P262" s="3" t="s">
        <v>1401</v>
      </c>
      <c r="Q262" s="3" t="str">
        <f>VLOOKUP($A262,Hebrew!$A:$S,13,0)</f>
        <v>צפון רצועת עזה</v>
      </c>
      <c r="R262" s="3" t="s">
        <v>396</v>
      </c>
      <c r="S262" s="3" t="s">
        <v>397</v>
      </c>
      <c r="T262" s="3" t="s">
        <v>1679</v>
      </c>
      <c r="U262" s="3" t="s">
        <v>43</v>
      </c>
      <c r="V262" s="3" t="s">
        <v>1341</v>
      </c>
      <c r="W262" s="2"/>
      <c r="X262" s="2"/>
      <c r="Y262" s="2"/>
    </row>
    <row r="263" spans="1:25" x14ac:dyDescent="0.2">
      <c r="A263" s="3">
        <v>11</v>
      </c>
      <c r="B263" s="4" t="s">
        <v>1680</v>
      </c>
      <c r="C263" s="3" t="s">
        <v>1681</v>
      </c>
      <c r="D263" s="3" t="str">
        <f>VLOOKUP(A263,Hebrew!A:C,3,0)</f>
        <v>סוכנויות האו"ם אומרות שיותר ממיליון מתושבי עזה עלולים לחוות את רמת הרעב הגבוהה ביותר עד אמצע יולי.</v>
      </c>
      <c r="E263" s="3" t="s">
        <v>1682</v>
      </c>
      <c r="F263" s="3" t="str">
        <f>VLOOKUP($A263,Hebrew!$A:$S,4,0)</f>
        <v>סוכנויות האומות המאוחדות WFP ו-FAO (תוכנית המזון העולמית וארגון המזון והחקלאות) מזהירות כי יותר ממיליון פלסטינים בעזה עשויים להתמודד עם רמת רעב הגבוהה ביותר עד אמצע יולי 2024 בשל העימותים המתמשכים והמגבלות על הגישה לסיוע ההומניטרי. קבוצת מומחים נפרדת ציינה כי ייתכן שרעב המוני כבר החל בצפון עזה.</v>
      </c>
      <c r="G263" s="3" t="s">
        <v>1477</v>
      </c>
      <c r="H263" s="3" t="s">
        <v>1477</v>
      </c>
      <c r="I263" s="3" t="s">
        <v>1683</v>
      </c>
      <c r="J263" s="3" t="s">
        <v>1684</v>
      </c>
      <c r="K263" s="3" t="s">
        <v>1685</v>
      </c>
      <c r="L263" s="3" t="str">
        <f>VLOOKUP($A263,Hebrew!$A:$S,9,0)</f>
        <v>סמי מגדי</v>
      </c>
      <c r="M263" s="2"/>
      <c r="N263" s="2"/>
      <c r="O263" s="3" t="s">
        <v>26</v>
      </c>
      <c r="P263" s="3" t="s">
        <v>212</v>
      </c>
      <c r="Q263" s="3" t="str">
        <f>VLOOKUP($A263,Hebrew!$A:$S,13,0)</f>
        <v>צפון רצועת עזה</v>
      </c>
      <c r="R263" s="3" t="s">
        <v>72</v>
      </c>
      <c r="S263" s="3" t="s">
        <v>29</v>
      </c>
      <c r="T263" s="3" t="s">
        <v>1686</v>
      </c>
      <c r="U263" s="3" t="s">
        <v>1687</v>
      </c>
      <c r="V263" s="3" t="s">
        <v>1688</v>
      </c>
      <c r="W263" s="2"/>
      <c r="X263" s="2"/>
      <c r="Y263" s="2"/>
    </row>
    <row r="264" spans="1:25" x14ac:dyDescent="0.2">
      <c r="A264" s="3">
        <v>15</v>
      </c>
      <c r="B264" s="4" t="s">
        <v>1689</v>
      </c>
      <c r="C264" s="3" t="s">
        <v>1690</v>
      </c>
      <c r="D264" s="3" t="str">
        <f>VLOOKUP(A264,Hebrew!A:C,3,0)</f>
        <v>הרעבה משמשת כאמצעי מלחמה בעזה, אומר בורל</v>
      </c>
      <c r="E264" s="3" t="s">
        <v>1691</v>
      </c>
      <c r="F264" s="3" t="str">
        <f>VLOOKUP($A264,Hebrew!$A:$S,4,0)</f>
        <v>וידאו של ג'וזפ בורל, הנציג העליון של האיחוד האירופי לענייני חוץ ומדיניות ביטחונית, כאשר הוא עדכן את מועצת הביטחון של האומות המאוחדות על השימוש בהרעבה כנשק בעזה.</v>
      </c>
      <c r="G264" s="3" t="s">
        <v>1692</v>
      </c>
      <c r="H264" s="2"/>
      <c r="I264" s="2"/>
      <c r="J264" s="3" t="s">
        <v>1684</v>
      </c>
      <c r="K264" s="3" t="s">
        <v>1684</v>
      </c>
      <c r="L264" s="3" t="str">
        <f>VLOOKUP($A264,Hebrew!$A:$S,9,0)</f>
        <v>AP חדשות</v>
      </c>
      <c r="M264" s="2"/>
      <c r="N264" s="3" t="s">
        <v>1693</v>
      </c>
      <c r="O264" s="3" t="s">
        <v>26</v>
      </c>
      <c r="P264" s="3" t="s">
        <v>27</v>
      </c>
      <c r="Q264" s="3" t="str">
        <f>VLOOKUP($A264,Hebrew!$A:$S,13,0)</f>
        <v>רצועת עזה</v>
      </c>
      <c r="R264" s="3" t="s">
        <v>1694</v>
      </c>
      <c r="S264" s="3" t="s">
        <v>982</v>
      </c>
      <c r="T264" s="3" t="s">
        <v>1695</v>
      </c>
      <c r="U264" s="3" t="s">
        <v>1693</v>
      </c>
      <c r="V264" s="3" t="s">
        <v>27</v>
      </c>
      <c r="W264" s="3" t="s">
        <v>1696</v>
      </c>
      <c r="X264" s="2"/>
      <c r="Y264" s="2"/>
    </row>
    <row r="265" spans="1:25" x14ac:dyDescent="0.2">
      <c r="A265" s="3">
        <v>786</v>
      </c>
      <c r="B265" s="4" t="s">
        <v>1697</v>
      </c>
      <c r="C265" s="3" t="s">
        <v>1698</v>
      </c>
      <c r="D265" s="3" t="str">
        <f>VLOOKUP(A265,Hebrew!A:C,3,0)</f>
        <v>צעירים רוקדים ושרים לצליל "שיישרף לכם הכפר" במועדון ישראלי</v>
      </c>
      <c r="E265" s="3" t="s">
        <v>1699</v>
      </c>
      <c r="F265" s="3" t="str">
        <f>VLOOKUP($A265,Hebrew!$A:$S,4,0)</f>
        <v>וידאו שמראה שני תקליטנים מאחור פונים לקהל של צעירים רוקדים במועדון הפופולרי האומן 17 בתל אביב. הדי.ג'יי מנגן את המנגינה של השיר "שיישרף לכם הכפר" והקהל שר ורוקד, בעוד האורות משנים צבעים. הדי.ג'יי גם קופץ לשיר. הכיתוב אומר "שיישרף לכם הכפרררר". לפי הפוסט, הדי.ג'יי פרסם את הקליפ הזה בטיקטוק, עם הכותרת: "ניסיתי משהו מטורף במסיבה, אתם חייבים לשמוע".</v>
      </c>
      <c r="G265" s="3" t="s">
        <v>451</v>
      </c>
      <c r="H265" s="2"/>
      <c r="I265" s="2"/>
      <c r="J265" s="3" t="s">
        <v>393</v>
      </c>
      <c r="K265" s="3" t="s">
        <v>491</v>
      </c>
      <c r="L265" s="3" t="str">
        <f>VLOOKUP($A265,Hebrew!$A:$S,9,0)</f>
        <v>B.M. (@ireallyhateyou)</v>
      </c>
      <c r="M265" s="2"/>
      <c r="N265" s="2"/>
      <c r="O265" s="3" t="s">
        <v>426</v>
      </c>
      <c r="P265" s="3" t="s">
        <v>1700</v>
      </c>
      <c r="Q265" s="3" t="str">
        <f>VLOOKUP($A265,Hebrew!$A:$S,13,0)</f>
        <v>האומן 17, תל-אביב</v>
      </c>
      <c r="R265" s="3" t="s">
        <v>396</v>
      </c>
      <c r="S265" s="3" t="s">
        <v>982</v>
      </c>
      <c r="T265" s="3" t="s">
        <v>1701</v>
      </c>
      <c r="U265" s="2"/>
      <c r="V265" s="3" t="s">
        <v>60</v>
      </c>
      <c r="W265" s="2"/>
      <c r="X265" s="2"/>
      <c r="Y265" s="2"/>
    </row>
    <row r="266" spans="1:25" x14ac:dyDescent="0.2">
      <c r="A266" s="3">
        <v>788</v>
      </c>
      <c r="B266" s="4" t="s">
        <v>1702</v>
      </c>
      <c r="C266" s="3" t="s">
        <v>1703</v>
      </c>
      <c r="D266" s="3" t="str">
        <f>VLOOKUP(A266,Hebrew!A:C,3,0)</f>
        <v>ציוץ של יהודה שלסינגר המביע שמחה על פלסטינים מתים בעזה</v>
      </c>
      <c r="E266" s="3" t="s">
        <v>1704</v>
      </c>
      <c r="F266" s="3" t="str">
        <f>VLOOKUP($A266,Hebrew!$A:$S,4,0)</f>
        <v>יְהוּדָה שְׁלֵסִינְגֶר פִּרסֵם ציוץ: "הריח הוא בלתי נתפס. ריקבון, מוות. זבובים. "ריח של מלחמה" קורא לזה מג"ד 202. הנסיבות דווקא שמחות, הטרוריסטים קבורים תחת ההריסות". גם וידאוֹ מערוץ 12 מאפריל 2024, המראה פאנל טלוויזיה שבו יהודה שלסינגר מביע כעס על תושבי עזה שנהנים על החוף: "מגיע לאנשים האלה שם (בעזה) מוות. מוות קשה, מוות בייסורים. ובמקום זה אנחנו רואים אותם מבלים בים, בסתלבט שלהם ובכיף שלהם... אין שמה חפים מפשע ברצועת עזה... העובדה שהם נהנים בים, במקום לרעוב, במקום להיות מטורטרים, במקום לעבור ייסורים קשים, ובמקום להתחבא מהפגזות... אנחנו צריכים לראות שם הרבה יותר נקמה, הרבה יותר נהרות של דם של עזתים". ברקע וידאו של אנשים על החוף בעזה, ווידאו של חטיפת ירדן ביבס.</v>
      </c>
      <c r="G266" s="3" t="s">
        <v>403</v>
      </c>
      <c r="H266" s="2"/>
      <c r="I266" s="2"/>
      <c r="J266" s="3" t="s">
        <v>393</v>
      </c>
      <c r="K266" s="3" t="s">
        <v>491</v>
      </c>
      <c r="L266" s="3" t="str">
        <f>VLOOKUP($A266,Hebrew!$A:$S,9,0)</f>
        <v>B.M. (@ireallyhateyou)</v>
      </c>
      <c r="M266" s="2"/>
      <c r="N266" s="2"/>
      <c r="O266" s="3" t="s">
        <v>493</v>
      </c>
      <c r="P266" s="3" t="s">
        <v>60</v>
      </c>
      <c r="Q266" s="3" t="str">
        <f>VLOOKUP($A266,Hebrew!$A:$S,13,0)</f>
        <v>ישראל</v>
      </c>
      <c r="R266" s="3" t="s">
        <v>396</v>
      </c>
      <c r="S266" s="3" t="s">
        <v>1705</v>
      </c>
      <c r="T266" s="3" t="s">
        <v>1706</v>
      </c>
      <c r="U266" s="3" t="s">
        <v>43</v>
      </c>
      <c r="V266" s="3" t="s">
        <v>27</v>
      </c>
      <c r="W266" s="3" t="s">
        <v>1707</v>
      </c>
      <c r="X266" s="2"/>
      <c r="Y266" s="2"/>
    </row>
    <row r="267" spans="1:25" x14ac:dyDescent="0.2">
      <c r="A267" s="3">
        <v>789</v>
      </c>
      <c r="B267" s="4" t="s">
        <v>1708</v>
      </c>
      <c r="C267" s="3" t="s">
        <v>1709</v>
      </c>
      <c r="D267" s="3" t="str">
        <f>VLOOKUP(A267,Hebrew!A:C,3,0)</f>
        <v>השר הישראלי עמיחי אליהו: "הם לא בני אדם, הם חיות אדם... לא לכל הסכם שישאיר את הנאצים האלה בשלטון"</v>
      </c>
      <c r="E267" s="3" t="s">
        <v>1710</v>
      </c>
      <c r="F267" s="3" t="str">
        <f>VLOOKUP($A267,Hebrew!$A:$S,4,0)</f>
        <v>ראיון ברדיו קול ברמה עם שר המורשת הישראלי, אמיחי אליהו: "...הדרך שאנחנו צריכים לסיים את המלחמה הזאת היא כשהם על ארבע... לשבור את רוחם (של חמאס)... ללהכות בהם מכת חרב להרג ואובדן. הם לא בני אדם, הם חיות אדם... הייתי מציע לצבא לבנות שם מחנות גדולים, ששם אנחנו מחלקים לאנשים את האוכל... בואו נרים דגלים, דגלים בשם השם, דגלים של ניצחון. דגלים מוסריים. המוסריות היהודית יש לה הרבה מה לתת למוסר העולמי... אני חושב שאנחנו לא רוצים דברים רעים, אנחנו רוצים דברים טובים... לא לכל הסכם שישאיר את הנאצים האלה בעמדת כוח." כמו כן, הוא אמר שדיבור על עסקת חטופים אינו ברוח הניצחון; כתוביות באנגלית.</v>
      </c>
      <c r="G267" s="3" t="s">
        <v>410</v>
      </c>
      <c r="H267" s="3" t="s">
        <v>1498</v>
      </c>
      <c r="I267" s="3" t="s">
        <v>1498</v>
      </c>
      <c r="J267" s="3" t="s">
        <v>393</v>
      </c>
      <c r="K267" s="3" t="s">
        <v>491</v>
      </c>
      <c r="L267" s="3" t="str">
        <f>VLOOKUP($A267,Hebrew!$A:$S,9,0)</f>
        <v>B.M. (@ireallyhateyou)</v>
      </c>
      <c r="M267" s="3" t="s">
        <v>1711</v>
      </c>
      <c r="N267" s="2"/>
      <c r="O267" s="3" t="s">
        <v>426</v>
      </c>
      <c r="P267" s="3" t="s">
        <v>60</v>
      </c>
      <c r="Q267" s="3" t="str">
        <f>VLOOKUP($A267,Hebrew!$A:$S,13,0)</f>
        <v>ישראל</v>
      </c>
      <c r="R267" s="3" t="s">
        <v>396</v>
      </c>
      <c r="S267" s="3" t="s">
        <v>1712</v>
      </c>
      <c r="T267" s="3" t="s">
        <v>1713</v>
      </c>
      <c r="U267" s="3" t="s">
        <v>509</v>
      </c>
      <c r="V267" s="3" t="s">
        <v>27</v>
      </c>
      <c r="W267" s="3" t="s">
        <v>1634</v>
      </c>
      <c r="X267" s="2"/>
      <c r="Y267" s="2"/>
    </row>
    <row r="268" spans="1:25" x14ac:dyDescent="0.2">
      <c r="A268" s="3">
        <v>791</v>
      </c>
      <c r="B268" s="4" t="s">
        <v>1714</v>
      </c>
      <c r="C268" s="3" t="s">
        <v>1715</v>
      </c>
      <c r="D268" s="3" t="str">
        <f>VLOOKUP(A268,Hebrew!A:C,3,0)</f>
        <v>חייל צה"ל חושף את הישבן שלו בעזה (שרשור)</v>
      </c>
      <c r="E268" s="3" t="s">
        <v>1716</v>
      </c>
      <c r="F268" s="3" t="str">
        <f>VLOOKUP($A268,Hebrew!$A:$S,4,0)</f>
        <v>שתי תמונות, אחת מראה את הגב של חייל צה"ל עם מכנסיים מופשלות, חושף את ישבנו, פונה להריסות ועשן מהפיצוץ. השנייה מראה חייל צה"ל שוכב עם הפנים למטה על גדר גג, ידיים לצדדים כמו מטוס. מתחתיו מפוזרים הרבה כדורים. ברקע בניינים, חלקם הרוסים. על הגדר כתובת, השפה והמשמעות לא ברורות. השרשור כולל מקרים נוספים של דה-הומניזציה של פלסטינים, כולל שוד והצתת בניינים.</v>
      </c>
      <c r="G268" s="3" t="s">
        <v>1717</v>
      </c>
      <c r="H268" s="2"/>
      <c r="I268" s="2"/>
      <c r="J268" s="3" t="s">
        <v>393</v>
      </c>
      <c r="K268" s="3" t="s">
        <v>453</v>
      </c>
      <c r="L268" s="3" t="str">
        <f>VLOOKUP($A268,Hebrew!$A:$S,9,0)</f>
        <v>Younis Tirawi (@ytirawi)</v>
      </c>
      <c r="M268" s="2"/>
      <c r="N268" s="2"/>
      <c r="O268" s="3" t="s">
        <v>26</v>
      </c>
      <c r="P268" s="3" t="s">
        <v>27</v>
      </c>
      <c r="Q268" s="3" t="str">
        <f>VLOOKUP($A268,Hebrew!$A:$S,13,0)</f>
        <v>רצועת עזה</v>
      </c>
      <c r="R268" s="3" t="s">
        <v>396</v>
      </c>
      <c r="S268" s="3" t="s">
        <v>700</v>
      </c>
      <c r="T268" s="3" t="s">
        <v>1718</v>
      </c>
      <c r="U268" s="3" t="s">
        <v>43</v>
      </c>
      <c r="V268" s="3" t="s">
        <v>27</v>
      </c>
      <c r="W268" s="2"/>
      <c r="X268" s="2"/>
      <c r="Y268" s="2"/>
    </row>
    <row r="269" spans="1:25" x14ac:dyDescent="0.2">
      <c r="A269" s="3">
        <v>1424</v>
      </c>
      <c r="B269" s="4" t="s">
        <v>1719</v>
      </c>
      <c r="C269" s="3" t="s">
        <v>1720</v>
      </c>
      <c r="D269" s="3" t="str">
        <f>VLOOKUP(A269,Hebrew!A:C,3,0)</f>
        <v>כותרת ה-NYT מפחיתה בחומרת "טבח הקמח" של רעבים בעזה</v>
      </c>
      <c r="E269" s="3" t="s">
        <v>1721</v>
      </c>
      <c r="F269" s="3" t="str">
        <f>VLOOKUP($A269,Hebrew!$A:$S,4,0)</f>
        <v>כותרת הניו יורק טיימס המכסה את האירוע בעזה שזכה לכינוי 'טבח הקמח', בו כוחות ישראליים ירו על אזרחים שהתקרבו למשאיות סיוע, מתארת את המקרה כ'סצנה כאוטית בעזה' מבלי להזכיר כי ההרוגים היו פלסטינים רעבים שניסו לגשת למזון. הציוץ מציע תיקונים לכותרת כדי לשקף את המציאות.</v>
      </c>
      <c r="G269" s="3" t="s">
        <v>1722</v>
      </c>
      <c r="H269" s="2"/>
      <c r="I269" s="2"/>
      <c r="J269" s="3" t="s">
        <v>393</v>
      </c>
      <c r="K269" s="3" t="s">
        <v>589</v>
      </c>
      <c r="L269" s="3" t="str">
        <f>VLOOKUP($A269,Hebrew!$A:$S,9,0)</f>
        <v>Assal Rad (@AssalRad)</v>
      </c>
      <c r="M269" s="3" t="s">
        <v>173</v>
      </c>
      <c r="N269" s="2"/>
      <c r="O269" s="3" t="s">
        <v>26</v>
      </c>
      <c r="P269" s="3" t="s">
        <v>71</v>
      </c>
      <c r="Q269" s="3" t="str">
        <f>VLOOKUP($A269,Hebrew!$A:$S,13,0)</f>
        <v>עיר עזה</v>
      </c>
      <c r="R269" s="3" t="s">
        <v>396</v>
      </c>
      <c r="S269" s="3" t="s">
        <v>397</v>
      </c>
      <c r="T269" s="3" t="s">
        <v>1723</v>
      </c>
      <c r="U269" s="2"/>
      <c r="V269" s="3" t="s">
        <v>71</v>
      </c>
      <c r="W269" s="2"/>
      <c r="X269" s="2"/>
      <c r="Y269" s="2"/>
    </row>
    <row r="270" spans="1:25" x14ac:dyDescent="0.2">
      <c r="A270" s="3">
        <v>1425</v>
      </c>
      <c r="B270" s="4" t="s">
        <v>1724</v>
      </c>
      <c r="C270" s="3" t="s">
        <v>1725</v>
      </c>
      <c r="D270" s="3" t="str">
        <f>VLOOKUP(A270,Hebrew!A:C,3,0)</f>
        <v>כותרת ה-NYT מטשטשת את האשמה של ישראל בטבח הקמח</v>
      </c>
      <c r="E270" s="3" t="s">
        <v>1726</v>
      </c>
      <c r="F270" s="3" t="str">
        <f>VLOOKUP($A270,Hebrew!$A:$S,4,0)</f>
        <v>כותרת של ניו יורק טיימס על "טבח הקמח" מטשטשת את תפקיד ישראל בהרעבה ורצח פלסטינים.</v>
      </c>
      <c r="G270" s="3" t="s">
        <v>1727</v>
      </c>
      <c r="H270" s="3" t="s">
        <v>1722</v>
      </c>
      <c r="I270" s="3" t="s">
        <v>1722</v>
      </c>
      <c r="J270" s="3" t="s">
        <v>393</v>
      </c>
      <c r="K270" s="3" t="s">
        <v>589</v>
      </c>
      <c r="L270" s="3" t="str">
        <f>VLOOKUP($A270,Hebrew!$A:$S,9,0)</f>
        <v>Assal Rad (@AssalRad)</v>
      </c>
      <c r="M270" s="3" t="s">
        <v>173</v>
      </c>
      <c r="N270" s="2"/>
      <c r="O270" s="3" t="s">
        <v>26</v>
      </c>
      <c r="P270" s="3" t="s">
        <v>71</v>
      </c>
      <c r="Q270" s="3" t="str">
        <f>VLOOKUP($A270,Hebrew!$A:$S,13,0)</f>
        <v>עיר עזה</v>
      </c>
      <c r="R270" s="3" t="s">
        <v>396</v>
      </c>
      <c r="S270" s="3" t="s">
        <v>397</v>
      </c>
      <c r="T270" s="3" t="s">
        <v>1728</v>
      </c>
      <c r="U270" s="3" t="s">
        <v>43</v>
      </c>
      <c r="V270" s="3" t="s">
        <v>71</v>
      </c>
      <c r="W270" s="2"/>
      <c r="X270" s="2"/>
      <c r="Y270" s="2"/>
    </row>
    <row r="271" spans="1:25" x14ac:dyDescent="0.2">
      <c r="A271" s="3">
        <v>770</v>
      </c>
      <c r="B271" s="4" t="s">
        <v>1729</v>
      </c>
      <c r="C271" s="3" t="s">
        <v>1730</v>
      </c>
      <c r="D271" s="3" t="str">
        <f>VLOOKUP(A271,Hebrew!A:C,3,0)</f>
        <v>חייל צה"ל נותן פקודת ירי לטנק בעוד הוא וחיילים אחרים מעודדים</v>
      </c>
      <c r="E271" s="3" t="s">
        <v>1731</v>
      </c>
      <c r="F271" s="3" t="str">
        <f>VLOOKUP($A271,Hebrew!$A:$S,4,0)</f>
        <v>חייל בטלפון בתוך מה שנראה כמו דחפור צבאי נותן פקודה לטנק בחוץ לירות במה שנראה כמו רחוב מגורים. החייל מחייך וחיילים אחרים מעודדים ומקללים. הכיתוב אומר "נקודת מבט: אתם ילדים בני 21 במלחמה".</v>
      </c>
      <c r="G271" s="3" t="s">
        <v>600</v>
      </c>
      <c r="H271" s="2"/>
      <c r="I271" s="2"/>
      <c r="J271" s="3" t="s">
        <v>393</v>
      </c>
      <c r="K271" s="3" t="s">
        <v>411</v>
      </c>
      <c r="L271" s="3" t="str">
        <f>VLOOKUP($A271,Hebrew!$A:$S,9,0)</f>
        <v>Khaled Yousry (@KhaledYousry22)</v>
      </c>
      <c r="M271" s="2"/>
      <c r="N271" s="2"/>
      <c r="O271" s="3" t="s">
        <v>1732</v>
      </c>
      <c r="P271" s="3" t="s">
        <v>27</v>
      </c>
      <c r="Q271" s="3" t="str">
        <f>VLOOKUP($A271,Hebrew!$A:$S,13,0)</f>
        <v>רצועת עזה</v>
      </c>
      <c r="R271" s="3" t="s">
        <v>396</v>
      </c>
      <c r="S271" s="3" t="s">
        <v>982</v>
      </c>
      <c r="T271" s="3" t="s">
        <v>1733</v>
      </c>
      <c r="U271" s="3" t="s">
        <v>43</v>
      </c>
      <c r="V271" s="3" t="s">
        <v>27</v>
      </c>
      <c r="W271" s="2"/>
      <c r="X271" s="2"/>
      <c r="Y271" s="2"/>
    </row>
    <row r="272" spans="1:25" x14ac:dyDescent="0.2">
      <c r="A272" s="3">
        <v>771</v>
      </c>
      <c r="B272" s="4" t="s">
        <v>1734</v>
      </c>
      <c r="C272" s="3" t="s">
        <v>1735</v>
      </c>
      <c r="D272" s="3" t="str">
        <f>VLOOKUP(A272,Hebrew!A:C,3,0)</f>
        <v>צלפי צה"ל יורים באנשים והרס של בלוק בעזה</v>
      </c>
      <c r="E272" s="3" t="s">
        <v>1736</v>
      </c>
      <c r="F272" s="3" t="str">
        <f>VLOOKUP($A272,Hebrew!$A:$S,4,0)</f>
        <v>קטעים מתוך סרטון מאפריל 2024 שמראה חיילי צה"ל יורים והורגים אנשים ופיצוץ של בלוק שלם במרכז עזה. כמו כן, דחפור הורס בניין. מוזיקה דרמטית ברקע.</v>
      </c>
      <c r="G272" s="3" t="s">
        <v>1247</v>
      </c>
      <c r="H272" s="2"/>
      <c r="I272" s="2"/>
      <c r="J272" s="3" t="s">
        <v>393</v>
      </c>
      <c r="K272" s="3" t="s">
        <v>411</v>
      </c>
      <c r="L272" s="3" t="str">
        <f>VLOOKUP($A272,Hebrew!$A:$S,9,0)</f>
        <v>Khaled Yousry (@KhaledYousry22)</v>
      </c>
      <c r="M272" s="2"/>
      <c r="N272" s="2"/>
      <c r="O272" s="3" t="s">
        <v>412</v>
      </c>
      <c r="P272" s="3" t="s">
        <v>1737</v>
      </c>
      <c r="Q272" s="3" t="str">
        <f>VLOOKUP($A272,Hebrew!$A:$S,13,0)</f>
        <v>תל אל-הווא</v>
      </c>
      <c r="R272" s="3" t="s">
        <v>396</v>
      </c>
      <c r="S272" s="3" t="s">
        <v>405</v>
      </c>
      <c r="T272" s="3" t="s">
        <v>1738</v>
      </c>
      <c r="U272" s="3" t="s">
        <v>43</v>
      </c>
      <c r="V272" s="3" t="s">
        <v>27</v>
      </c>
      <c r="W272" s="2"/>
      <c r="X272" s="2"/>
      <c r="Y272" s="2"/>
    </row>
    <row r="273" spans="1:25" x14ac:dyDescent="0.2">
      <c r="A273" s="3">
        <v>772</v>
      </c>
      <c r="B273" s="4" t="s">
        <v>1739</v>
      </c>
      <c r="C273" s="3" t="s">
        <v>1740</v>
      </c>
      <c r="D273" s="3" t="str">
        <f>VLOOKUP(A273,Hebrew!A:C,3,0)</f>
        <v>חיילי צה"ל פושטים על בתים, יורים ומפוצצים בניינים מגורים</v>
      </c>
      <c r="E273" s="3" t="s">
        <v>1741</v>
      </c>
      <c r="F273" s="3" t="str">
        <f>VLOOKUP($A273,Hebrew!$A:$S,4,0)</f>
        <v>קליפ וידאו שמראה קבוצות של חיילי צה"ל בציוד קרב מלא נכנסים לבתים עם רובים מכוונים לירות ויורים כמה פעמים. הבתים נראים ריקים. החיילים גם מפוצצים בניינים, שורפים בניינים ושוברים חור בקיר. מוזיקה ברקע. הטקסט מדבר על איך להרוג מישהו גורם לאדם ללמוד משהו על עצמו.</v>
      </c>
      <c r="G273" s="3" t="s">
        <v>1512</v>
      </c>
      <c r="H273" s="3" t="s">
        <v>1507</v>
      </c>
      <c r="I273" s="3" t="s">
        <v>1507</v>
      </c>
      <c r="J273" s="3" t="s">
        <v>393</v>
      </c>
      <c r="K273" s="3" t="s">
        <v>411</v>
      </c>
      <c r="L273" s="3" t="str">
        <f>VLOOKUP($A273,Hebrew!$A:$S,9,0)</f>
        <v>Khaled Yousry (@KhaledYousry22)</v>
      </c>
      <c r="M273" s="2"/>
      <c r="N273" s="2"/>
      <c r="O273" s="3" t="s">
        <v>412</v>
      </c>
      <c r="P273" s="3" t="s">
        <v>27</v>
      </c>
      <c r="Q273" s="3" t="str">
        <f>VLOOKUP($A273,Hebrew!$A:$S,13,0)</f>
        <v>רצועת עזה</v>
      </c>
      <c r="R273" s="3" t="s">
        <v>396</v>
      </c>
      <c r="S273" s="3" t="s">
        <v>982</v>
      </c>
      <c r="T273" s="3" t="s">
        <v>1742</v>
      </c>
      <c r="U273" s="3" t="s">
        <v>43</v>
      </c>
      <c r="V273" s="3" t="s">
        <v>27</v>
      </c>
      <c r="W273" s="2"/>
      <c r="X273" s="2"/>
      <c r="Y273" s="2"/>
    </row>
    <row r="274" spans="1:25" x14ac:dyDescent="0.2">
      <c r="A274" s="3">
        <v>773</v>
      </c>
      <c r="B274" s="4" t="s">
        <v>1743</v>
      </c>
      <c r="C274" s="3" t="s">
        <v>1744</v>
      </c>
      <c r="D274" s="3" t="str">
        <f>VLOOKUP(A274,Hebrew!A:C,3,0)</f>
        <v>משרד החוץ של ישראל קונה פרסומת ברשתות החברתיות: "אין אזרחים בעזה"</v>
      </c>
      <c r="E274" s="3" t="s">
        <v>1745</v>
      </c>
      <c r="F274" s="3" t="str">
        <f>VLOOKUP($A274,Hebrew!$A:$S,4,0)</f>
        <v>מודעה ממומנת ב-X של משרד החוץ הישראלי טוענת שאין אזרחים בעזה</v>
      </c>
      <c r="G274" s="3" t="s">
        <v>988</v>
      </c>
      <c r="H274" s="2"/>
      <c r="I274" s="2"/>
      <c r="J274" s="3" t="s">
        <v>393</v>
      </c>
      <c r="K274" s="3" t="s">
        <v>1746</v>
      </c>
      <c r="L274" s="3" t="str">
        <f>VLOOKUP($A274,Hebrew!$A:$S,9,0)</f>
        <v>מקס בלומנטל (@MaxBlumenthal)</v>
      </c>
      <c r="M274" s="2"/>
      <c r="N274" s="2"/>
      <c r="O274" s="3" t="s">
        <v>26</v>
      </c>
      <c r="P274" s="2"/>
      <c r="Q274" s="3">
        <f>VLOOKUP($A274,Hebrew!$A:$S,13,0)</f>
        <v>0</v>
      </c>
      <c r="R274" s="3" t="s">
        <v>396</v>
      </c>
      <c r="S274" s="3" t="s">
        <v>455</v>
      </c>
      <c r="T274" s="3" t="s">
        <v>1747</v>
      </c>
      <c r="U274" s="3" t="s">
        <v>1748</v>
      </c>
      <c r="V274" s="2"/>
      <c r="W274" s="2"/>
      <c r="X274" s="2"/>
      <c r="Y274" s="2"/>
    </row>
    <row r="275" spans="1:25" x14ac:dyDescent="0.2">
      <c r="A275" s="3">
        <v>775</v>
      </c>
      <c r="B275" s="4" t="s">
        <v>1749</v>
      </c>
      <c r="C275" s="3" t="s">
        <v>1750</v>
      </c>
      <c r="D275" s="3" t="str">
        <f>VLOOKUP(A275,Hebrew!A:C,3,0)</f>
        <v>חיילי צה"ל במספרה בעזה, מתבדחים ומתחזים ללקוחות במספרה</v>
      </c>
      <c r="E275" s="3" t="s">
        <v>1751</v>
      </c>
      <c r="F275" s="3" t="str">
        <f>VLOOKUP($A275,Hebrew!$A:$S,4,0)</f>
        <v>שני חיילי צה"ל מצולמים בסקיצה שקטה לטיק טוק שבה הם מעמידים פנים שהם ספר ולקוח במספרה בעזה, עם מוזיקה ברקע. הסרטון מרמז על משחק תפקידים.</v>
      </c>
      <c r="G275" s="3" t="s">
        <v>490</v>
      </c>
      <c r="H275" s="2"/>
      <c r="I275" s="2"/>
      <c r="J275" s="3" t="s">
        <v>393</v>
      </c>
      <c r="K275" s="3" t="s">
        <v>756</v>
      </c>
      <c r="L275" s="3" t="str">
        <f>VLOOKUP($A275,Hebrew!$A:$S,9,0)</f>
        <v>Quds News Network (@QudsNen)</v>
      </c>
      <c r="M275" s="2"/>
      <c r="N275" s="2"/>
      <c r="O275" s="3" t="s">
        <v>26</v>
      </c>
      <c r="P275" s="3" t="s">
        <v>439</v>
      </c>
      <c r="Q275" s="3" t="str">
        <f>VLOOKUP($A275,Hebrew!$A:$S,13,0)</f>
        <v>רפיח</v>
      </c>
      <c r="R275" s="3" t="s">
        <v>396</v>
      </c>
      <c r="S275" s="3" t="s">
        <v>982</v>
      </c>
      <c r="T275" s="3" t="s">
        <v>1752</v>
      </c>
      <c r="U275" s="3" t="s">
        <v>43</v>
      </c>
      <c r="V275" s="3" t="s">
        <v>439</v>
      </c>
      <c r="W275" s="2"/>
      <c r="X275" s="2"/>
      <c r="Y275" s="2"/>
    </row>
    <row r="276" spans="1:25" x14ac:dyDescent="0.2">
      <c r="A276" s="3">
        <v>776</v>
      </c>
      <c r="B276" s="4" t="s">
        <v>1753</v>
      </c>
      <c r="C276" s="3" t="s">
        <v>1754</v>
      </c>
      <c r="D276" s="3" t="str">
        <f>VLOOKUP(A276,Hebrew!A:C,3,0)</f>
        <v>חייל ישראלי מצלם כלב אוכל את גופתו של פלסטיני, ואז משבח את הנוף</v>
      </c>
      <c r="E276" s="3" t="s">
        <v>1755</v>
      </c>
      <c r="F276" s="3" t="str">
        <f>VLOOKUP($A276,Hebrew!$A:$S,4,0)</f>
        <v>כלב אוכל משהו בשדה פתוח לא רחוק מהחוף. הקול ברקע מרמז שזהו גופתו של מחבל פלסטיני, ואז ממשיך להראות את השקיעה. החייל הישראלי ברקע אומר: "הוא קרע את הבחור לגזרים... המחבל הלך - הלך לגמרי. אבל איזה נוף יפה. איזו שקיעה." הסרטון פורסם בקבוצת הצ'אט בטלגרם "ללא גבולות".</v>
      </c>
      <c r="G276" s="3" t="s">
        <v>1756</v>
      </c>
      <c r="H276" s="2"/>
      <c r="I276" s="2"/>
      <c r="J276" s="3" t="s">
        <v>393</v>
      </c>
      <c r="K276" s="3" t="s">
        <v>659</v>
      </c>
      <c r="L276" s="3" t="str">
        <f>VLOOKUP($A276,Hebrew!$A:$S,9,0)</f>
        <v>Ramy Abdu (@RamAbdu)</v>
      </c>
      <c r="M276" s="2"/>
      <c r="N276" s="2"/>
      <c r="O276" s="3" t="s">
        <v>426</v>
      </c>
      <c r="P276" s="3" t="s">
        <v>27</v>
      </c>
      <c r="Q276" s="3" t="str">
        <f>VLOOKUP($A276,Hebrew!$A:$S,13,0)</f>
        <v>רצועת עזה</v>
      </c>
      <c r="R276" s="3" t="s">
        <v>396</v>
      </c>
      <c r="S276" s="3" t="s">
        <v>982</v>
      </c>
      <c r="T276" s="3" t="s">
        <v>1757</v>
      </c>
      <c r="U276" s="3" t="s">
        <v>43</v>
      </c>
      <c r="V276" s="3" t="s">
        <v>27</v>
      </c>
      <c r="W276" s="2"/>
      <c r="X276" s="2"/>
      <c r="Y276" s="2"/>
    </row>
    <row r="277" spans="1:25" x14ac:dyDescent="0.2">
      <c r="A277" s="3">
        <v>777</v>
      </c>
      <c r="B277" s="4" t="s">
        <v>1758</v>
      </c>
      <c r="C277" s="3" t="s">
        <v>1759</v>
      </c>
      <c r="D277" s="3" t="str">
        <f>VLOOKUP(A277,Hebrew!A:C,3,0)</f>
        <v>חייל על סוס נדנדה בבית בעזה</v>
      </c>
      <c r="E277" s="3" t="s">
        <v>1760</v>
      </c>
      <c r="F277" s="3" t="str">
        <f>VLOOKUP($A277,Hebrew!$A:$S,4,0)</f>
        <v>חיילי צה"ל יושבים בחדר בתוך בית בעזה. אחד מהם יושב ומנענע על סוסון צעצוע קטן. אחר מוציא את הלשון למצלמה. ברקע מתנגן שיר בעברית שמזכיר סוס.</v>
      </c>
      <c r="G277" s="3" t="s">
        <v>1761</v>
      </c>
      <c r="H277" s="2"/>
      <c r="I277" s="2"/>
      <c r="J277" s="3" t="s">
        <v>393</v>
      </c>
      <c r="K277" s="3" t="s">
        <v>1762</v>
      </c>
      <c r="L277" s="3" t="str">
        <f>VLOOKUP($A277,Hebrew!$A:$S,9,0)</f>
        <v>Sulaiman Ahmed (@ShaykhSulaiman)</v>
      </c>
      <c r="M277" s="2"/>
      <c r="N277" s="2"/>
      <c r="O277" s="3" t="s">
        <v>426</v>
      </c>
      <c r="P277" s="3" t="s">
        <v>27</v>
      </c>
      <c r="Q277" s="3" t="str">
        <f>VLOOKUP($A277,Hebrew!$A:$S,13,0)</f>
        <v>רצועת עזה</v>
      </c>
      <c r="R277" s="3" t="s">
        <v>396</v>
      </c>
      <c r="S277" s="3" t="s">
        <v>982</v>
      </c>
      <c r="T277" s="3" t="s">
        <v>1763</v>
      </c>
      <c r="U277" s="3" t="s">
        <v>43</v>
      </c>
      <c r="V277" s="3" t="s">
        <v>27</v>
      </c>
      <c r="W277" s="2"/>
      <c r="X277" s="2"/>
      <c r="Y277" s="2"/>
    </row>
    <row r="278" spans="1:25" x14ac:dyDescent="0.2">
      <c r="A278" s="3">
        <v>778</v>
      </c>
      <c r="B278" s="4" t="s">
        <v>1764</v>
      </c>
      <c r="C278" s="3" t="s">
        <v>1765</v>
      </c>
      <c r="D278" s="3" t="str">
        <f>VLOOKUP(A278,Hebrew!A:C,3,0)</f>
        <v>חיילי צה"ל הפכו מסגד למפקדה צבאית</v>
      </c>
      <c r="E278" s="3" t="s">
        <v>1766</v>
      </c>
      <c r="F278" s="3" t="str">
        <f>VLOOKUP($A278,Hebrew!$A:$S,4,0)</f>
        <v>חיילי צה"ל צולמו מחלקים מזון בתוך מסגד, מודים למאפיית אנג'ל על המזון שתרמו. יש גרפיטי בעברית על קירות המסגד שנראה שהושחת. המצלמה מראה הרבה רכבים משוריינים חונים מחוץ למסגד ובנק שהקריין מסביר בבדיחות הדעת שסגור עכשיו לשיפוצים. היחידה נקראת יחידת הסיור "מכת אש".</v>
      </c>
      <c r="G278" s="3" t="s">
        <v>1521</v>
      </c>
      <c r="H278" s="2"/>
      <c r="I278" s="2"/>
      <c r="J278" s="3" t="s">
        <v>393</v>
      </c>
      <c r="K278" s="3" t="s">
        <v>1767</v>
      </c>
      <c r="L278" s="3" t="str">
        <f>VLOOKUP($A278,Hebrew!$A:$S,9,0)</f>
        <v>Supressed News (@SuppressedNws)</v>
      </c>
      <c r="M278" s="2"/>
      <c r="N278" s="2"/>
      <c r="O278" s="3" t="s">
        <v>493</v>
      </c>
      <c r="P278" s="3" t="s">
        <v>1768</v>
      </c>
      <c r="Q278" s="3" t="str">
        <f>VLOOKUP($A278,Hebrew!$A:$S,13,0)</f>
        <v>מעבר רפיח</v>
      </c>
      <c r="R278" s="3" t="s">
        <v>396</v>
      </c>
      <c r="S278" s="3" t="s">
        <v>405</v>
      </c>
      <c r="T278" s="3" t="s">
        <v>1769</v>
      </c>
      <c r="U278" s="3" t="s">
        <v>43</v>
      </c>
      <c r="V278" s="3" t="s">
        <v>439</v>
      </c>
      <c r="W278" s="2"/>
      <c r="X278" s="2"/>
      <c r="Y278" s="2"/>
    </row>
    <row r="279" spans="1:25" x14ac:dyDescent="0.2">
      <c r="A279" s="3">
        <v>779</v>
      </c>
      <c r="B279" s="4" t="s">
        <v>1770</v>
      </c>
      <c r="C279" s="3" t="s">
        <v>1771</v>
      </c>
      <c r="D279" s="3" t="str">
        <f>VLOOKUP(A279,Hebrew!A:C,3,0)</f>
        <v>גרפיטי "נכבה 2023" על ידי חיילי צה"ל בעזה</v>
      </c>
      <c r="E279" s="3" t="s">
        <v>1772</v>
      </c>
      <c r="F279" s="3" t="str">
        <f>VLOOKUP($A279,Hebrew!$A:$S,4,0)</f>
        <v>שני חיילי צה"ל מצולמים במדי קרב מלאים, מחייכים, מול קיר עם הרבה חורי כדורים וגרפיטי שאומר "נכבה 2023" בכתב ירוק באנגלית. אחד החיילים מחזיק פחית של ספריי ירוק.</v>
      </c>
      <c r="G279" s="3" t="s">
        <v>1773</v>
      </c>
      <c r="H279" s="2"/>
      <c r="I279" s="2"/>
      <c r="J279" s="3" t="s">
        <v>393</v>
      </c>
      <c r="K279" s="3" t="s">
        <v>1774</v>
      </c>
      <c r="L279" s="3" t="str">
        <f>VLOOKUP($A279,Hebrew!$A:$S,9,0)</f>
        <v>יYousef Munayyer (@YousefMunayyer)</v>
      </c>
      <c r="M279" s="2"/>
      <c r="N279" s="2"/>
      <c r="O279" s="3" t="s">
        <v>26</v>
      </c>
      <c r="P279" s="3" t="s">
        <v>27</v>
      </c>
      <c r="Q279" s="3" t="str">
        <f>VLOOKUP($A279,Hebrew!$A:$S,13,0)</f>
        <v>רצועת עזה</v>
      </c>
      <c r="R279" s="3" t="s">
        <v>396</v>
      </c>
      <c r="S279" s="3" t="s">
        <v>455</v>
      </c>
      <c r="T279" s="3" t="s">
        <v>1775</v>
      </c>
      <c r="U279" s="3" t="s">
        <v>43</v>
      </c>
      <c r="V279" s="3" t="s">
        <v>27</v>
      </c>
      <c r="W279" s="2"/>
      <c r="X279" s="2"/>
      <c r="Y279" s="2"/>
    </row>
    <row r="280" spans="1:25" x14ac:dyDescent="0.2">
      <c r="A280" s="3">
        <v>780</v>
      </c>
      <c r="B280" s="4" t="s">
        <v>1776</v>
      </c>
      <c r="C280" s="3" t="s">
        <v>1777</v>
      </c>
      <c r="D280" s="3" t="str">
        <f>VLOOKUP(A280,Hebrew!A:C,3,0)</f>
        <v>חיילי צה"ל משתמשים ברכב כבד כדי להפוך משאית על צידה</v>
      </c>
      <c r="E280" s="3" t="s">
        <v>1778</v>
      </c>
      <c r="F280" s="3" t="str">
        <f>VLOOKUP($A280,Hebrew!$A:$S,4,0)</f>
        <v>חייל צה"ל מפעיל רכב צבאי שמניע משאית דרך מבנה והופך את המשאית. החייל אומר: "אני אדאג למשאיות". חייל אחר ברקע מעודד אותו.</v>
      </c>
      <c r="G280" s="3" t="s">
        <v>431</v>
      </c>
      <c r="H280" s="2"/>
      <c r="I280" s="2"/>
      <c r="J280" s="3" t="s">
        <v>393</v>
      </c>
      <c r="K280" s="3" t="s">
        <v>1779</v>
      </c>
      <c r="L280" s="3" t="str">
        <f>VLOOKUP($A280,Hebrew!$A:$S,9,0)</f>
        <v>Use Yandex search engine for anti zionist searches (@Use_Yandex)</v>
      </c>
      <c r="M280" s="2"/>
      <c r="N280" s="6" t="s">
        <v>1780</v>
      </c>
      <c r="O280" s="3" t="s">
        <v>493</v>
      </c>
      <c r="P280" s="3" t="s">
        <v>27</v>
      </c>
      <c r="Q280" s="3" t="str">
        <f>VLOOKUP($A280,Hebrew!$A:$S,13,0)</f>
        <v>רצועת עזה</v>
      </c>
      <c r="R280" s="3" t="s">
        <v>396</v>
      </c>
      <c r="S280" s="3" t="s">
        <v>405</v>
      </c>
      <c r="T280" s="3" t="s">
        <v>1781</v>
      </c>
      <c r="U280" s="3" t="s">
        <v>43</v>
      </c>
      <c r="V280" s="3" t="s">
        <v>27</v>
      </c>
      <c r="W280" s="2"/>
      <c r="X280" s="2"/>
      <c r="Y280" s="2"/>
    </row>
    <row r="281" spans="1:25" x14ac:dyDescent="0.2">
      <c r="A281" s="3">
        <v>781</v>
      </c>
      <c r="B281" s="4" t="s">
        <v>1782</v>
      </c>
      <c r="C281" s="3" t="s">
        <v>1783</v>
      </c>
      <c r="D281" s="3" t="str">
        <f>VLOOKUP(A281,Hebrew!A:C,3,0)</f>
        <v>חיילי צה"ל משחקים תפקידים במסעדה פלסטינית הרוסה</v>
      </c>
      <c r="E281" s="3" t="s">
        <v>1784</v>
      </c>
      <c r="F281" s="3" t="str">
        <f>VLOOKUP($A281,Hebrew!$A:$S,4,0)</f>
        <v>מספר חיילי צה"ל בתוך מסעדה הרוסה מעמיד פנים שהוא מזמין ומגיש אוכל. הם צוחקים על כך שהם נשארים במקום כאילו היה זה מלון.</v>
      </c>
      <c r="G281" s="3" t="s">
        <v>431</v>
      </c>
      <c r="H281" s="2"/>
      <c r="I281" s="2"/>
      <c r="J281" s="3" t="s">
        <v>393</v>
      </c>
      <c r="K281" s="3" t="s">
        <v>1779</v>
      </c>
      <c r="L281" s="3" t="str">
        <f>VLOOKUP($A281,Hebrew!$A:$S,9,0)</f>
        <v>Use Yandex search engine for anti zionist searches (@Use_Yandex)</v>
      </c>
      <c r="M281" s="2"/>
      <c r="N281" s="6" t="s">
        <v>1785</v>
      </c>
      <c r="O281" s="3" t="s">
        <v>426</v>
      </c>
      <c r="P281" s="3" t="s">
        <v>27</v>
      </c>
      <c r="Q281" s="3" t="str">
        <f>VLOOKUP($A281,Hebrew!$A:$S,13,0)</f>
        <v>רצועת עזה</v>
      </c>
      <c r="R281" s="3" t="s">
        <v>396</v>
      </c>
      <c r="S281" s="3" t="s">
        <v>405</v>
      </c>
      <c r="T281" s="3" t="s">
        <v>1786</v>
      </c>
      <c r="U281" s="3" t="s">
        <v>43</v>
      </c>
      <c r="V281" s="3" t="s">
        <v>27</v>
      </c>
      <c r="W281" s="2"/>
      <c r="X281" s="2"/>
      <c r="Y281" s="2"/>
    </row>
    <row r="282" spans="1:25" x14ac:dyDescent="0.2">
      <c r="A282" s="3">
        <v>782</v>
      </c>
      <c r="B282" s="4" t="s">
        <v>1787</v>
      </c>
      <c r="C282" s="3" t="s">
        <v>1788</v>
      </c>
      <c r="D282" s="3" t="str">
        <f>VLOOKUP(A282,Hebrew!A:C,3,0)</f>
        <v>חייל צה"ל רוקן מחסנית על השכונה מתחתיו ומפרסם את זה באינטרנט</v>
      </c>
      <c r="E282" s="3" t="s">
        <v>1789</v>
      </c>
      <c r="F282" s="3" t="str">
        <f>VLOOKUP($A282,Hebrew!$A:$S,4,0)</f>
        <v>חייל עומד ליד חלון בקומה גבוהה עם מקלע מכוון החוצה. הוא טוען את הנשק ומרוקן את התחמושת שלו על השכונה למטה.</v>
      </c>
      <c r="G282" s="3" t="s">
        <v>431</v>
      </c>
      <c r="H282" s="2"/>
      <c r="I282" s="2"/>
      <c r="J282" s="3" t="s">
        <v>393</v>
      </c>
      <c r="K282" s="3" t="s">
        <v>1790</v>
      </c>
      <c r="L282" s="3" t="str">
        <f>VLOOKUP($A282,Hebrew!$A:$S,9,0)</f>
        <v>Documentation of Violence and War Crime (@arixegal)</v>
      </c>
      <c r="M282" s="2"/>
      <c r="N282" s="2"/>
      <c r="O282" s="3" t="s">
        <v>493</v>
      </c>
      <c r="P282" s="3" t="s">
        <v>27</v>
      </c>
      <c r="Q282" s="3" t="str">
        <f>VLOOKUP($A282,Hebrew!$A:$S,13,0)</f>
        <v>רצועת עזה</v>
      </c>
      <c r="R282" s="3" t="s">
        <v>396</v>
      </c>
      <c r="S282" s="3" t="s">
        <v>405</v>
      </c>
      <c r="T282" s="3" t="s">
        <v>1791</v>
      </c>
      <c r="U282" s="3" t="s">
        <v>43</v>
      </c>
      <c r="V282" s="3" t="s">
        <v>27</v>
      </c>
      <c r="W282" s="2"/>
      <c r="X282" s="2"/>
      <c r="Y282" s="2"/>
    </row>
    <row r="283" spans="1:25" x14ac:dyDescent="0.2">
      <c r="A283" s="3">
        <v>783</v>
      </c>
      <c r="B283" s="4" t="s">
        <v>1792</v>
      </c>
      <c r="C283" s="3" t="s">
        <v>1793</v>
      </c>
      <c r="D283" s="3" t="str">
        <f>VLOOKUP(A283,Hebrew!A:C,3,0)</f>
        <v>עיתונאית ערוץ 14 שיתפה מחדש ציוץ של חייל מילואים בצה"ל שחוגג שרפה של בית ברפיח</v>
      </c>
      <c r="E283" s="3" t="s">
        <v>1794</v>
      </c>
      <c r="F283" s="3" t="str">
        <f>VLOOKUP($A283,Hebrew!$A:$S,4,0)</f>
        <v>עיתונאית ערוץ 14, נווה דרומי, שיתפה מחדש פוסט של חייל מילואים בצה"ל, מתנחל בגדה המערבית וקב"ט, אביחי שורשן, שפרסם בית בוער ברפיח לכבוד חגיגות ל"ג בעומר. לאחר מכן מחקה דרומי את הציוץ שלה.</v>
      </c>
      <c r="G283" s="3" t="s">
        <v>403</v>
      </c>
      <c r="H283" s="3" t="s">
        <v>1498</v>
      </c>
      <c r="I283" s="3" t="s">
        <v>1498</v>
      </c>
      <c r="J283" s="3" t="s">
        <v>393</v>
      </c>
      <c r="K283" s="3" t="s">
        <v>1795</v>
      </c>
      <c r="L283" s="3" t="str">
        <f>VLOOKUP($A283,Hebrew!$A:$S,9,0)</f>
        <v>idan לנדאו (@idanlandau)</v>
      </c>
      <c r="M283" s="2"/>
      <c r="N283" s="6" t="s">
        <v>1796</v>
      </c>
      <c r="O283" s="3" t="s">
        <v>39</v>
      </c>
      <c r="P283" s="3" t="s">
        <v>439</v>
      </c>
      <c r="Q283" s="3" t="str">
        <f>VLOOKUP($A283,Hebrew!$A:$S,13,0)</f>
        <v>רפיח</v>
      </c>
      <c r="R283" s="3" t="s">
        <v>396</v>
      </c>
      <c r="S283" s="3" t="s">
        <v>455</v>
      </c>
      <c r="T283" s="3" t="s">
        <v>1797</v>
      </c>
      <c r="U283" s="3" t="s">
        <v>43</v>
      </c>
      <c r="V283" s="3" t="s">
        <v>439</v>
      </c>
      <c r="W283" s="2"/>
      <c r="X283" s="2"/>
      <c r="Y283" s="2"/>
    </row>
    <row r="284" spans="1:25" x14ac:dyDescent="0.2">
      <c r="A284" s="3">
        <v>573</v>
      </c>
      <c r="B284" s="4" t="s">
        <v>1798</v>
      </c>
      <c r="C284" s="3" t="s">
        <v>1799</v>
      </c>
      <c r="D284" s="3" t="str">
        <f>VLOOKUP(A284,Hebrew!A:C,3,0)</f>
        <v>שטיחים, קוסמטיקה, אופנועים: חיילי צה"ל בוזזים בתים בעזה בהמוניהם</v>
      </c>
      <c r="E284" s="3" t="s">
        <v>1800</v>
      </c>
      <c r="F284" s="3" t="str">
        <f>VLOOKUP($A284,Hebrew!$A:$S,4,0)</f>
        <v>תמונה של שלושה חיילי צה"ל מחייכים ולמצלמה מול בית בעזה, כל אחד מהם יושב על אופני ילדים ומחזיק רובה. התמונה מלווה כתבה מ-972 Magazine בנושא התופעה הנרחבת של ביזת רכוש פלסטיני על ידי חיילי צה"ל בעזה.</v>
      </c>
      <c r="G284" s="3" t="s">
        <v>1212</v>
      </c>
      <c r="H284" s="2"/>
      <c r="I284" s="2"/>
      <c r="J284" s="3" t="s">
        <v>393</v>
      </c>
      <c r="K284" s="3" t="s">
        <v>453</v>
      </c>
      <c r="L284" s="3" t="str">
        <f>VLOOKUP($A284,Hebrew!$A:$S,9,0)</f>
        <v>Younis Tirawi (@ytirawi)</v>
      </c>
      <c r="M284" s="3" t="s">
        <v>1801</v>
      </c>
      <c r="N284" s="6" t="s">
        <v>1802</v>
      </c>
      <c r="O284" s="3" t="s">
        <v>26</v>
      </c>
      <c r="P284" s="3" t="s">
        <v>989</v>
      </c>
      <c r="Q284" s="3" t="str">
        <f>VLOOKUP($A284,Hebrew!$A:$S,13,0)</f>
        <v>רצועת עזה</v>
      </c>
      <c r="R284" s="3" t="s">
        <v>396</v>
      </c>
      <c r="S284" s="3" t="s">
        <v>455</v>
      </c>
      <c r="T284" s="3" t="s">
        <v>1803</v>
      </c>
      <c r="U284" s="3" t="s">
        <v>43</v>
      </c>
      <c r="V284" s="3" t="s">
        <v>27</v>
      </c>
      <c r="W284" s="2"/>
      <c r="X284" s="2"/>
      <c r="Y284" s="2"/>
    </row>
    <row r="285" spans="1:25" x14ac:dyDescent="0.2">
      <c r="A285" s="3">
        <v>574</v>
      </c>
      <c r="B285" s="4" t="s">
        <v>1804</v>
      </c>
      <c r="C285" s="3" t="s">
        <v>1805</v>
      </c>
      <c r="D285" s="3" t="str">
        <f>VLOOKUP(A285,Hebrew!A:C,3,0)</f>
        <v>חיילי צה"ל בחאן יונס מציגים הלבשה תחתונה השייכת לאישה עזתית שנהרגה או נעקרה מביתה</v>
      </c>
      <c r="E285" s="3" t="s">
        <v>1806</v>
      </c>
      <c r="F285" s="3" t="str">
        <f>VLOOKUP($A285,Hebrew!$A:$S,4,0)</f>
        <v>שני חיילי צה"ל בציוד קרב מלא ברחוב בחאן יונס. אחד מהם מחייך בזמן שהוא לובש חזייה מעל המדים שלו. השני נוגע בחזייה בצורה מינית ומוציא את הלשון שלו.</v>
      </c>
      <c r="G285" s="3" t="s">
        <v>1552</v>
      </c>
      <c r="H285" s="2"/>
      <c r="I285" s="2"/>
      <c r="J285" s="3" t="s">
        <v>393</v>
      </c>
      <c r="K285" s="3" t="s">
        <v>453</v>
      </c>
      <c r="L285" s="3" t="str">
        <f>VLOOKUP($A285,Hebrew!$A:$S,9,0)</f>
        <v>Younis Tirawi (@ytirawi)</v>
      </c>
      <c r="M285" s="2"/>
      <c r="N285" s="2"/>
      <c r="O285" s="3" t="s">
        <v>26</v>
      </c>
      <c r="P285" s="3" t="s">
        <v>395</v>
      </c>
      <c r="Q285" s="3" t="str">
        <f>VLOOKUP($A285,Hebrew!$A:$S,13,0)</f>
        <v>חאן יונס</v>
      </c>
      <c r="R285" s="3" t="s">
        <v>396</v>
      </c>
      <c r="S285" s="3" t="s">
        <v>455</v>
      </c>
      <c r="T285" s="3" t="s">
        <v>1807</v>
      </c>
      <c r="U285" s="3" t="s">
        <v>43</v>
      </c>
      <c r="V285" s="3" t="s">
        <v>1109</v>
      </c>
      <c r="W285" s="2"/>
      <c r="X285" s="2"/>
      <c r="Y285" s="2"/>
    </row>
    <row r="286" spans="1:25" x14ac:dyDescent="0.2">
      <c r="A286" s="3">
        <v>575</v>
      </c>
      <c r="B286" s="4" t="s">
        <v>1808</v>
      </c>
      <c r="C286" s="3" t="s">
        <v>1809</v>
      </c>
      <c r="D286" s="3" t="str">
        <f>VLOOKUP(A286,Hebrew!A:C,3,0)</f>
        <v>חיילי צה"ל תולים מודעות פוליטיות ומציירים גרפיטי בחאן יונס</v>
      </c>
      <c r="E286" s="3" t="s">
        <v>1810</v>
      </c>
      <c r="F286" s="3" t="str">
        <f>VLOOKUP($A286,Hebrew!$A:$S,4,0)</f>
        <v>ארבע תמונות מח'אן יונס מראות חיילי צה"ל מציגים פרסומות ישראליות וכתובות גרפיטי על בניינים מקומיים, כולל שלט בחירות לראש העיר שדרות אלון דוידי, כתובת גרפיטי ובה הבטחה לחזור להתנחלות נווה דקלים שפונתה, פרסומת לרשת המאפים הישראלית רולדין, והודעת 'בקרוב' על חומוס אליהו.</v>
      </c>
      <c r="G286" s="3" t="s">
        <v>1552</v>
      </c>
      <c r="H286" s="2"/>
      <c r="I286" s="2"/>
      <c r="J286" s="3" t="s">
        <v>393</v>
      </c>
      <c r="K286" s="3" t="s">
        <v>453</v>
      </c>
      <c r="L286" s="3" t="str">
        <f>VLOOKUP($A286,Hebrew!$A:$S,9,0)</f>
        <v>Younis Tirawi (@ytirawi)</v>
      </c>
      <c r="M286" s="2"/>
      <c r="N286" s="2"/>
      <c r="O286" s="3" t="s">
        <v>426</v>
      </c>
      <c r="P286" s="3" t="s">
        <v>395</v>
      </c>
      <c r="Q286" s="3" t="str">
        <f>VLOOKUP($A286,Hebrew!$A:$S,13,0)</f>
        <v>חאן יונס</v>
      </c>
      <c r="R286" s="3" t="s">
        <v>396</v>
      </c>
      <c r="S286" s="3" t="s">
        <v>455</v>
      </c>
      <c r="T286" s="3" t="s">
        <v>1811</v>
      </c>
      <c r="U286" s="3" t="s">
        <v>43</v>
      </c>
      <c r="V286" s="3" t="s">
        <v>395</v>
      </c>
      <c r="W286" s="2"/>
      <c r="X286" s="2"/>
      <c r="Y286" s="2"/>
    </row>
    <row r="287" spans="1:25" x14ac:dyDescent="0.2">
      <c r="A287" s="3">
        <v>576</v>
      </c>
      <c r="B287" s="4" t="s">
        <v>1812</v>
      </c>
      <c r="C287" s="3" t="s">
        <v>1813</v>
      </c>
      <c r="D287" s="3" t="str">
        <f>VLOOKUP(A287,Hebrew!A:C,3,0)</f>
        <v>חייל צה"ל מפרסם תמונה של בניין הרוס בעזה כדי לקדם את חברת הנדל"ן שלו בפרופיל באפליקציית היכרויות</v>
      </c>
      <c r="E287" s="3" t="s">
        <v>1814</v>
      </c>
      <c r="F287" s="3" t="str">
        <f>VLOOKUP($A287,Hebrew!$A:$S,4,0)</f>
        <v>בפוסט באפליקציית היכרויות, שמראה חייל צה"ל עומד עם רובה שלו בין ההריסות ליד בית הרוס חלקית. על הבית יש שלט מקצועי "למכירה" המפרסם את חברת הנדל"ן של החייל.</v>
      </c>
      <c r="G287" s="3" t="s">
        <v>1815</v>
      </c>
      <c r="H287" s="2"/>
      <c r="I287" s="2"/>
      <c r="J287" s="3" t="s">
        <v>393</v>
      </c>
      <c r="K287" s="3" t="s">
        <v>453</v>
      </c>
      <c r="L287" s="3" t="str">
        <f>VLOOKUP($A287,Hebrew!$A:$S,9,0)</f>
        <v>Younis Tirawi (@ytirawi)</v>
      </c>
      <c r="M287" s="2"/>
      <c r="N287" s="2"/>
      <c r="O287" s="3" t="s">
        <v>426</v>
      </c>
      <c r="P287" s="3" t="s">
        <v>989</v>
      </c>
      <c r="Q287" s="3" t="str">
        <f>VLOOKUP($A287,Hebrew!$A:$S,13,0)</f>
        <v>רצועת עזה</v>
      </c>
      <c r="R287" s="3" t="s">
        <v>396</v>
      </c>
      <c r="S287" s="3" t="s">
        <v>455</v>
      </c>
      <c r="T287" s="3" t="s">
        <v>1816</v>
      </c>
      <c r="U287" s="3" t="s">
        <v>43</v>
      </c>
      <c r="V287" s="3" t="s">
        <v>27</v>
      </c>
      <c r="W287" s="2"/>
      <c r="X287" s="2"/>
      <c r="Y287" s="2"/>
    </row>
    <row r="288" spans="1:25" x14ac:dyDescent="0.2">
      <c r="A288" s="3">
        <v>577</v>
      </c>
      <c r="B288" s="4" t="s">
        <v>1817</v>
      </c>
      <c r="C288" s="3" t="s">
        <v>1818</v>
      </c>
      <c r="D288" s="3" t="str">
        <f>VLOOKUP(A288,Hebrew!A:C,3,0)</f>
        <v>חייל צה"ל מציג שכונה הרוסה בעזה כסוכן נדל"ן</v>
      </c>
      <c r="E288" s="3" t="s">
        <v>1819</v>
      </c>
      <c r="F288" s="3" t="str">
        <f>VLOOKUP($A288,Hebrew!$A:$S,4,0)</f>
        <v>וידאו שפורסם בטיקטוק של חייל צה"ל שמתחזה לסוכן נדל"ן בשכונה חדשה שתיבנה בוואדי זיתון, בעיר עזה. בעוד החייל משחק את תפקיד סוכן הנדל"ן, המצלמה זזה כדי להראות את הבניינים ההרוסים מסביב. יריות והפגזות נשמעות ברקע כל הזמן. כאשר המצלמה מראה אפוף עשן, החייל אומר: "ברביקיו קטן".</v>
      </c>
      <c r="G288" s="3" t="s">
        <v>902</v>
      </c>
      <c r="H288" s="2"/>
      <c r="I288" s="2"/>
      <c r="J288" s="3" t="s">
        <v>393</v>
      </c>
      <c r="K288" s="3" t="s">
        <v>453</v>
      </c>
      <c r="L288" s="3" t="str">
        <f>VLOOKUP($A288,Hebrew!$A:$S,9,0)</f>
        <v>Younis Tirawi (@ytirawi)</v>
      </c>
      <c r="M288" s="3" t="s">
        <v>1820</v>
      </c>
      <c r="N288" s="2"/>
      <c r="O288" s="3" t="s">
        <v>426</v>
      </c>
      <c r="P288" s="3" t="s">
        <v>1821</v>
      </c>
      <c r="Q288" s="3" t="str">
        <f>VLOOKUP($A288,Hebrew!$A:$S,13,0)</f>
        <v>וואדי זייתון, עזה</v>
      </c>
      <c r="R288" s="3" t="s">
        <v>396</v>
      </c>
      <c r="S288" s="3" t="s">
        <v>405</v>
      </c>
      <c r="T288" s="3" t="s">
        <v>1822</v>
      </c>
      <c r="U288" s="3" t="s">
        <v>43</v>
      </c>
      <c r="V288" s="3" t="s">
        <v>1180</v>
      </c>
      <c r="W288" s="2"/>
      <c r="X288" s="2"/>
      <c r="Y288" s="2"/>
    </row>
    <row r="289" spans="1:25" x14ac:dyDescent="0.2">
      <c r="A289" s="3">
        <v>666</v>
      </c>
      <c r="B289" s="4" t="s">
        <v>1823</v>
      </c>
      <c r="C289" s="3" t="s">
        <v>1824</v>
      </c>
      <c r="D289" s="3" t="str">
        <f>VLOOKUP(A289,Hebrew!A:C,3,0)</f>
        <v>חייל צה"ל מצטלם בשמלה פלסטינית מסורתית ומחזיק בשני רובים</v>
      </c>
      <c r="E289" s="3" t="s">
        <v>1825</v>
      </c>
      <c r="F289" s="3" t="str">
        <f>VLOOKUP($A289,Hebrew!$A:$S,4,0)</f>
        <v>תמונה של חייל צה"ל לובש שמלה פלסטינית מסורתית, מחזיק רובים בתוך בית מוקף בכלי נשק נוספים.</v>
      </c>
      <c r="G289" s="3" t="s">
        <v>979</v>
      </c>
      <c r="H289" s="2"/>
      <c r="I289" s="2"/>
      <c r="J289" s="3" t="s">
        <v>393</v>
      </c>
      <c r="K289" s="3" t="s">
        <v>453</v>
      </c>
      <c r="L289" s="3" t="str">
        <f>VLOOKUP($A289,Hebrew!$A:$S,9,0)</f>
        <v>Younis Tirawi (@ytirawi)</v>
      </c>
      <c r="M289" s="2"/>
      <c r="N289" s="2"/>
      <c r="O289" s="2"/>
      <c r="P289" s="3" t="s">
        <v>71</v>
      </c>
      <c r="Q289" s="3" t="str">
        <f>VLOOKUP($A289,Hebrew!$A:$S,13,0)</f>
        <v>עיר עזה</v>
      </c>
      <c r="R289" s="3" t="s">
        <v>396</v>
      </c>
      <c r="S289" s="3" t="s">
        <v>700</v>
      </c>
      <c r="T289" s="3" t="s">
        <v>1826</v>
      </c>
      <c r="U289" s="3" t="s">
        <v>43</v>
      </c>
      <c r="V289" s="3" t="s">
        <v>71</v>
      </c>
      <c r="W289" s="2"/>
      <c r="X289" s="2"/>
      <c r="Y289" s="2"/>
    </row>
    <row r="290" spans="1:25" x14ac:dyDescent="0.2">
      <c r="A290" s="3">
        <v>766</v>
      </c>
      <c r="B290" s="4" t="s">
        <v>1827</v>
      </c>
      <c r="C290" s="3" t="s">
        <v>1828</v>
      </c>
      <c r="D290" s="3" t="str">
        <f>VLOOKUP(A290,Hebrew!A:C,3,0)</f>
        <v>תלמידי בית ספר שרים "שיישרף לכם הכפר" לאחר שמורה שהשתתפה במצעד השיבה הושעתה</v>
      </c>
      <c r="E290" s="3" t="s">
        <v>1829</v>
      </c>
      <c r="F290" s="3" t="str">
        <f>VLOOKUP($A290,Hebrew!$A:$S,4,0)</f>
        <v>תלמידי תיכון ישראלים בבית ספרם מפגינים נגד השתתפותה של המורה שלהם, סברין מסראווה, במצעד השיבה בשיר "שיישרף לכם הכפר" וריקוד.</v>
      </c>
      <c r="G290" s="3" t="s">
        <v>1773</v>
      </c>
      <c r="H290" s="2"/>
      <c r="I290" s="2"/>
      <c r="J290" s="3" t="s">
        <v>393</v>
      </c>
      <c r="K290" s="3" t="s">
        <v>693</v>
      </c>
      <c r="L290" s="3" t="str">
        <f>VLOOKUP($A290,Hebrew!$A:$S,9,0)</f>
        <v>אלון-לי גרין (@AlonLeeGreen)</v>
      </c>
      <c r="M290" s="2"/>
      <c r="N290" s="2"/>
      <c r="O290" s="3" t="s">
        <v>39</v>
      </c>
      <c r="P290" s="3" t="s">
        <v>1830</v>
      </c>
      <c r="Q290" s="3" t="str">
        <f>VLOOKUP($A290,Hebrew!$A:$S,13,0)</f>
        <v>גני תקווה</v>
      </c>
      <c r="R290" s="3" t="s">
        <v>396</v>
      </c>
      <c r="S290" s="3" t="s">
        <v>982</v>
      </c>
      <c r="T290" s="3" t="s">
        <v>1831</v>
      </c>
      <c r="U290" s="2"/>
      <c r="V290" s="3" t="s">
        <v>60</v>
      </c>
      <c r="W290" s="2"/>
      <c r="X290" s="2"/>
      <c r="Y290" s="2"/>
    </row>
    <row r="291" spans="1:25" x14ac:dyDescent="0.2">
      <c r="A291" s="3">
        <v>768</v>
      </c>
      <c r="B291" s="4" t="s">
        <v>1832</v>
      </c>
      <c r="C291" s="3" t="s">
        <v>1833</v>
      </c>
      <c r="D291" s="3" t="str">
        <f>VLOOKUP(A291,Hebrew!A:C,3,0)</f>
        <v>מגישי רדיו רוקדים לשיר מאולתר שמזלזל באבל על 50 פלסטינים שנהרגו במהלך מבצע חילוץ בני ערובה</v>
      </c>
      <c r="E291" s="3" t="s">
        <v>1834</v>
      </c>
      <c r="F291" s="3" t="str">
        <f>VLOOKUP($A291,Hebrew!$A:$S,4,0)</f>
        <v>מגיש הרדיו שי גולדשטין רוקד לשיר שמזלזל בפוסט של ירדן סקופ שבו היא מביעה עצב על 50 פלסטינים [במציאות: הרבה יותר] שנהרגו במבצע חילוץ שבו שוחררו ארבעה חטופים ישראלים. המנחה השני, ארז תדמור, גם נהנה מהשיר.</v>
      </c>
      <c r="G291" s="3" t="s">
        <v>858</v>
      </c>
      <c r="H291" s="3" t="s">
        <v>588</v>
      </c>
      <c r="I291" s="3" t="s">
        <v>858</v>
      </c>
      <c r="J291" s="3" t="s">
        <v>393</v>
      </c>
      <c r="K291" s="3" t="s">
        <v>1835</v>
      </c>
      <c r="L291" s="3" t="str">
        <f>VLOOKUP($A291,Hebrew!$A:$S,9,0)</f>
        <v>גלעי ישראל (@IsraelGaley)</v>
      </c>
      <c r="M291" s="3" t="s">
        <v>1836</v>
      </c>
      <c r="N291" s="6" t="s">
        <v>1837</v>
      </c>
      <c r="O291" s="3" t="s">
        <v>39</v>
      </c>
      <c r="P291" s="3" t="s">
        <v>60</v>
      </c>
      <c r="Q291" s="3" t="str">
        <f>VLOOKUP($A291,Hebrew!$A:$S,13,0)</f>
        <v>ישראל</v>
      </c>
      <c r="R291" s="3" t="s">
        <v>396</v>
      </c>
      <c r="S291" s="3" t="s">
        <v>982</v>
      </c>
      <c r="T291" s="3" t="s">
        <v>1838</v>
      </c>
      <c r="U291" s="2"/>
      <c r="V291" s="3" t="s">
        <v>60</v>
      </c>
      <c r="W291" s="2"/>
      <c r="X291" s="2"/>
      <c r="Y291" s="2"/>
    </row>
    <row r="292" spans="1:25" x14ac:dyDescent="0.2">
      <c r="A292" s="3">
        <v>822</v>
      </c>
      <c r="B292" s="4" t="s">
        <v>1839</v>
      </c>
      <c r="C292" s="3" t="s">
        <v>1840</v>
      </c>
      <c r="D292" s="3" t="str">
        <f>VLOOKUP(A292,Hebrew!A:C,3,0)</f>
        <v>חיילי צה"ל לבושים בתחתוני נשים פלסטיניות</v>
      </c>
      <c r="E292" s="3" t="s">
        <v>1841</v>
      </c>
      <c r="F292" s="3" t="str">
        <f>VLOOKUP($A292,Hebrew!$A:$S,4,0)</f>
        <v>התמונה מראה שני חיילי צה"ל לובשים תחתונים שנלקחו מנשים פלסטיניות ברצועת עזה.</v>
      </c>
      <c r="G292" s="3" t="s">
        <v>410</v>
      </c>
      <c r="H292" s="2"/>
      <c r="I292" s="3" t="s">
        <v>810</v>
      </c>
      <c r="J292" s="3" t="s">
        <v>393</v>
      </c>
      <c r="K292" s="3" t="s">
        <v>453</v>
      </c>
      <c r="L292" s="3" t="str">
        <f>VLOOKUP($A292,Hebrew!$A:$S,9,0)</f>
        <v>Younis Tirawi (@ytirawi)</v>
      </c>
      <c r="M292" s="2"/>
      <c r="N292" s="2"/>
      <c r="O292" s="3" t="s">
        <v>26</v>
      </c>
      <c r="P292" s="3" t="s">
        <v>27</v>
      </c>
      <c r="Q292" s="3" t="str">
        <f>VLOOKUP($A292,Hebrew!$A:$S,13,0)</f>
        <v>רצועת עזה</v>
      </c>
      <c r="R292" s="3" t="s">
        <v>396</v>
      </c>
      <c r="S292" s="3" t="s">
        <v>455</v>
      </c>
      <c r="T292" s="3" t="s">
        <v>1842</v>
      </c>
      <c r="U292" s="3" t="s">
        <v>43</v>
      </c>
      <c r="V292" s="3" t="s">
        <v>27</v>
      </c>
      <c r="W292" s="2"/>
      <c r="X292" s="2"/>
      <c r="Y292" s="2"/>
    </row>
    <row r="293" spans="1:25" x14ac:dyDescent="0.2">
      <c r="A293" s="3">
        <v>817</v>
      </c>
      <c r="B293" s="4" t="s">
        <v>1843</v>
      </c>
      <c r="C293" s="3" t="s">
        <v>1844</v>
      </c>
      <c r="D293" s="3" t="str">
        <f>VLOOKUP(A293,Hebrew!A:C,3,0)</f>
        <v>מפקד צה"ל קורא לרצח חסר הבחנה של פלסטינים בעזה, בגדה המערבית ובלבנון</v>
      </c>
      <c r="E293" s="3" t="s">
        <v>1845</v>
      </c>
      <c r="F293" s="3" t="str">
        <f>VLOOKUP($A293,Hebrew!$A:$S,4,0)</f>
        <v>שאולי סנקר, מפקד גדוד 121 בצה"ל, טוען שכל הפלסטינים, 'מגדולם ועד קטנם, הם אומה מרושעת של אנסים, רוצחי ילדים וחוטפי זקנים וילדים.' הוא קורא להשתמש בירי ארטילרי לא מונחה 'על כל עיר בלבנון, עזה ובגדה המערבית שיש בה פעילות טרור,' להפסיק מיד את הסיוע ההומניטרי ואת אספקת הדלק, ומעודד את תושבי עזה 'להילחם בחמאס או להגר.'</v>
      </c>
      <c r="G293" s="3" t="s">
        <v>1247</v>
      </c>
      <c r="H293" s="3" t="s">
        <v>1846</v>
      </c>
      <c r="I293" s="3" t="s">
        <v>1846</v>
      </c>
      <c r="J293" s="3" t="s">
        <v>393</v>
      </c>
      <c r="K293" s="3" t="s">
        <v>453</v>
      </c>
      <c r="L293" s="3" t="str">
        <f>VLOOKUP($A293,Hebrew!$A:$S,9,0)</f>
        <v>Younis Tirawi (@ytirawi)</v>
      </c>
      <c r="M293" s="3" t="s">
        <v>1587</v>
      </c>
      <c r="N293" s="2"/>
      <c r="O293" s="3" t="s">
        <v>426</v>
      </c>
      <c r="P293" s="2"/>
      <c r="Q293" s="3">
        <f>VLOOKUP($A293,Hebrew!$A:$S,13,0)</f>
        <v>0</v>
      </c>
      <c r="R293" s="3" t="s">
        <v>396</v>
      </c>
      <c r="S293" s="3" t="s">
        <v>397</v>
      </c>
      <c r="T293" s="3" t="s">
        <v>1847</v>
      </c>
      <c r="U293" s="3" t="s">
        <v>43</v>
      </c>
      <c r="V293" s="3" t="s">
        <v>1848</v>
      </c>
      <c r="W293" s="3" t="s">
        <v>1849</v>
      </c>
      <c r="X293" s="2"/>
      <c r="Y293" s="2"/>
    </row>
    <row r="294" spans="1:25" x14ac:dyDescent="0.2">
      <c r="A294" s="3">
        <v>524</v>
      </c>
      <c r="B294" s="4" t="s">
        <v>1850</v>
      </c>
      <c r="C294" s="3" t="s">
        <v>1851</v>
      </c>
      <c r="D294" s="3" t="str">
        <f>VLOOKUP(A294,Hebrew!A:C,3,0)</f>
        <v>קומיקאי ישראלי צוחק על מותם של עזתים מחבילות סיוע שהוטלו מהאוויר</v>
      </c>
      <c r="E294" s="3" t="s">
        <v>1852</v>
      </c>
      <c r="F294" s="3" t="str">
        <f>VLOOKUP($A294,Hebrew!$A:$S,4,0)</f>
        <v>אבי נוסבאום לועג לפלסטינים מעזה שנהרגו שחבילות סיוע שנפלו עליהם.</v>
      </c>
      <c r="G294" s="3" t="s">
        <v>483</v>
      </c>
      <c r="H294" s="2"/>
      <c r="I294" s="2"/>
      <c r="J294" s="3" t="s">
        <v>393</v>
      </c>
      <c r="K294" s="3" t="s">
        <v>491</v>
      </c>
      <c r="L294" s="3" t="str">
        <f>VLOOKUP($A294,Hebrew!$A:$S,9,0)</f>
        <v>B.M. (@ireallyhateyou)</v>
      </c>
      <c r="M294" s="2"/>
      <c r="N294" s="3" t="s">
        <v>1853</v>
      </c>
      <c r="O294" s="3" t="s">
        <v>39</v>
      </c>
      <c r="P294" s="3" t="s">
        <v>60</v>
      </c>
      <c r="Q294" s="3" t="str">
        <f>VLOOKUP($A294,Hebrew!$A:$S,13,0)</f>
        <v>ישראל</v>
      </c>
      <c r="R294" s="3" t="s">
        <v>396</v>
      </c>
      <c r="S294" s="3" t="s">
        <v>982</v>
      </c>
      <c r="T294" s="3" t="s">
        <v>1854</v>
      </c>
      <c r="U294" s="2"/>
      <c r="V294" s="3" t="s">
        <v>60</v>
      </c>
      <c r="W294" s="2"/>
      <c r="X294" s="2"/>
      <c r="Y294" s="2"/>
    </row>
    <row r="295" spans="1:25" x14ac:dyDescent="0.2">
      <c r="A295" s="3">
        <v>534</v>
      </c>
      <c r="B295" s="4" t="s">
        <v>1855</v>
      </c>
      <c r="C295" s="3" t="s">
        <v>1856</v>
      </c>
      <c r="D295" s="3" t="str">
        <f>VLOOKUP(A295,Hebrew!A:C,3,0)</f>
        <v>מפקד צה"ל נותן נאום מוטיבציה לחייליו לפני הכניסה לרפיח</v>
      </c>
      <c r="E295" s="3" t="s">
        <v>1857</v>
      </c>
      <c r="F295" s="3" t="str">
        <f>VLOOKUP($A295,Hebrew!$A:$S,4,0)</f>
        <v>קצין בצה"ל נותן נאום מוטיבציה לחייליו, הכולל הקשר דתי יהודי וקורא להשמדת רפיח.</v>
      </c>
      <c r="G295" s="3" t="s">
        <v>1858</v>
      </c>
      <c r="H295" s="2"/>
      <c r="I295" s="2"/>
      <c r="J295" s="3" t="s">
        <v>393</v>
      </c>
      <c r="K295" s="3" t="s">
        <v>532</v>
      </c>
      <c r="L295" s="3" t="str">
        <f>VLOOKUP($A295,Hebrew!$A:$S,9,0)</f>
        <v>עופר כסיף (@ofercass)</v>
      </c>
      <c r="M295" s="2"/>
      <c r="N295" s="2"/>
      <c r="O295" s="3" t="s">
        <v>39</v>
      </c>
      <c r="P295" s="3" t="s">
        <v>439</v>
      </c>
      <c r="Q295" s="3" t="str">
        <f>VLOOKUP($A295,Hebrew!$A:$S,13,0)</f>
        <v>רפיח</v>
      </c>
      <c r="R295" s="3" t="s">
        <v>396</v>
      </c>
      <c r="S295" s="3" t="s">
        <v>982</v>
      </c>
      <c r="T295" s="3" t="s">
        <v>1859</v>
      </c>
      <c r="U295" s="3" t="s">
        <v>43</v>
      </c>
      <c r="V295" s="3" t="s">
        <v>439</v>
      </c>
      <c r="W295" s="2"/>
      <c r="X295" s="2"/>
      <c r="Y295" s="2"/>
    </row>
    <row r="296" spans="1:25" x14ac:dyDescent="0.2">
      <c r="A296" s="3">
        <v>537</v>
      </c>
      <c r="B296" s="4" t="s">
        <v>1860</v>
      </c>
      <c r="C296" s="3" t="s">
        <v>1861</v>
      </c>
      <c r="D296" s="3" t="str">
        <f>VLOOKUP(A296,Hebrew!A:C,3,0)</f>
        <v>תמונה של חייל צה"ל במדים באפליקציית היכרויות, יחד עם הלבשה תחתונה נשית</v>
      </c>
      <c r="E296" s="3" t="s">
        <v>1862</v>
      </c>
      <c r="F296" s="3" t="str">
        <f>VLOOKUP($A296,Hebrew!$A:$S,4,0)</f>
        <v>חייל צה"ל מעלה תמונה שלו לאפליקציית היכרויות. החייל במדים ונושא נשק, עם אוסף של תחתוני נשים ברקע, שנראים כאילו נבזזו מבתים בעזה.</v>
      </c>
      <c r="G296" s="3" t="s">
        <v>751</v>
      </c>
      <c r="H296" s="2"/>
      <c r="I296" s="2"/>
      <c r="J296" s="3" t="s">
        <v>393</v>
      </c>
      <c r="K296" s="3" t="s">
        <v>1863</v>
      </c>
      <c r="L296" s="3" t="str">
        <f>VLOOKUP($A296,Hebrew!$A:$S,9,0)</f>
        <v>ילדה, מופרעת (@wattheactualfuq)</v>
      </c>
      <c r="M296" s="2"/>
      <c r="N296" s="2"/>
      <c r="O296" s="3" t="s">
        <v>39</v>
      </c>
      <c r="P296" s="3" t="s">
        <v>27</v>
      </c>
      <c r="Q296" s="3" t="str">
        <f>VLOOKUP($A296,Hebrew!$A:$S,13,0)</f>
        <v>רצועת עזה</v>
      </c>
      <c r="R296" s="3" t="s">
        <v>396</v>
      </c>
      <c r="S296" s="3" t="s">
        <v>700</v>
      </c>
      <c r="T296" s="3" t="s">
        <v>1864</v>
      </c>
      <c r="U296" s="3" t="s">
        <v>43</v>
      </c>
      <c r="V296" s="3" t="s">
        <v>27</v>
      </c>
      <c r="W296" s="2"/>
      <c r="X296" s="2"/>
      <c r="Y296" s="2"/>
    </row>
    <row r="297" spans="1:25" x14ac:dyDescent="0.2">
      <c r="A297" s="3">
        <v>541</v>
      </c>
      <c r="B297" s="4" t="s">
        <v>1865</v>
      </c>
      <c r="C297" s="3" t="s">
        <v>1866</v>
      </c>
      <c r="D297" s="3" t="str">
        <f>VLOOKUP(A297,Hebrew!A:C,3,0)</f>
        <v>חיילי צה"ל בתוך בית בעזה, מציגים הלבשה תחתונה נשית כגילוי של "נשק"</v>
      </c>
      <c r="E297" s="3" t="s">
        <v>1867</v>
      </c>
      <c r="F297" s="3" t="str">
        <f>VLOOKUP($A297,Hebrew!$A:$S,4,0)</f>
        <v>וידאו של חיילי צה"ל בתוך בית בעזה. החיילים מציגים הלבשה תחתונה נשית שמצאו כגילוי של "נשק"</v>
      </c>
      <c r="G297" s="3" t="s">
        <v>1052</v>
      </c>
      <c r="H297" s="2"/>
      <c r="I297" s="2"/>
      <c r="J297" s="3" t="s">
        <v>393</v>
      </c>
      <c r="K297" s="3" t="s">
        <v>453</v>
      </c>
      <c r="L297" s="3" t="str">
        <f>VLOOKUP($A297,Hebrew!$A:$S,9,0)</f>
        <v>Younis Tirawi (@ytirawi)</v>
      </c>
      <c r="M297" s="2"/>
      <c r="N297" s="2"/>
      <c r="O297" s="3" t="s">
        <v>39</v>
      </c>
      <c r="P297" s="3" t="s">
        <v>27</v>
      </c>
      <c r="Q297" s="3" t="str">
        <f>VLOOKUP($A297,Hebrew!$A:$S,13,0)</f>
        <v>רצועת עזה</v>
      </c>
      <c r="R297" s="3" t="s">
        <v>396</v>
      </c>
      <c r="S297" s="3" t="s">
        <v>982</v>
      </c>
      <c r="T297" s="3" t="s">
        <v>1868</v>
      </c>
      <c r="U297" s="3" t="s">
        <v>43</v>
      </c>
      <c r="V297" s="3" t="s">
        <v>27</v>
      </c>
      <c r="W297" s="2"/>
      <c r="X297" s="2"/>
      <c r="Y297" s="2"/>
    </row>
    <row r="298" spans="1:25" x14ac:dyDescent="0.2">
      <c r="A298" s="3">
        <v>545</v>
      </c>
      <c r="B298" s="6" t="s">
        <v>1869</v>
      </c>
      <c r="C298" s="3" t="s">
        <v>1870</v>
      </c>
      <c r="D298" s="3" t="str">
        <f>VLOOKUP(A298,Hebrew!A:C,3,0)</f>
        <v>חיילי צה"ל מפרסמים סרטון מלגלג במספרה הרוסה</v>
      </c>
      <c r="E298" s="3" t="s">
        <v>1871</v>
      </c>
      <c r="F298" s="3" t="str">
        <f>VLOOKUP($A298,Hebrew!$A:$S,4,0)</f>
        <v>וידאו שפורסם על ידי חיילי צה"ל שמלגלג על השמדה של מספרה בשכונת זייתון בעיר עזה.</v>
      </c>
      <c r="G298" s="3" t="s">
        <v>1069</v>
      </c>
      <c r="H298" s="5">
        <v>45261</v>
      </c>
      <c r="I298" s="5">
        <v>45261</v>
      </c>
      <c r="J298" s="3" t="s">
        <v>393</v>
      </c>
      <c r="K298" s="3" t="s">
        <v>453</v>
      </c>
      <c r="L298" s="3" t="str">
        <f>VLOOKUP($A298,Hebrew!$A:$S,9,0)</f>
        <v>Younis Tirawi (@ytirawi)</v>
      </c>
      <c r="M298" s="2"/>
      <c r="N298" s="2"/>
      <c r="O298" s="3" t="s">
        <v>493</v>
      </c>
      <c r="P298" s="3" t="s">
        <v>836</v>
      </c>
      <c r="Q298" s="3" t="str">
        <f>VLOOKUP($A298,Hebrew!$A:$S,13,0)</f>
        <v>שכונת זיתון</v>
      </c>
      <c r="R298" s="3" t="s">
        <v>396</v>
      </c>
      <c r="S298" s="3" t="s">
        <v>982</v>
      </c>
      <c r="T298" s="3" t="s">
        <v>1872</v>
      </c>
      <c r="U298" s="3" t="s">
        <v>43</v>
      </c>
      <c r="V298" s="3" t="s">
        <v>1180</v>
      </c>
      <c r="W298" s="2"/>
      <c r="X298" s="2"/>
      <c r="Y298" s="2"/>
    </row>
    <row r="299" spans="1:25" x14ac:dyDescent="0.2">
      <c r="A299" s="3">
        <v>546</v>
      </c>
      <c r="B299" s="4" t="s">
        <v>1873</v>
      </c>
      <c r="C299" s="3" t="s">
        <v>1874</v>
      </c>
      <c r="D299" s="3" t="str">
        <f>VLOOKUP(A299,Hebrew!A:C,3,0)</f>
        <v>חיילי צה"ל לכאורה קשרו את רגליו של פלסטיני שנהרג וגררו את גופתו במחנה הפליטים טול כרם.</v>
      </c>
      <c r="E299" s="3" t="s">
        <v>1875</v>
      </c>
      <c r="F299" s="3" t="str">
        <f>VLOOKUP($A299,Hebrew!$A:$S,4,0)</f>
        <v>שני עדי ראייה טוענים שחיילי צה"ל קשרו את רגליו של גבר וגררו את גופתו במחנה הפליטים טול כרם.</v>
      </c>
      <c r="G299" s="3" t="s">
        <v>1876</v>
      </c>
      <c r="H299" s="2"/>
      <c r="I299" s="2"/>
      <c r="J299" s="3" t="s">
        <v>393</v>
      </c>
      <c r="K299" s="3" t="s">
        <v>453</v>
      </c>
      <c r="L299" s="3" t="str">
        <f>VLOOKUP($A299,Hebrew!$A:$S,9,0)</f>
        <v>Younis Tirawi (@ytirawi)</v>
      </c>
      <c r="M299" s="2"/>
      <c r="N299" s="6" t="s">
        <v>1877</v>
      </c>
      <c r="O299" s="3" t="s">
        <v>26</v>
      </c>
      <c r="P299" s="3" t="s">
        <v>1878</v>
      </c>
      <c r="Q299" s="3" t="str">
        <f>VLOOKUP($A299,Hebrew!$A:$S,13,0)</f>
        <v>מחנה פליטים, טול כרם</v>
      </c>
      <c r="R299" s="3" t="s">
        <v>396</v>
      </c>
      <c r="S299" s="3" t="s">
        <v>455</v>
      </c>
      <c r="T299" s="3" t="s">
        <v>1879</v>
      </c>
      <c r="U299" s="3" t="s">
        <v>43</v>
      </c>
      <c r="V299" s="3" t="s">
        <v>1880</v>
      </c>
      <c r="W299" s="2"/>
      <c r="X299" s="2"/>
      <c r="Y299" s="2"/>
    </row>
    <row r="300" spans="1:25" x14ac:dyDescent="0.2">
      <c r="A300" s="3">
        <v>548</v>
      </c>
      <c r="B300" s="4" t="s">
        <v>1881</v>
      </c>
      <c r="C300" s="3" t="s">
        <v>1882</v>
      </c>
      <c r="D300" s="3" t="str">
        <f>VLOOKUP(A300,Hebrew!A:C,3,0)</f>
        <v>חייל צה"ל משתמש בציוד הנדסי כבד כדי להרוס בית כבדיחה.</v>
      </c>
      <c r="E300" s="3" t="s">
        <v>1883</v>
      </c>
      <c r="F300" s="3" t="str">
        <f>VLOOKUP($A300,Hebrew!$A:$S,4,0)</f>
        <v>חייל העלה סרטון טיקטוק שבו הוא מראה את עצמו הורס בית באמצעות ציוד הנדסי כבד, מכיוון שהמפקד שלו ביקש ממנו להסיר את כתובות הגרפיטי מקירותיו.</v>
      </c>
      <c r="G300" s="3" t="s">
        <v>1075</v>
      </c>
      <c r="H300" s="2"/>
      <c r="I300" s="2"/>
      <c r="J300" s="3" t="s">
        <v>393</v>
      </c>
      <c r="K300" s="3" t="s">
        <v>453</v>
      </c>
      <c r="L300" s="3" t="str">
        <f>VLOOKUP($A300,Hebrew!$A:$S,9,0)</f>
        <v>Younis Tirawi (@ytirawi)</v>
      </c>
      <c r="M300" s="2"/>
      <c r="N300" s="2"/>
      <c r="O300" s="3" t="s">
        <v>26</v>
      </c>
      <c r="P300" s="3" t="s">
        <v>989</v>
      </c>
      <c r="Q300" s="3" t="str">
        <f>VLOOKUP($A300,Hebrew!$A:$S,13,0)</f>
        <v>רצועת עזה</v>
      </c>
      <c r="R300" s="3" t="s">
        <v>396</v>
      </c>
      <c r="S300" s="3" t="s">
        <v>1884</v>
      </c>
      <c r="T300" s="3" t="s">
        <v>1885</v>
      </c>
      <c r="U300" s="3" t="s">
        <v>43</v>
      </c>
      <c r="V300" s="3" t="s">
        <v>27</v>
      </c>
      <c r="W300" s="2"/>
      <c r="X300" s="2"/>
      <c r="Y300" s="2"/>
    </row>
    <row r="301" spans="1:25" x14ac:dyDescent="0.2">
      <c r="A301" s="3">
        <v>550</v>
      </c>
      <c r="B301" s="4" t="s">
        <v>1886</v>
      </c>
      <c r="C301" s="3" t="s">
        <v>1887</v>
      </c>
      <c r="D301" s="3" t="str">
        <f>VLOOKUP(A301,Hebrew!A:C,3,0)</f>
        <v>חייל צה"ל לועג למצב המבולגן וההרס של הבית שבו הוא נמצא</v>
      </c>
      <c r="E301" s="3" t="s">
        <v>1888</v>
      </c>
      <c r="F301" s="3" t="str">
        <f>VLOOKUP($A301,Hebrew!$A:$S,4,0)</f>
        <v>וידאו שהועלה לרשתות החברתיות מראה חייל אומר לנשים ישראליות בבית שהן צריכות לראות איך הבית בשוג'עייה נראה בכל פעם שהן מתלוננות על קצת בלגן.</v>
      </c>
      <c r="G301" s="3" t="s">
        <v>1087</v>
      </c>
      <c r="H301" s="2"/>
      <c r="I301" s="2"/>
      <c r="J301" s="3" t="s">
        <v>393</v>
      </c>
      <c r="K301" s="3" t="s">
        <v>453</v>
      </c>
      <c r="L301" s="3" t="str">
        <f>VLOOKUP($A301,Hebrew!$A:$S,9,0)</f>
        <v>Younis Tirawi (@ytirawi)</v>
      </c>
      <c r="M301" s="2"/>
      <c r="N301" s="2"/>
      <c r="O301" s="3" t="s">
        <v>39</v>
      </c>
      <c r="P301" s="3" t="s">
        <v>1889</v>
      </c>
      <c r="Q301" s="3" t="str">
        <f>VLOOKUP($A301,Hebrew!$A:$S,13,0)</f>
        <v>עיר עזה, שגא'עיה</v>
      </c>
      <c r="R301" s="3" t="s">
        <v>396</v>
      </c>
      <c r="S301" s="3" t="s">
        <v>982</v>
      </c>
      <c r="T301" s="3" t="s">
        <v>1890</v>
      </c>
      <c r="U301" s="3" t="s">
        <v>43</v>
      </c>
      <c r="V301" s="3" t="s">
        <v>1891</v>
      </c>
      <c r="W301" s="2"/>
      <c r="X301" s="2"/>
      <c r="Y301" s="2"/>
    </row>
    <row r="302" spans="1:25" x14ac:dyDescent="0.2">
      <c r="A302" s="3">
        <v>563</v>
      </c>
      <c r="B302" s="4" t="s">
        <v>1892</v>
      </c>
      <c r="C302" s="3" t="s">
        <v>1893</v>
      </c>
      <c r="D302" s="3" t="str">
        <f>VLOOKUP(A302,Hebrew!A:C,3,0)</f>
        <v>צה"ל עוצר תושבי עזה ומגרש אותם מבתיהם</v>
      </c>
      <c r="E302" s="3" t="s">
        <v>1894</v>
      </c>
      <c r="F302" s="3" t="str">
        <f>VLOOKUP($A302,Hebrew!$A:$S,4,0)</f>
        <v>פוסט בפייסבוק שמראה תמונה של עזתים שנלקחו כבני ערובה ותמונה נוספת של עזתים המגורשים מבתיהם.</v>
      </c>
      <c r="G302" s="3" t="s">
        <v>840</v>
      </c>
      <c r="H302" s="2"/>
      <c r="I302" s="2"/>
      <c r="J302" s="3" t="s">
        <v>393</v>
      </c>
      <c r="K302" s="3" t="s">
        <v>453</v>
      </c>
      <c r="L302" s="3" t="str">
        <f>VLOOKUP($A302,Hebrew!$A:$S,9,0)</f>
        <v>Younis Tirawi (@ytirawi)</v>
      </c>
      <c r="M302" s="2"/>
      <c r="N302" s="2"/>
      <c r="O302" s="3" t="s">
        <v>26</v>
      </c>
      <c r="P302" s="3" t="s">
        <v>395</v>
      </c>
      <c r="Q302" s="3" t="str">
        <f>VLOOKUP($A302,Hebrew!$A:$S,13,0)</f>
        <v>חאן יונס</v>
      </c>
      <c r="R302" s="3" t="s">
        <v>396</v>
      </c>
      <c r="S302" s="3" t="s">
        <v>700</v>
      </c>
      <c r="T302" s="3" t="s">
        <v>1895</v>
      </c>
      <c r="U302" s="3" t="s">
        <v>43</v>
      </c>
      <c r="V302" s="3" t="s">
        <v>1109</v>
      </c>
      <c r="W302" s="2"/>
      <c r="X302" s="2"/>
      <c r="Y302" s="2"/>
    </row>
    <row r="303" spans="1:25" x14ac:dyDescent="0.2">
      <c r="A303" s="3">
        <v>1022</v>
      </c>
      <c r="B303" s="4" t="s">
        <v>1896</v>
      </c>
      <c r="C303" s="3" t="s">
        <v>1897</v>
      </c>
      <c r="D303" s="3" t="str">
        <f>VLOOKUP(A303,Hebrew!A:C,3,0)</f>
        <v>ישראל סייעה לקצין מילואים בצה"ל לברוח מקפריסין נוכח חקירת פשעי מלחמה</v>
      </c>
      <c r="E303" s="3" t="s">
        <v>1898</v>
      </c>
      <c r="F303" s="3" t="str">
        <f>VLOOKUP($A303,Hebrew!$A:$S,4,0)</f>
        <v>התקשורת הישראלית מאשרת שהממשלה סייעה לקצין צה"ל לברוח מקפריסין כדי להימנע ממעצר בגין פשעי מלחמה לאחר תלונה של קרן הינד רג'אב.</v>
      </c>
      <c r="G303" s="3" t="s">
        <v>866</v>
      </c>
      <c r="H303" s="2"/>
      <c r="I303" s="2"/>
      <c r="J303" s="3" t="s">
        <v>393</v>
      </c>
      <c r="K303" s="3" t="s">
        <v>1899</v>
      </c>
      <c r="L303" s="3" t="str">
        <f>VLOOKUP($A303,Hebrew!$A:$S,9,0)</f>
        <v>Hind Rajab Foundation (@HindRFoundation)</v>
      </c>
      <c r="M303" s="2"/>
      <c r="N303" s="4" t="s">
        <v>1900</v>
      </c>
      <c r="O303" s="3" t="s">
        <v>26</v>
      </c>
      <c r="P303" s="3" t="s">
        <v>1901</v>
      </c>
      <c r="Q303" s="3" t="str">
        <f>VLOOKUP($A303,Hebrew!$A:$S,13,0)</f>
        <v>קפריסין</v>
      </c>
      <c r="R303" s="3" t="s">
        <v>396</v>
      </c>
      <c r="S303" s="3" t="s">
        <v>29</v>
      </c>
      <c r="T303" s="3" t="s">
        <v>1902</v>
      </c>
      <c r="U303" s="3" t="s">
        <v>1903</v>
      </c>
      <c r="V303" s="3" t="s">
        <v>1901</v>
      </c>
      <c r="W303" s="2"/>
      <c r="X303" s="2"/>
      <c r="Y303" s="2"/>
    </row>
    <row r="304" spans="1:25" x14ac:dyDescent="0.2">
      <c r="A304" s="3">
        <v>2110</v>
      </c>
      <c r="B304" s="4" t="s">
        <v>1904</v>
      </c>
      <c r="C304" s="3" t="s">
        <v>1905</v>
      </c>
      <c r="D304" s="3" t="str">
        <f>VLOOKUP(A304,Hebrew!A:C,3,0)</f>
        <v>שרפת בית הספר חמאד בבית לאהיא (מיקום גיאוגרפי - גיאולוקציה)</v>
      </c>
      <c r="E304" s="3" t="s">
        <v>1906</v>
      </c>
      <c r="F304" s="3" t="str">
        <f>VLOOKUP($A304,Hebrew!$A:$S,4,0)</f>
        <v>חיילי גדוד 432 של צה"ל שורפים את בית הספר חמאד בבית לאהיא. תושבי עזה שתפסו שם מחסה, סמוך לבית החולים האינדונזי, נעקרו ממקומם.</v>
      </c>
      <c r="G304" s="3" t="s">
        <v>1907</v>
      </c>
      <c r="H304" s="3" t="s">
        <v>1908</v>
      </c>
      <c r="I304" s="3" t="s">
        <v>1908</v>
      </c>
      <c r="J304" s="3" t="s">
        <v>393</v>
      </c>
      <c r="K304" s="3" t="s">
        <v>1164</v>
      </c>
      <c r="L304" s="3" t="str">
        <f>VLOOKUP($A304,Hebrew!$A:$S,9,0)</f>
        <v>Abu Location (@AbuLocation)</v>
      </c>
      <c r="M304" s="2"/>
      <c r="N304" s="6" t="s">
        <v>1909</v>
      </c>
      <c r="O304" s="3" t="s">
        <v>26</v>
      </c>
      <c r="P304" s="3" t="s">
        <v>1910</v>
      </c>
      <c r="Q304" s="3" t="str">
        <f>VLOOKUP($A304,Hebrew!$A:$S,13,0)</f>
        <v>בית לאהיא</v>
      </c>
      <c r="R304" s="3" t="s">
        <v>396</v>
      </c>
      <c r="S304" s="3" t="s">
        <v>455</v>
      </c>
      <c r="T304" s="3" t="s">
        <v>1911</v>
      </c>
      <c r="U304" s="3" t="s">
        <v>43</v>
      </c>
      <c r="V304" s="3" t="s">
        <v>1912</v>
      </c>
      <c r="W304" s="2"/>
      <c r="X304" s="2"/>
      <c r="Y304" s="2"/>
    </row>
    <row r="305" spans="1:25" x14ac:dyDescent="0.2">
      <c r="A305" s="3">
        <v>2111</v>
      </c>
      <c r="B305" s="4" t="s">
        <v>1913</v>
      </c>
      <c r="C305" s="3" t="s">
        <v>1914</v>
      </c>
      <c r="D305" s="3" t="str">
        <f>VLOOKUP(A305,Hebrew!A:C,3,0)</f>
        <v>קבורת קורבנות לא מזוהים מחוץ לבית החולים כמאל עדואן (מיקום גיאוגרפי - גיאולוקציה)</v>
      </c>
      <c r="E305" s="3" t="s">
        <v>1915</v>
      </c>
      <c r="F305" s="3" t="str">
        <f>VLOOKUP($A305,Hebrew!$A:$S,4,0)</f>
        <v>קבורת קורבנות לא מזוהים מחוץ לחומות בית החולים כמאל עדואן היא שיא האסון ההומניטרי והרפואי בג'באליה ובית לאהיא.</v>
      </c>
      <c r="G305" s="3" t="s">
        <v>1916</v>
      </c>
      <c r="H305" s="3" t="s">
        <v>1916</v>
      </c>
      <c r="I305" s="3" t="s">
        <v>1917</v>
      </c>
      <c r="J305" s="3" t="s">
        <v>393</v>
      </c>
      <c r="K305" s="3" t="s">
        <v>1164</v>
      </c>
      <c r="L305" s="3" t="str">
        <f>VLOOKUP($A305,Hebrew!$A:$S,9,0)</f>
        <v>Abu Location (@AbuLocation)</v>
      </c>
      <c r="M305" s="2"/>
      <c r="N305" s="6" t="s">
        <v>1918</v>
      </c>
      <c r="O305" s="3" t="s">
        <v>26</v>
      </c>
      <c r="P305" s="3" t="s">
        <v>51</v>
      </c>
      <c r="Q305" s="3" t="str">
        <f>VLOOKUP($A305,Hebrew!$A:$S,13,0)</f>
        <v>בית החולים כמאל עדואן</v>
      </c>
      <c r="R305" s="3" t="s">
        <v>396</v>
      </c>
      <c r="S305" s="3" t="s">
        <v>397</v>
      </c>
      <c r="T305" s="3" t="s">
        <v>1919</v>
      </c>
      <c r="U305" s="3" t="s">
        <v>652</v>
      </c>
      <c r="V305" s="3" t="s">
        <v>1920</v>
      </c>
      <c r="W305" s="2"/>
      <c r="X305" s="2"/>
      <c r="Y305" s="2"/>
    </row>
    <row r="306" spans="1:25" x14ac:dyDescent="0.2">
      <c r="A306" s="3">
        <v>2112</v>
      </c>
      <c r="B306" s="4" t="s">
        <v>1921</v>
      </c>
      <c r="C306" s="3" t="s">
        <v>1922</v>
      </c>
      <c r="D306" s="3" t="str">
        <f>VLOOKUP(A306,Hebrew!A:C,3,0)</f>
        <v>כוחות ישראליים מפנים בית ספר זמן קצר לאחר שהסיוע הועבר אליו (מיקום גיאוגרפי - גיאולוקציה)</v>
      </c>
      <c r="E306" s="3" t="s">
        <v>1923</v>
      </c>
      <c r="F306" s="3" t="str">
        <f>VLOOKUP($A306,Hebrew!$A:$S,4,0)</f>
        <v>צה"ל מפנה שלושה בתי ספר בבית חנון זמן קצר לאחר שסיוע של מזון/מים מגיע לאחד מהם לראשונה לאחר חודש וחצי.</v>
      </c>
      <c r="G306" s="3" t="s">
        <v>1924</v>
      </c>
      <c r="H306" s="3" t="s">
        <v>1924</v>
      </c>
      <c r="I306" s="3" t="s">
        <v>1924</v>
      </c>
      <c r="J306" s="3" t="s">
        <v>393</v>
      </c>
      <c r="K306" s="3" t="s">
        <v>1164</v>
      </c>
      <c r="L306" s="3" t="str">
        <f>VLOOKUP($A306,Hebrew!$A:$S,9,0)</f>
        <v>Abu Location (@AbuLocation)</v>
      </c>
      <c r="M306" s="2"/>
      <c r="N306" s="6" t="s">
        <v>1925</v>
      </c>
      <c r="O306" s="3" t="s">
        <v>26</v>
      </c>
      <c r="P306" s="3" t="s">
        <v>1926</v>
      </c>
      <c r="Q306" s="3" t="str">
        <f>VLOOKUP($A306,Hebrew!$A:$S,13,0)</f>
        <v>בית הספר לבנים, בית חאנון</v>
      </c>
      <c r="R306" s="3" t="s">
        <v>396</v>
      </c>
      <c r="S306" s="3" t="s">
        <v>1535</v>
      </c>
      <c r="T306" s="3" t="s">
        <v>1927</v>
      </c>
      <c r="U306" s="3" t="s">
        <v>43</v>
      </c>
      <c r="V306" s="3" t="s">
        <v>1928</v>
      </c>
      <c r="W306" s="2"/>
      <c r="X306" s="2"/>
      <c r="Y306" s="2"/>
    </row>
    <row r="307" spans="1:25" x14ac:dyDescent="0.2">
      <c r="A307" s="3">
        <v>2113</v>
      </c>
      <c r="B307" s="4" t="s">
        <v>1929</v>
      </c>
      <c r="C307" s="3" t="s">
        <v>1930</v>
      </c>
      <c r="D307" s="3" t="str">
        <f>VLOOKUP(A307,Hebrew!A:C,3,0)</f>
        <v>הפצצה ישראלית כבדה על בית לאהיא (מיקום גיאוגרפי - גיאולוקציה)</v>
      </c>
      <c r="E307" s="3" t="s">
        <v>1931</v>
      </c>
      <c r="F307" s="3" t="str">
        <f>VLOOKUP($A307,Hebrew!$A:$S,4,0)</f>
        <v>אחת מההתקפות האוויריות הגדולות ביותר על בית לאהיא כחלק מהמבצע בצפון עזה בסוף 2024</v>
      </c>
      <c r="G307" s="3" t="s">
        <v>216</v>
      </c>
      <c r="H307" s="3" t="s">
        <v>1932</v>
      </c>
      <c r="I307" s="3" t="s">
        <v>1932</v>
      </c>
      <c r="J307" s="3" t="s">
        <v>393</v>
      </c>
      <c r="K307" s="3" t="s">
        <v>1164</v>
      </c>
      <c r="L307" s="3" t="str">
        <f>VLOOKUP($A307,Hebrew!$A:$S,9,0)</f>
        <v>Abu Location (@AbuLocation)</v>
      </c>
      <c r="M307" s="2"/>
      <c r="N307" s="6" t="s">
        <v>1933</v>
      </c>
      <c r="O307" s="3" t="s">
        <v>26</v>
      </c>
      <c r="P307" s="3" t="s">
        <v>1934</v>
      </c>
      <c r="Q307" s="3" t="str">
        <f>VLOOKUP($A307,Hebrew!$A:$S,13,0)</f>
        <v>צפון רצועת עזה, בית לאהיא</v>
      </c>
      <c r="R307" s="3" t="s">
        <v>396</v>
      </c>
      <c r="S307" s="3" t="s">
        <v>405</v>
      </c>
      <c r="T307" s="3" t="s">
        <v>1935</v>
      </c>
      <c r="U307" s="3" t="s">
        <v>43</v>
      </c>
      <c r="V307" s="3" t="s">
        <v>1936</v>
      </c>
      <c r="W307" s="2"/>
      <c r="X307" s="2"/>
      <c r="Y307" s="2"/>
    </row>
    <row r="308" spans="1:25" x14ac:dyDescent="0.2">
      <c r="A308" s="3">
        <v>14</v>
      </c>
      <c r="B308" s="4" t="s">
        <v>1937</v>
      </c>
      <c r="C308" s="3" t="s">
        <v>1938</v>
      </c>
      <c r="D308" s="3" t="str">
        <f>VLOOKUP(A308,Hebrew!A:C,3,0)</f>
        <v>סוכנות המזון של האומות המאוחדות מזהירה כי המסלול הימי החדש של ארצות הברית לסיוע לעזה עלול להיכשל אם התנאים לא ישתפרו.</v>
      </c>
      <c r="E308" s="3" t="s">
        <v>1939</v>
      </c>
      <c r="F308" s="3" t="str">
        <f>VLOOKUP($A308,Hebrew!$A:$S,4,0)</f>
        <v>בעקבות מותו של אזרח מיריית רובה בתוך קהל אנשים שלקחו סחורות ממשאיות סיוע, תוכנית המזון של האומות המאוחדות מזהירה שהמסלול הימי החדש של ארצות הברית להעברת סיוע לעזה, המבוסס על מזח שנבנה על ידי ארצות הברית, עשוי להיכשל אלא אם ישראל תשפר את התנאים לפעולות הומניטריות.</v>
      </c>
      <c r="G308" s="3" t="s">
        <v>437</v>
      </c>
      <c r="H308" s="3" t="s">
        <v>1761</v>
      </c>
      <c r="I308" s="3" t="s">
        <v>1761</v>
      </c>
      <c r="J308" s="3" t="s">
        <v>1684</v>
      </c>
      <c r="K308" s="3" t="s">
        <v>1940</v>
      </c>
      <c r="L308" s="3" t="str">
        <f>VLOOKUP($A308,Hebrew!$A:$S,9,0)</f>
        <v>אלן קניקמאייר, סמי מגדי</v>
      </c>
      <c r="M308" s="2"/>
      <c r="N308" s="2"/>
      <c r="O308" s="3" t="s">
        <v>26</v>
      </c>
      <c r="P308" s="3" t="s">
        <v>27</v>
      </c>
      <c r="Q308" s="3" t="str">
        <f>VLOOKUP($A308,Hebrew!$A:$S,13,0)</f>
        <v>רצועת עזה</v>
      </c>
      <c r="R308" s="3" t="s">
        <v>1215</v>
      </c>
      <c r="S308" s="3" t="s">
        <v>397</v>
      </c>
      <c r="T308" s="3" t="s">
        <v>1941</v>
      </c>
      <c r="U308" s="3" t="s">
        <v>1942</v>
      </c>
      <c r="V308" s="3" t="s">
        <v>1943</v>
      </c>
      <c r="W308" s="2"/>
      <c r="X308" s="2"/>
      <c r="Y308" s="2"/>
    </row>
    <row r="309" spans="1:25" x14ac:dyDescent="0.2">
      <c r="A309" s="3">
        <v>13</v>
      </c>
      <c r="B309" s="4" t="s">
        <v>1944</v>
      </c>
      <c r="C309" s="3" t="s">
        <v>1945</v>
      </c>
      <c r="D309" s="3" t="str">
        <f>VLOOKUP(A309,Hebrew!A:C,3,0)</f>
        <v>האומות המאוחדות מפסיקות את כל חלוקת המזון ברפיח לאחר שנגמר המלאי.</v>
      </c>
      <c r="E309" s="3" t="s">
        <v>1946</v>
      </c>
      <c r="F309" s="3" t="str">
        <f>VLOOKUP($A309,Hebrew!$A:$S,4,0)</f>
        <v>האומות המאוחדות השעו את חלוקת המזון ברפיח בשל חוסר במלאי ובגלל המצב הביטחוני המדרדר לאור המבצעים הצבאיים של ישראל.</v>
      </c>
      <c r="G309" s="3" t="s">
        <v>437</v>
      </c>
      <c r="H309" s="3" t="s">
        <v>1761</v>
      </c>
      <c r="I309" s="3" t="s">
        <v>1761</v>
      </c>
      <c r="J309" s="3" t="s">
        <v>1684</v>
      </c>
      <c r="K309" s="3" t="s">
        <v>1947</v>
      </c>
      <c r="L309" s="3" t="str">
        <f>VLOOKUP($A309,Hebrew!$A:$S,9,0)</f>
        <v>טיה גולדןברג, סמי מגדי, לי קית'</v>
      </c>
      <c r="M309" s="2"/>
      <c r="N309" s="2"/>
      <c r="O309" s="3" t="s">
        <v>26</v>
      </c>
      <c r="P309" s="3" t="s">
        <v>439</v>
      </c>
      <c r="Q309" s="3" t="str">
        <f>VLOOKUP($A309,Hebrew!$A:$S,13,0)</f>
        <v>רפיח</v>
      </c>
      <c r="R309" s="3" t="s">
        <v>1215</v>
      </c>
      <c r="S309" s="3" t="s">
        <v>29</v>
      </c>
      <c r="T309" s="3" t="s">
        <v>1948</v>
      </c>
      <c r="U309" s="3" t="s">
        <v>1949</v>
      </c>
      <c r="V309" s="3" t="s">
        <v>1950</v>
      </c>
      <c r="W309" s="3" t="s">
        <v>1951</v>
      </c>
      <c r="X309" s="2"/>
      <c r="Y309" s="2"/>
    </row>
    <row r="310" spans="1:25" x14ac:dyDescent="0.2">
      <c r="A310" s="3">
        <v>422</v>
      </c>
      <c r="B310" s="4" t="s">
        <v>1952</v>
      </c>
      <c r="C310" s="3" t="s">
        <v>1953</v>
      </c>
      <c r="D310" s="3" t="str">
        <f>VLOOKUP(A310,Hebrew!A:C,3,0)</f>
        <v>דובר יוניסף מקליט סרטון של עצמו בבית החולים נאסר הריק וחלקית ההרוס לאחר פינויו במרץ 2024</v>
      </c>
      <c r="E310" s="3" t="s">
        <v>1954</v>
      </c>
      <c r="F310" s="3" t="str">
        <f>VLOOKUP($A310,Hebrew!$A:$S,4,0)</f>
        <v>דוברת יוניסף מצלמת סרטון של בית החולים נאסאר הריק לאחר פינויו במרץ 2024. בית החולים שרוף וחלקית הרוס. הדגש בסרטון הוא על ילדים.</v>
      </c>
      <c r="G310" s="3" t="s">
        <v>1955</v>
      </c>
      <c r="H310" s="2"/>
      <c r="I310" s="2"/>
      <c r="J310" s="3" t="s">
        <v>393</v>
      </c>
      <c r="K310" s="3" t="s">
        <v>1956</v>
      </c>
      <c r="L310" s="3" t="str">
        <f>VLOOKUP($A310,Hebrew!$A:$S,9,0)</f>
        <v>James Elder (@1james_elder)</v>
      </c>
      <c r="M310" s="2"/>
      <c r="N310" s="2"/>
      <c r="O310" s="3" t="s">
        <v>26</v>
      </c>
      <c r="P310" s="3" t="s">
        <v>1957</v>
      </c>
      <c r="Q310" s="3" t="str">
        <f>VLOOKUP($A310,Hebrew!$A:$S,13,0)</f>
        <v>בית החולים נאסר</v>
      </c>
      <c r="R310" s="3" t="s">
        <v>396</v>
      </c>
      <c r="S310" s="3" t="s">
        <v>413</v>
      </c>
      <c r="T310" s="3" t="s">
        <v>1958</v>
      </c>
      <c r="U310" s="3" t="s">
        <v>1959</v>
      </c>
      <c r="V310" s="3" t="s">
        <v>958</v>
      </c>
      <c r="W310" s="3" t="s">
        <v>1659</v>
      </c>
      <c r="X310" s="2"/>
      <c r="Y310" s="2"/>
    </row>
    <row r="311" spans="1:25" x14ac:dyDescent="0.2">
      <c r="A311" s="3">
        <v>2215</v>
      </c>
      <c r="B311" s="4" t="s">
        <v>1960</v>
      </c>
      <c r="C311" s="3" t="s">
        <v>1961</v>
      </c>
      <c r="D311" s="3" t="str">
        <f>VLOOKUP(A311,Hebrew!A:C,3,0)</f>
        <v>עיתונאי מעזה משקף כיצד חבר משפחה איבד הכל במהלך המלחמה.</v>
      </c>
      <c r="E311" s="3" t="s">
        <v>1962</v>
      </c>
      <c r="F311" s="3" t="str">
        <f>VLOOKUP($A311,Hebrew!$A:$S,4,0)</f>
        <v>אובדן ואבל הפכו את תושב עזה שהיה פעם משגשג לנטוש ולחסר כל. הוא דיווח שאיבד את כל בני משפחתו וישן ברחוב.</v>
      </c>
      <c r="G311" s="3" t="s">
        <v>200</v>
      </c>
      <c r="H311" s="3" t="s">
        <v>200</v>
      </c>
      <c r="I311" s="3" t="s">
        <v>200</v>
      </c>
      <c r="J311" s="3" t="s">
        <v>393</v>
      </c>
      <c r="K311" s="3" t="s">
        <v>1258</v>
      </c>
      <c r="L311" s="3" t="str">
        <f>VLOOKUP($A311,Hebrew!$A:$S,9,0)</f>
        <v>Hossam Shabat (@HossamShabat)</v>
      </c>
      <c r="M311" s="2"/>
      <c r="N311" s="2"/>
      <c r="O311" s="3" t="s">
        <v>26</v>
      </c>
      <c r="P311" s="3" t="s">
        <v>27</v>
      </c>
      <c r="Q311" s="3" t="str">
        <f>VLOOKUP($A311,Hebrew!$A:$S,13,0)</f>
        <v>רצועת עזה</v>
      </c>
      <c r="R311" s="3" t="s">
        <v>396</v>
      </c>
      <c r="S311" s="3" t="s">
        <v>29</v>
      </c>
      <c r="T311" s="3" t="s">
        <v>1963</v>
      </c>
      <c r="U311" s="2"/>
      <c r="V311" s="3" t="s">
        <v>27</v>
      </c>
      <c r="W311" s="3" t="s">
        <v>334</v>
      </c>
      <c r="X311" s="2"/>
      <c r="Y311" s="2"/>
    </row>
    <row r="312" spans="1:25" x14ac:dyDescent="0.2">
      <c r="A312" s="3">
        <v>2185</v>
      </c>
      <c r="B312" s="4" t="s">
        <v>1964</v>
      </c>
      <c r="C312" s="3" t="s">
        <v>1965</v>
      </c>
      <c r="D312" s="3" t="str">
        <f>VLOOKUP(A312,Hebrew!A:C,3,0)</f>
        <v>מנהל בית החולים אל-אהלי הבפטיסטי מדבר על המצב הבריאותי בעזה</v>
      </c>
      <c r="E312" s="3" t="s">
        <v>1966</v>
      </c>
      <c r="F312" s="3" t="str">
        <f>VLOOKUP($A312,Hebrew!$A:$S,4,0)</f>
        <v>ד"ר פאדל נעים, מנהל בית החולים הבפטיסטי אל-אהלי, מדבר בהרחבה על המצב הבריאותי הקשה בעזה. הוא קורא לרשויות הישראליות לטפל בצרכים הדחופים של צוות רפואי, ציוד ושיקום בתי חולים שנפגעו.</v>
      </c>
      <c r="G312" s="3" t="s">
        <v>327</v>
      </c>
      <c r="H312" s="2"/>
      <c r="I312" s="2"/>
      <c r="J312" s="3" t="s">
        <v>393</v>
      </c>
      <c r="K312" s="3" t="s">
        <v>1297</v>
      </c>
      <c r="L312" s="3" t="str">
        <f>VLOOKUP($A312,Hebrew!$A:$S,9,0)</f>
        <v>Dr Muneer Albourah (@Dr_Muneer1)</v>
      </c>
      <c r="M312" s="2"/>
      <c r="N312" s="2"/>
      <c r="O312" s="3" t="s">
        <v>1011</v>
      </c>
      <c r="P312" s="3" t="s">
        <v>1967</v>
      </c>
      <c r="Q312" s="3" t="str">
        <f>VLOOKUP($A312,Hebrew!$A:$S,13,0)</f>
        <v>בית החולים אל-אהלי הבפטיסטי</v>
      </c>
      <c r="R312" s="3" t="s">
        <v>396</v>
      </c>
      <c r="S312" s="3" t="s">
        <v>413</v>
      </c>
      <c r="T312" s="3" t="s">
        <v>1968</v>
      </c>
      <c r="U312" s="3" t="s">
        <v>43</v>
      </c>
      <c r="V312" s="3" t="s">
        <v>1969</v>
      </c>
      <c r="W312" s="2"/>
      <c r="X312" s="2"/>
      <c r="Y312" s="2"/>
    </row>
    <row r="313" spans="1:25" x14ac:dyDescent="0.2">
      <c r="A313" s="3">
        <v>2186</v>
      </c>
      <c r="B313" s="4" t="s">
        <v>1970</v>
      </c>
      <c r="C313" s="3" t="s">
        <v>1971</v>
      </c>
      <c r="D313" s="3" t="str">
        <f>VLOOKUP(A313,Hebrew!A:C,3,0)</f>
        <v>טענות צה"ל על סיוע הנכנס לעזה סותרות את דיווחי העיתונאים הפלסטינים</v>
      </c>
      <c r="E313" s="3" t="s">
        <v>1972</v>
      </c>
      <c r="F313" s="3" t="str">
        <f>VLOOKUP($A313,Hebrew!$A:$S,4,0)</f>
        <v>חדשות דרופסייט מדווחות כי למרות שצה״ל טוען כי מאות משאיות סיוע נכנסו לרצועת עזה, עיתונאים פלסטינים טוענים כי האזורים המוקפים בעזה לא מקבלים מזון. ההקשר הוא המצור ההדוק על צפון עזה כחלק ממבצע משמעותי שם בסוף 2024.</v>
      </c>
      <c r="G313" s="3" t="s">
        <v>22</v>
      </c>
      <c r="H313" s="2"/>
      <c r="I313" s="2"/>
      <c r="J313" s="3" t="s">
        <v>393</v>
      </c>
      <c r="K313" s="3" t="s">
        <v>1315</v>
      </c>
      <c r="L313" s="3" t="str">
        <f>VLOOKUP($A313,Hebrew!$A:$S,9,0)</f>
        <v>Dropsite News (@DropSiteNews)</v>
      </c>
      <c r="M313" s="3" t="s">
        <v>1973</v>
      </c>
      <c r="N313" s="4" t="s">
        <v>1370</v>
      </c>
      <c r="O313" s="3" t="s">
        <v>26</v>
      </c>
      <c r="P313" s="3" t="s">
        <v>212</v>
      </c>
      <c r="Q313" s="3" t="str">
        <f>VLOOKUP($A313,Hebrew!$A:$S,13,0)</f>
        <v>צפון רצועת עזה</v>
      </c>
      <c r="R313" s="3" t="s">
        <v>396</v>
      </c>
      <c r="S313" s="3" t="s">
        <v>405</v>
      </c>
      <c r="T313" s="3" t="s">
        <v>1974</v>
      </c>
      <c r="U313" s="3" t="s">
        <v>1975</v>
      </c>
      <c r="V313" s="3" t="s">
        <v>212</v>
      </c>
      <c r="W313" s="3" t="s">
        <v>334</v>
      </c>
      <c r="X313" s="2"/>
      <c r="Y313" s="2"/>
    </row>
    <row r="314" spans="1:25" x14ac:dyDescent="0.2">
      <c r="A314" s="3">
        <v>2188</v>
      </c>
      <c r="B314" s="4" t="s">
        <v>1976</v>
      </c>
      <c r="C314" s="3" t="s">
        <v>1977</v>
      </c>
      <c r="D314" s="3" t="str">
        <f>VLOOKUP(A314,Hebrew!A:C,3,0)</f>
        <v>המזרח התיכון: סיכום יומי</v>
      </c>
      <c r="E314" s="3" t="s">
        <v>1978</v>
      </c>
      <c r="F314" s="3" t="str">
        <f>VLOOKUP($A314,Hebrew!$A:$S,4,0)</f>
        <v>או"ח"א מדווחת כי ישראל הרגה 343 אנשים ב-7 "מקרי הרג המוניים" ב-6 ימים ברחבי רצועת עזה. כוחות ישראליים הטילו מצור על מחנה הפליטים נור שמס ליד טול כרם והוציאו להורג מנהיג חמאס לכאורה במחנה הפליטים בטול כרם. התקפות ישראליות בלבנון גובות תשעה עשר קורבנות בלבנון. ארצות הברית "מוצפת בטענות כי נשק אמריקאי הרג אזרחים בעזה."</v>
      </c>
      <c r="G314" s="3" t="s">
        <v>192</v>
      </c>
      <c r="H314" s="3" t="s">
        <v>625</v>
      </c>
      <c r="I314" s="3" t="s">
        <v>101</v>
      </c>
      <c r="J314" s="3" t="s">
        <v>393</v>
      </c>
      <c r="K314" s="3" t="s">
        <v>1315</v>
      </c>
      <c r="L314" s="3" t="str">
        <f>VLOOKUP($A314,Hebrew!$A:$S,9,0)</f>
        <v>Dropsite News (@DropSiteNews)</v>
      </c>
      <c r="M314" s="3" t="s">
        <v>1324</v>
      </c>
      <c r="N314" s="2"/>
      <c r="O314" s="3" t="s">
        <v>26</v>
      </c>
      <c r="P314" s="3" t="s">
        <v>1979</v>
      </c>
      <c r="Q314" s="3" t="str">
        <f>VLOOKUP($A314,Hebrew!$A:$S,13,0)</f>
        <v>בית לאהיה, נוסייראת, מחנה הפליטים ג'בליה, חאן יונס, מחנה הפליטים אלשאטי, טול כרם, נור שמס, בעלבכ</v>
      </c>
      <c r="R314" s="3" t="s">
        <v>396</v>
      </c>
      <c r="S314" s="3" t="s">
        <v>455</v>
      </c>
      <c r="T314" s="3" t="s">
        <v>1980</v>
      </c>
      <c r="U314" s="3" t="s">
        <v>1981</v>
      </c>
      <c r="V314" s="3" t="s">
        <v>1982</v>
      </c>
      <c r="W314" s="2"/>
      <c r="X314" s="2"/>
      <c r="Y314" s="2"/>
    </row>
    <row r="315" spans="1:25" x14ac:dyDescent="0.2">
      <c r="A315" s="3">
        <v>2195</v>
      </c>
      <c r="B315" s="4" t="s">
        <v>1983</v>
      </c>
      <c r="C315" s="3" t="s">
        <v>1984</v>
      </c>
      <c r="D315" s="3" t="str">
        <f>VLOOKUP(A315,Hebrew!A:C,3,0)</f>
        <v>עדכון מבית החולים קמאל אדואן, צפון עזה</v>
      </c>
      <c r="E315" s="3" t="s">
        <v>1985</v>
      </c>
      <c r="F315" s="3" t="str">
        <f>VLOOKUP($A315,Hebrew!$A:$S,4,0)</f>
        <v>מנהל בית החולים, ד"ר חוסאם אבו ספיה, משתף פרטים על התקיפות האוויריות בצפון עזה שהותירו 88 הרוגים. הוא מתאר את החיפוש אחרי המתים מתחת להריסות ודן בחוסר הצוותים הרפואיים והכירורגיים, בציוד ובמתקנים, כמו גם בתת-תזונה. ד"ר אבו ספיה גם מזכיר כי צוותים רפואיים היו מטרה לירי מכטב"מים.</v>
      </c>
      <c r="G315" s="3" t="s">
        <v>199</v>
      </c>
      <c r="H315" s="3" t="s">
        <v>650</v>
      </c>
      <c r="I315" s="3" t="s">
        <v>199</v>
      </c>
      <c r="J315" s="3" t="s">
        <v>393</v>
      </c>
      <c r="K315" s="3" t="s">
        <v>1315</v>
      </c>
      <c r="L315" s="3" t="str">
        <f>VLOOKUP($A315,Hebrew!$A:$S,9,0)</f>
        <v>Dropsite News (@DropSiteNews)</v>
      </c>
      <c r="M315" s="3" t="s">
        <v>135</v>
      </c>
      <c r="N315" s="2"/>
      <c r="O315" s="3" t="s">
        <v>26</v>
      </c>
      <c r="P315" s="3" t="s">
        <v>51</v>
      </c>
      <c r="Q315" s="3" t="str">
        <f>VLOOKUP($A315,Hebrew!$A:$S,13,0)</f>
        <v>בית החולים כמאל עדואן</v>
      </c>
      <c r="R315" s="3" t="s">
        <v>396</v>
      </c>
      <c r="S315" s="3" t="s">
        <v>413</v>
      </c>
      <c r="T315" s="3" t="s">
        <v>1986</v>
      </c>
      <c r="U315" s="3" t="s">
        <v>628</v>
      </c>
      <c r="V315" s="3" t="s">
        <v>1987</v>
      </c>
      <c r="W315" s="3" t="s">
        <v>630</v>
      </c>
      <c r="X315" s="2"/>
      <c r="Y315" s="2"/>
    </row>
    <row r="316" spans="1:25" x14ac:dyDescent="0.2">
      <c r="A316" s="3">
        <v>2196</v>
      </c>
      <c r="B316" s="4" t="s">
        <v>1988</v>
      </c>
      <c r="C316" s="3" t="s">
        <v>1989</v>
      </c>
      <c r="D316" s="3" t="str">
        <f>VLOOKUP(A316,Hebrew!A:C,3,0)</f>
        <v>התקפות חדשות על בית החולים קמאל אדואן</v>
      </c>
      <c r="E316" s="3" t="s">
        <v>1990</v>
      </c>
      <c r="F316" s="3" t="str">
        <f>VLOOKUP($A316,Hebrew!$A:$S,4,0)</f>
        <v>ד"ר חוסאם אבו ספיה מתקשר לעיתונאי הגזאי אנאס אל שריף כדי לדווח על התקפות מתמשכות על בית החולים קמאל אדואן: "אנחנו מתים... תעבירו את המסר שלנו לעולם..."</v>
      </c>
      <c r="G316" s="3" t="s">
        <v>199</v>
      </c>
      <c r="H316" s="3" t="s">
        <v>199</v>
      </c>
      <c r="I316" s="3" t="s">
        <v>199</v>
      </c>
      <c r="J316" s="3" t="s">
        <v>393</v>
      </c>
      <c r="K316" s="3" t="s">
        <v>1315</v>
      </c>
      <c r="L316" s="3" t="str">
        <f>VLOOKUP($A316,Hebrew!$A:$S,9,0)</f>
        <v>Dropsite News (@DropSiteNews)</v>
      </c>
      <c r="M316" s="2"/>
      <c r="N316" s="4" t="s">
        <v>1991</v>
      </c>
      <c r="O316" s="3" t="s">
        <v>1011</v>
      </c>
      <c r="P316" s="3" t="s">
        <v>51</v>
      </c>
      <c r="Q316" s="3" t="str">
        <f>VLOOKUP($A316,Hebrew!$A:$S,13,0)</f>
        <v>בית החולים כמאל עדואן</v>
      </c>
      <c r="R316" s="3" t="s">
        <v>396</v>
      </c>
      <c r="S316" s="3" t="s">
        <v>413</v>
      </c>
      <c r="T316" s="3" t="s">
        <v>1992</v>
      </c>
      <c r="U316" s="3" t="s">
        <v>628</v>
      </c>
      <c r="V316" s="3" t="s">
        <v>1993</v>
      </c>
      <c r="W316" s="3" t="s">
        <v>630</v>
      </c>
      <c r="X316" s="2"/>
      <c r="Y316" s="2"/>
    </row>
    <row r="317" spans="1:25" x14ac:dyDescent="0.2">
      <c r="A317" s="3">
        <v>1256</v>
      </c>
      <c r="B317" s="4" t="s">
        <v>1994</v>
      </c>
      <c r="C317" s="3" t="s">
        <v>1995</v>
      </c>
      <c r="D317" s="3" t="str">
        <f>VLOOKUP(A317,Hebrew!A:C,3,0)</f>
        <v>‘כולם הלכו, אין לי אף אחד’: סיפור של צעירה חושף זוועות שלא תועדו בעבר בעזה</v>
      </c>
      <c r="E317" s="3" t="s">
        <v>1996</v>
      </c>
      <c r="F317" s="3" t="str">
        <f>VLOOKUP($A317,Hebrew!$A:$S,4,0)</f>
        <v>חקר של CNN (9:29 דקות) חושף זוועות שלא תועדו בעבר בעזה, ומדגיש את ההשפעה של התקפות ישראליות אקראיות על אזרחים. במיוחד, נמצאו מספר גופות בבניין שבו נפצעה אישה ששרדה. ההפצצה הייתה ככל הנראה بمפצצה במשקל 2,000 פאונד.</v>
      </c>
      <c r="G317" s="3" t="s">
        <v>1997</v>
      </c>
      <c r="H317" s="7">
        <v>45295</v>
      </c>
      <c r="I317" s="7">
        <v>45305</v>
      </c>
      <c r="J317" s="3" t="s">
        <v>135</v>
      </c>
      <c r="K317" s="3" t="s">
        <v>135</v>
      </c>
      <c r="L317" s="3" t="str">
        <f>VLOOKUP($A317,Hebrew!$A:$S,9,0)</f>
        <v>CNN</v>
      </c>
      <c r="M317" s="2"/>
      <c r="N317" s="2"/>
      <c r="O317" s="3" t="s">
        <v>26</v>
      </c>
      <c r="P317" s="3" t="s">
        <v>1998</v>
      </c>
      <c r="Q317" s="3" t="str">
        <f>VLOOKUP($A317,Hebrew!$A:$S,13,0)</f>
        <v>רחוב סלאח-א-דין, עזה</v>
      </c>
      <c r="R317" s="3" t="s">
        <v>1215</v>
      </c>
      <c r="S317" s="3" t="s">
        <v>982</v>
      </c>
      <c r="T317" s="3" t="s">
        <v>1999</v>
      </c>
      <c r="U317" s="3" t="s">
        <v>43</v>
      </c>
      <c r="V317" s="3" t="s">
        <v>27</v>
      </c>
      <c r="W317" s="2"/>
      <c r="X317" s="2"/>
      <c r="Y317" s="2"/>
    </row>
    <row r="318" spans="1:25" x14ac:dyDescent="0.2">
      <c r="A318" s="3">
        <v>291</v>
      </c>
      <c r="B318" s="4" t="s">
        <v>2000</v>
      </c>
      <c r="C318" s="3" t="s">
        <v>2001</v>
      </c>
      <c r="D318" s="3" t="str">
        <f>VLOOKUP(A318,Hebrew!A:C,3,0)</f>
        <v>לפחות 16 בתי קברות בעזה הושחתו על ידי כוחות ישראליים, מגלים תמונות לוויין וסרטונים.</v>
      </c>
      <c r="E318" s="3" t="s">
        <v>2002</v>
      </c>
      <c r="F318" s="3" t="str">
        <f>VLOOKUP($A318,Hebrew!$A:$S,4,0)</f>
        <v>חקר של CNN המבוסס על תמונות לוויין וסרטונים מגלה כי כוחות ישראליים חיללו לפחות 16 בתי קברות בעזה במהלך המתקפה הקרקעית שלהם, מה שמעורר חששות לגבי הפרות פוטנציאליות של החוק הבינלאומי.</v>
      </c>
      <c r="G318" s="3" t="s">
        <v>2003</v>
      </c>
      <c r="H318" s="2"/>
      <c r="I318" s="2"/>
      <c r="J318" s="3" t="s">
        <v>135</v>
      </c>
      <c r="K318" s="3" t="s">
        <v>2004</v>
      </c>
      <c r="L318" s="3" t="str">
        <f>VLOOKUP($A318,Hebrew!$A:$S,9,0)</f>
        <v>ג'רמי דיימונד, מוחמד דרוויש, אביר סלמן, בנימין בראון וג'יאנלוקה מזופיורה</v>
      </c>
      <c r="M318" s="2"/>
      <c r="N318" s="2"/>
      <c r="O318" s="3" t="s">
        <v>26</v>
      </c>
      <c r="P318" s="3" t="s">
        <v>27</v>
      </c>
      <c r="Q318" s="3" t="str">
        <f>VLOOKUP($A318,Hebrew!$A:$S,13,0)</f>
        <v>רצועת עזה</v>
      </c>
      <c r="R318" s="3" t="s">
        <v>1215</v>
      </c>
      <c r="S318" s="3" t="s">
        <v>2005</v>
      </c>
      <c r="T318" s="3" t="s">
        <v>2006</v>
      </c>
      <c r="U318" s="3" t="s">
        <v>43</v>
      </c>
      <c r="V318" s="3" t="s">
        <v>2007</v>
      </c>
      <c r="W318" s="2"/>
      <c r="X318" s="2"/>
      <c r="Y318" s="2"/>
    </row>
    <row r="319" spans="1:25" x14ac:dyDescent="0.2">
      <c r="A319" s="3">
        <v>2224</v>
      </c>
      <c r="B319" s="4" t="s">
        <v>2008</v>
      </c>
      <c r="C319" s="3" t="s">
        <v>2009</v>
      </c>
      <c r="D319" s="3" t="str">
        <f>VLOOKUP(A319,Hebrew!A:C,3,0)</f>
        <v>תוצאות הפיצוץ הכפול ההרסני</v>
      </c>
      <c r="E319" s="3" t="s">
        <v>2010</v>
      </c>
      <c r="F319" s="3" t="str">
        <f>VLOOKUP($A319,Hebrew!$A:$S,4,0)</f>
        <v>חובש ועיתונאי פצוע חוסאם שבט אבלים על חבר צוות ההגנה האזרחית שנהרג (לפי דיווחים, עלי מוחמד מוסתפה) לאחר שהצבא הישראלי הפציץ יעד אזרחי.</v>
      </c>
      <c r="G319" s="3" t="s">
        <v>2011</v>
      </c>
      <c r="H319" s="2"/>
      <c r="I319" s="2"/>
      <c r="J319" s="3" t="s">
        <v>393</v>
      </c>
      <c r="K319" s="3" t="s">
        <v>1258</v>
      </c>
      <c r="L319" s="3" t="str">
        <f>VLOOKUP($A319,Hebrew!$A:$S,9,0)</f>
        <v>Hossam Shabat (@HossamShabat)</v>
      </c>
      <c r="M319" s="2"/>
      <c r="N319" s="2"/>
      <c r="O319" s="3" t="s">
        <v>412</v>
      </c>
      <c r="P319" s="3" t="s">
        <v>27</v>
      </c>
      <c r="Q319" s="3" t="str">
        <f>VLOOKUP($A319,Hebrew!$A:$S,13,0)</f>
        <v>רצועת עזה</v>
      </c>
      <c r="R319" s="3" t="s">
        <v>396</v>
      </c>
      <c r="S319" s="3" t="s">
        <v>405</v>
      </c>
      <c r="T319" s="3" t="s">
        <v>2012</v>
      </c>
      <c r="U319" s="3" t="s">
        <v>43</v>
      </c>
      <c r="V319" s="3" t="s">
        <v>27</v>
      </c>
      <c r="W319" s="2"/>
      <c r="X319" s="2"/>
      <c r="Y319" s="2"/>
    </row>
    <row r="320" spans="1:25" x14ac:dyDescent="0.2">
      <c r="A320" s="3">
        <v>2049</v>
      </c>
      <c r="B320" s="4" t="s">
        <v>2013</v>
      </c>
      <c r="C320" s="3" t="s">
        <v>2014</v>
      </c>
      <c r="D320" s="3" t="str">
        <f>VLOOKUP(A320,Hebrew!A:C,3,0)</f>
        <v>27 ח"כים ושרים לנתניהו: אמץ את "תכנית הגנרלים" — הכוללת אזור צבאי סגור בצפון עזה</v>
      </c>
      <c r="E320" s="3" t="s">
        <v>2015</v>
      </c>
      <c r="F320" s="3" t="str">
        <f>VLOOKUP($A320,Hebrew!$A:$S,4,0)</f>
        <v>27 חברי כנסת ושרים קראו לראש הממשלה בנימין נתניהו לכנס את הקבינט הביטחוני ולאמץ את "תוכנית הגנרלים" עבור רצועת עזה הצפונית.</v>
      </c>
      <c r="G320" s="3" t="s">
        <v>2016</v>
      </c>
      <c r="H320" s="2"/>
      <c r="I320" s="2"/>
      <c r="J320" s="3" t="s">
        <v>348</v>
      </c>
      <c r="K320" s="3" t="s">
        <v>2017</v>
      </c>
      <c r="L320" s="3" t="str">
        <f>VLOOKUP($A320,Hebrew!$A:$S,9,0)</f>
        <v>אמיר אטינגר</v>
      </c>
      <c r="M320" s="2"/>
      <c r="N320" s="2"/>
      <c r="O320" s="3" t="s">
        <v>39</v>
      </c>
      <c r="P320" s="3" t="s">
        <v>212</v>
      </c>
      <c r="Q320" s="3" t="str">
        <f>VLOOKUP($A320,Hebrew!$A:$S,13,0)</f>
        <v>צפון רצועת עזה</v>
      </c>
      <c r="R320" s="3" t="s">
        <v>2018</v>
      </c>
      <c r="S320" s="3" t="s">
        <v>29</v>
      </c>
      <c r="T320" s="3" t="s">
        <v>2019</v>
      </c>
      <c r="U320" s="3" t="s">
        <v>420</v>
      </c>
      <c r="V320" s="3" t="s">
        <v>212</v>
      </c>
      <c r="W320" s="3" t="s">
        <v>1460</v>
      </c>
      <c r="X320" s="2"/>
      <c r="Y320" s="2"/>
    </row>
    <row r="321" spans="1:25" x14ac:dyDescent="0.2">
      <c r="A321" s="3">
        <v>1033</v>
      </c>
      <c r="B321" s="4" t="s">
        <v>2020</v>
      </c>
      <c r="C321" s="3" t="s">
        <v>2021</v>
      </c>
      <c r="D321" s="3" t="str">
        <f>VLOOKUP(A321,Hebrew!A:C,3,0)</f>
        <v>חוקר רצח עם מאשים את ישראל בביצוע רצח עם</v>
      </c>
      <c r="E321" s="3" t="s">
        <v>2022</v>
      </c>
      <c r="F321" s="3" t="str">
        <f>VLOOKUP($A321,Hebrew!$A:$S,4,0)</f>
        <v>חוקר השואה מרטין שו מאתגר את ההיסטוריון בני מוריס באל ג'זירה, ודוחה את טענתו של מוריס כי ההרס האזרחי בעזה הוא רק "נזק צדדי" במלחמה. שו טוען כי ישראל הפרה ביודעין את כללי הפרופורציה על ידי שימוש שיטתי בפצצות של 2,000 פאונד כדי להרוג מאות אזרחים לכל לוחם - מדיניות שצפויה להשמיד את החברה בעזה, ושניתן להבין אותה רק כהשמדת עם.</v>
      </c>
      <c r="G321" s="3" t="s">
        <v>2023</v>
      </c>
      <c r="H321" s="3" t="s">
        <v>2024</v>
      </c>
      <c r="I321" s="2"/>
      <c r="J321" s="3" t="s">
        <v>393</v>
      </c>
      <c r="K321" s="3" t="s">
        <v>2025</v>
      </c>
      <c r="L321" s="3" t="str">
        <f>VLOOKUP($A321,Hebrew!$A:$S,9,0)</f>
        <v>Martin Shaw (@martinshawx)</v>
      </c>
      <c r="M321" s="3" t="s">
        <v>1324</v>
      </c>
      <c r="N321" s="6" t="s">
        <v>2026</v>
      </c>
      <c r="O321" s="3" t="s">
        <v>26</v>
      </c>
      <c r="P321" s="2"/>
      <c r="Q321" s="3">
        <f>VLOOKUP($A321,Hebrew!$A:$S,13,0)</f>
        <v>0</v>
      </c>
      <c r="R321" s="3" t="s">
        <v>396</v>
      </c>
      <c r="S321" s="3" t="s">
        <v>413</v>
      </c>
      <c r="T321" s="3" t="s">
        <v>2027</v>
      </c>
      <c r="U321" s="2"/>
      <c r="V321" s="2"/>
      <c r="W321" s="3" t="s">
        <v>2028</v>
      </c>
      <c r="X321" s="2"/>
      <c r="Y321" s="2"/>
    </row>
    <row r="322" spans="1:25" x14ac:dyDescent="0.2">
      <c r="A322" s="3">
        <v>1421</v>
      </c>
      <c r="B322" s="4" t="s">
        <v>2029</v>
      </c>
      <c r="C322" s="3" t="s">
        <v>2030</v>
      </c>
      <c r="D322" s="3" t="str">
        <f>VLOOKUP(A322,Hebrew!A:C,3,0)</f>
        <v>אייפק משתף מאמר שטוען שמספרי הנפגעים של משרד הבריאות בעזה הם "לא אמיתיים"</v>
      </c>
      <c r="E322" s="3" t="s">
        <v>2031</v>
      </c>
      <c r="F322" s="3" t="str">
        <f>VLOOKUP($A322,Hebrew!$A:$S,4,0)</f>
        <v>ציוץ של AIPAC המקשר למאמר במגזין טאבלאט שטוען שמשרד הבריאות בעזה מזייף את הסטטיסטיקות לגבי נפגעים אזרחיים בעזה.</v>
      </c>
      <c r="G322" s="3" t="s">
        <v>778</v>
      </c>
      <c r="H322" s="2"/>
      <c r="I322" s="2"/>
      <c r="J322" s="3" t="s">
        <v>393</v>
      </c>
      <c r="K322" s="3" t="s">
        <v>2032</v>
      </c>
      <c r="L322" s="3" t="str">
        <f>VLOOKUP($A322,Hebrew!$A:$S,9,0)</f>
        <v>אייפאק (@AIPAC)</v>
      </c>
      <c r="M322" s="3" t="s">
        <v>2033</v>
      </c>
      <c r="N322" s="4" t="s">
        <v>2034</v>
      </c>
      <c r="O322" s="3" t="s">
        <v>26</v>
      </c>
      <c r="P322" s="2"/>
      <c r="Q322" s="3">
        <f>VLOOKUP($A322,Hebrew!$A:$S,13,0)</f>
        <v>0</v>
      </c>
      <c r="R322" s="3" t="s">
        <v>396</v>
      </c>
      <c r="S322" s="3" t="s">
        <v>413</v>
      </c>
      <c r="T322" s="3" t="s">
        <v>2035</v>
      </c>
      <c r="U322" s="3" t="s">
        <v>2036</v>
      </c>
      <c r="V322" s="2"/>
      <c r="W322" s="2"/>
      <c r="X322" s="2"/>
      <c r="Y322" s="2"/>
    </row>
    <row r="323" spans="1:25" x14ac:dyDescent="0.2">
      <c r="A323" s="3">
        <v>578</v>
      </c>
      <c r="B323" s="6" t="s">
        <v>2037</v>
      </c>
      <c r="C323" s="3" t="s">
        <v>2038</v>
      </c>
      <c r="D323" s="3" t="str">
        <f>VLOOKUP(A323,Hebrew!A:C,3,0)</f>
        <v>חייל צה"ל לועג להרס בעזה</v>
      </c>
      <c r="E323" s="3" t="s">
        <v>2039</v>
      </c>
      <c r="F323" s="3" t="str">
        <f>VLOOKUP($A323,Hebrew!$A:$S,4,0)</f>
        <v>וידאו שמראה חייל צה"ל מתאר את החוף בעיר עזה: "ים שטוח, נקי, בלי אבנים, בלי כלום". המצלמה מראה את החוף ואז פונה לצד השני. החייל אומר שהנוף שם פחות יפה. המצלמה מראה מה שנראה כמו זבל ואז רכבי צבא. החייל אומר: "נזיין אתכם!"</v>
      </c>
      <c r="G323" s="3" t="s">
        <v>902</v>
      </c>
      <c r="H323" s="2"/>
      <c r="I323" s="2"/>
      <c r="J323" s="3" t="s">
        <v>393</v>
      </c>
      <c r="K323" s="3" t="s">
        <v>453</v>
      </c>
      <c r="L323" s="3" t="str">
        <f>VLOOKUP($A323,Hebrew!$A:$S,9,0)</f>
        <v>Younis Tirawi (@ytirawi)</v>
      </c>
      <c r="M323" s="2"/>
      <c r="N323" s="2"/>
      <c r="O323" s="3" t="s">
        <v>426</v>
      </c>
      <c r="P323" s="3" t="s">
        <v>71</v>
      </c>
      <c r="Q323" s="3" t="str">
        <f>VLOOKUP($A323,Hebrew!$A:$S,13,0)</f>
        <v>עיר עזה</v>
      </c>
      <c r="R323" s="3" t="s">
        <v>396</v>
      </c>
      <c r="S323" s="3" t="s">
        <v>405</v>
      </c>
      <c r="T323" s="3" t="s">
        <v>2040</v>
      </c>
      <c r="U323" s="3" t="s">
        <v>43</v>
      </c>
      <c r="V323" s="3" t="s">
        <v>71</v>
      </c>
      <c r="W323" s="2"/>
      <c r="X323" s="2"/>
      <c r="Y323" s="2"/>
    </row>
    <row r="324" spans="1:25" x14ac:dyDescent="0.2">
      <c r="A324" s="3">
        <v>579</v>
      </c>
      <c r="B324" s="4" t="s">
        <v>2041</v>
      </c>
      <c r="C324" s="3" t="s">
        <v>2042</v>
      </c>
      <c r="D324" s="3" t="str">
        <f>VLOOKUP(A324,Hebrew!A:C,3,0)</f>
        <v>חייל צה"ל מציג נעליים שמצא בבית פלסטיני</v>
      </c>
      <c r="E324" s="3" t="s">
        <v>2043</v>
      </c>
      <c r="F324" s="3" t="str">
        <f>VLOOKUP($A324,Hebrew!$A:$S,4,0)</f>
        <v>וידאו של חייל צה"ל בציוד קרב מלא, שמראה למצלמה קופסה של נעלי עקב יוקרתיות, שנמצאו ככל הנראה בדירה של בעלי דירה שגורשו. הוא מציע בחיוך לחברתו את הנעליים כהצעת נישואין.</v>
      </c>
      <c r="G324" s="3" t="s">
        <v>902</v>
      </c>
      <c r="H324" s="3" t="s">
        <v>788</v>
      </c>
      <c r="I324" s="3" t="s">
        <v>1280</v>
      </c>
      <c r="J324" s="3" t="s">
        <v>393</v>
      </c>
      <c r="K324" s="3" t="s">
        <v>453</v>
      </c>
      <c r="L324" s="3" t="str">
        <f>VLOOKUP($A324,Hebrew!$A:$S,9,0)</f>
        <v>Younis Tirawi (@ytirawi)</v>
      </c>
      <c r="M324" s="2"/>
      <c r="N324" s="2"/>
      <c r="O324" s="3" t="s">
        <v>426</v>
      </c>
      <c r="P324" s="3" t="s">
        <v>71</v>
      </c>
      <c r="Q324" s="3" t="str">
        <f>VLOOKUP($A324,Hebrew!$A:$S,13,0)</f>
        <v>עיר עזה</v>
      </c>
      <c r="R324" s="3" t="s">
        <v>396</v>
      </c>
      <c r="S324" s="3" t="s">
        <v>405</v>
      </c>
      <c r="T324" s="3" t="s">
        <v>2044</v>
      </c>
      <c r="U324" s="3" t="s">
        <v>43</v>
      </c>
      <c r="V324" s="3" t="s">
        <v>71</v>
      </c>
      <c r="W324" s="2"/>
      <c r="X324" s="2"/>
      <c r="Y324" s="2"/>
    </row>
    <row r="325" spans="1:25" x14ac:dyDescent="0.2">
      <c r="A325" s="3">
        <v>580</v>
      </c>
      <c r="B325" s="4" t="s">
        <v>2045</v>
      </c>
      <c r="C325" s="3" t="s">
        <v>2046</v>
      </c>
      <c r="D325" s="3" t="str">
        <f>VLOOKUP(A325,Hebrew!A:C,3,0)</f>
        <v>חייל צה"ל שובר טלוויזיה בתוך בית בעזה</v>
      </c>
      <c r="E325" s="3" t="s">
        <v>2047</v>
      </c>
      <c r="F325" s="3" t="str">
        <f>VLOOKUP($A325,Hebrew!$A:$S,4,0)</f>
        <v>קבוצת חיילי צה"ל יושבת בסלון של בית בעזה, אותו הם מלאו בזבל. אחד מהם מוצא פלייסטיישן 4 וזורק אותו בכוח על הטלוויזיה בעוד השאר צוחקים.</v>
      </c>
      <c r="G325" s="3" t="s">
        <v>902</v>
      </c>
      <c r="H325" s="3" t="s">
        <v>902</v>
      </c>
      <c r="I325" s="3" t="s">
        <v>902</v>
      </c>
      <c r="J325" s="3" t="s">
        <v>393</v>
      </c>
      <c r="K325" s="3" t="s">
        <v>453</v>
      </c>
      <c r="L325" s="3" t="str">
        <f>VLOOKUP($A325,Hebrew!$A:$S,9,0)</f>
        <v>Younis Tirawi (@ytirawi)</v>
      </c>
      <c r="M325" s="2"/>
      <c r="N325" s="2"/>
      <c r="O325" s="3" t="s">
        <v>426</v>
      </c>
      <c r="P325" s="3" t="s">
        <v>395</v>
      </c>
      <c r="Q325" s="3" t="str">
        <f>VLOOKUP($A325,Hebrew!$A:$S,13,0)</f>
        <v>חאן יונס</v>
      </c>
      <c r="R325" s="3" t="s">
        <v>396</v>
      </c>
      <c r="S325" s="3" t="s">
        <v>405</v>
      </c>
      <c r="T325" s="3" t="s">
        <v>2048</v>
      </c>
      <c r="U325" s="3" t="s">
        <v>43</v>
      </c>
      <c r="V325" s="3" t="s">
        <v>395</v>
      </c>
      <c r="W325" s="2"/>
      <c r="X325" s="2"/>
      <c r="Y325" s="2"/>
    </row>
    <row r="326" spans="1:25" x14ac:dyDescent="0.2">
      <c r="A326" s="3">
        <v>583</v>
      </c>
      <c r="B326" s="4" t="s">
        <v>2049</v>
      </c>
      <c r="C326" s="3" t="s">
        <v>2050</v>
      </c>
      <c r="D326" s="3" t="str">
        <f>VLOOKUP(A326,Hebrew!A:C,3,0)</f>
        <v>חיילים לועגים לרכוש פלסטיני</v>
      </c>
      <c r="E326" s="3" t="s">
        <v>2051</v>
      </c>
      <c r="F326" s="3" t="str">
        <f>VLOOKUP($A326,Hebrew!$A:$S,4,0)</f>
        <v>וידאו ברשתות החברתיות שכותרתו "המשפחה בסיבוב" מציג חיילי צה"ל מציגים פריטים של פלסטינים שנפלו או הועברו, מתייחסים לדגל פלסטין כדגל חמאס, לועגים לתחתוני נשים כ"לבוש טקטי," וחייל אחד אומר "נמשיך להשמיד ולנקות את השטח," וחייל אחר מצטט מהתנ"ך: "ארדוף אחרי אויביי ואשיגם; לא אשוב עד שיכחדו."</v>
      </c>
      <c r="G326" s="3" t="s">
        <v>2052</v>
      </c>
      <c r="H326" s="2"/>
      <c r="I326" s="2"/>
      <c r="J326" s="3" t="s">
        <v>393</v>
      </c>
      <c r="K326" s="3" t="s">
        <v>453</v>
      </c>
      <c r="L326" s="3" t="str">
        <f>VLOOKUP($A326,Hebrew!$A:$S,9,0)</f>
        <v>Younis Tirawi (@ytirawi)</v>
      </c>
      <c r="M326" s="2"/>
      <c r="N326" s="2"/>
      <c r="O326" s="3" t="s">
        <v>426</v>
      </c>
      <c r="P326" s="3" t="s">
        <v>103</v>
      </c>
      <c r="Q326" s="3" t="str">
        <f>VLOOKUP($A326,Hebrew!$A:$S,13,0)</f>
        <v>בית לאהיה</v>
      </c>
      <c r="R326" s="3" t="s">
        <v>396</v>
      </c>
      <c r="S326" s="3" t="s">
        <v>405</v>
      </c>
      <c r="T326" s="3" t="s">
        <v>2053</v>
      </c>
      <c r="U326" s="3" t="s">
        <v>43</v>
      </c>
      <c r="V326" s="3" t="s">
        <v>105</v>
      </c>
      <c r="W326" s="2"/>
      <c r="X326" s="2"/>
      <c r="Y326" s="2"/>
    </row>
    <row r="327" spans="1:25" x14ac:dyDescent="0.2">
      <c r="A327" s="3">
        <v>830</v>
      </c>
      <c r="B327" s="4" t="s">
        <v>2054</v>
      </c>
      <c r="C327" s="3" t="s">
        <v>2055</v>
      </c>
      <c r="D327" s="3" t="str">
        <f>VLOOKUP(A327,Hebrew!A:C,3,0)</f>
        <v>רס"ן בצה"ל קורא להשמדת עזה</v>
      </c>
      <c r="E327" s="3" t="s">
        <v>2056</v>
      </c>
      <c r="F327" s="3" t="str">
        <f>VLOOKUP($A327,Hebrew!$A:$S,4,0)</f>
        <v>רס"ן בצה"ל, בסרטון שפורסם בחשבון האינסטגרם שלו: "אין חפים מפשע בעזה. [...] כולם אשמים. ולא נדע ניצחון עד שנשמיד את עזה. [...] כמו שאומרת התורה: 'לא להשאיר בהם אף אחד.' [...] ואין פה עניין מוסרי. העניין המוסרי הוא להשמיד אותם. העניין המוסרי זה לגרש אותם. הדבר המוסרי זה לעשות חניון."</v>
      </c>
      <c r="G327" s="3" t="s">
        <v>1521</v>
      </c>
      <c r="H327" s="3" t="s">
        <v>1332</v>
      </c>
      <c r="I327" s="3" t="s">
        <v>1521</v>
      </c>
      <c r="J327" s="3" t="s">
        <v>393</v>
      </c>
      <c r="K327" s="3" t="s">
        <v>453</v>
      </c>
      <c r="L327" s="3" t="str">
        <f>VLOOKUP($A327,Hebrew!$A:$S,9,0)</f>
        <v>Younis Tirawi (@ytirawi)</v>
      </c>
      <c r="M327" s="2"/>
      <c r="N327" s="2"/>
      <c r="O327" s="3" t="s">
        <v>493</v>
      </c>
      <c r="P327" s="3" t="s">
        <v>27</v>
      </c>
      <c r="Q327" s="3" t="str">
        <f>VLOOKUP($A327,Hebrew!$A:$S,13,0)</f>
        <v>רצועת עזה</v>
      </c>
      <c r="R327" s="3" t="s">
        <v>396</v>
      </c>
      <c r="S327" s="3" t="s">
        <v>413</v>
      </c>
      <c r="T327" s="3" t="s">
        <v>2057</v>
      </c>
      <c r="U327" s="3" t="s">
        <v>43</v>
      </c>
      <c r="V327" s="3" t="s">
        <v>27</v>
      </c>
      <c r="W327" s="2"/>
      <c r="X327" s="2"/>
      <c r="Y327" s="2"/>
    </row>
    <row r="328" spans="1:25" x14ac:dyDescent="0.2">
      <c r="A328" s="3">
        <v>831</v>
      </c>
      <c r="B328" s="4" t="s">
        <v>2058</v>
      </c>
      <c r="C328" s="3" t="s">
        <v>2059</v>
      </c>
      <c r="D328" s="3" t="str">
        <f>VLOOKUP(A328,Hebrew!A:C,3,0)</f>
        <v>חייל צה"ל לובש בגדים של פלסטיני מת/עקור</v>
      </c>
      <c r="E328" s="3" t="s">
        <v>2060</v>
      </c>
      <c r="F328" s="3" t="str">
        <f>VLOOKUP($A328,Hebrew!$A:$S,4,0)</f>
        <v>תמונה במדיה חברתית מראה חייל צה"ל ברפיח לובש פריטי לבוש השייכים לגבר פלסטיני שמת או נעקר מביתו.</v>
      </c>
      <c r="G328" s="3" t="s">
        <v>2061</v>
      </c>
      <c r="H328" s="2"/>
      <c r="I328" s="2"/>
      <c r="J328" s="3" t="s">
        <v>393</v>
      </c>
      <c r="K328" s="3" t="s">
        <v>453</v>
      </c>
      <c r="L328" s="3" t="str">
        <f>VLOOKUP($A328,Hebrew!$A:$S,9,0)</f>
        <v>Younis Tirawi (@ytirawi)</v>
      </c>
      <c r="M328" s="2"/>
      <c r="N328" s="2"/>
      <c r="O328" s="3" t="s">
        <v>26</v>
      </c>
      <c r="P328" s="3" t="s">
        <v>439</v>
      </c>
      <c r="Q328" s="3" t="str">
        <f>VLOOKUP($A328,Hebrew!$A:$S,13,0)</f>
        <v>רפיח</v>
      </c>
      <c r="R328" s="3" t="s">
        <v>396</v>
      </c>
      <c r="S328" s="3" t="s">
        <v>455</v>
      </c>
      <c r="T328" s="3" t="s">
        <v>2062</v>
      </c>
      <c r="U328" s="3" t="s">
        <v>43</v>
      </c>
      <c r="V328" s="3" t="s">
        <v>439</v>
      </c>
      <c r="W328" s="2"/>
      <c r="X328" s="2"/>
      <c r="Y328" s="2"/>
    </row>
    <row r="329" spans="1:25" x14ac:dyDescent="0.2">
      <c r="A329" s="3">
        <v>832</v>
      </c>
      <c r="B329" s="4" t="s">
        <v>2063</v>
      </c>
      <c r="C329" s="3" t="s">
        <v>2064</v>
      </c>
      <c r="D329" s="3" t="str">
        <f>VLOOKUP(A329,Hebrew!A:C,3,0)</f>
        <v>חיילי צה"ל לובשים חיג'אב שנבזז</v>
      </c>
      <c r="E329" s="3" t="s">
        <v>2065</v>
      </c>
      <c r="F329" s="3" t="str">
        <f>VLOOKUP($A329,Hebrew!$A:$S,4,0)</f>
        <v>חיילים ישראלים מגדוד 890 מצולמים לובשים חיג'אב של נשים פלסטיניות שנהרגו או נעקרו מבתיהן בעיר עזה.</v>
      </c>
      <c r="G329" s="3" t="s">
        <v>2061</v>
      </c>
      <c r="H329" s="2"/>
      <c r="I329" s="2"/>
      <c r="J329" s="3" t="s">
        <v>393</v>
      </c>
      <c r="K329" s="3" t="s">
        <v>453</v>
      </c>
      <c r="L329" s="3" t="str">
        <f>VLOOKUP($A329,Hebrew!$A:$S,9,0)</f>
        <v>Younis Tirawi (@ytirawi)</v>
      </c>
      <c r="M329" s="2"/>
      <c r="N329" s="2"/>
      <c r="O329" s="3" t="s">
        <v>26</v>
      </c>
      <c r="P329" s="3" t="s">
        <v>71</v>
      </c>
      <c r="Q329" s="3" t="str">
        <f>VLOOKUP($A329,Hebrew!$A:$S,13,0)</f>
        <v>עיר עזה</v>
      </c>
      <c r="R329" s="3" t="s">
        <v>396</v>
      </c>
      <c r="S329" s="3" t="s">
        <v>455</v>
      </c>
      <c r="T329" s="3" t="s">
        <v>2066</v>
      </c>
      <c r="U329" s="3" t="s">
        <v>43</v>
      </c>
      <c r="V329" s="3" t="s">
        <v>71</v>
      </c>
      <c r="W329" s="2"/>
      <c r="X329" s="2"/>
      <c r="Y329" s="2"/>
    </row>
    <row r="330" spans="1:25" x14ac:dyDescent="0.2">
      <c r="A330" s="3">
        <v>833</v>
      </c>
      <c r="B330" s="4" t="s">
        <v>2067</v>
      </c>
      <c r="C330" s="3" t="s">
        <v>2068</v>
      </c>
      <c r="D330" s="3" t="str">
        <f>VLOOKUP(A330,Hebrew!A:C,3,0)</f>
        <v>חייל צה"ל משחית בית בעזה</v>
      </c>
      <c r="E330" s="3" t="s">
        <v>2069</v>
      </c>
      <c r="F330" s="3" t="str">
        <f>VLOOKUP($A330,Hebrew!$A:$S,4,0)</f>
        <v>הווידאו מראה חייל צה"ל שובר רהיטים בתוך בית מגורים ברפיח, עם כיתוב בעברית שאומר: 'שיפוצים בעזה'.</v>
      </c>
      <c r="G330" s="3" t="s">
        <v>2061</v>
      </c>
      <c r="H330" s="2"/>
      <c r="I330" s="2"/>
      <c r="J330" s="3" t="s">
        <v>393</v>
      </c>
      <c r="K330" s="3" t="s">
        <v>453</v>
      </c>
      <c r="L330" s="3" t="str">
        <f>VLOOKUP($A330,Hebrew!$A:$S,9,0)</f>
        <v>Younis Tirawi (@ytirawi)</v>
      </c>
      <c r="M330" s="2"/>
      <c r="N330" s="2"/>
      <c r="O330" s="3" t="s">
        <v>426</v>
      </c>
      <c r="P330" s="3" t="s">
        <v>439</v>
      </c>
      <c r="Q330" s="3" t="str">
        <f>VLOOKUP($A330,Hebrew!$A:$S,13,0)</f>
        <v>רפיח</v>
      </c>
      <c r="R330" s="3" t="s">
        <v>396</v>
      </c>
      <c r="S330" s="3" t="s">
        <v>405</v>
      </c>
      <c r="T330" s="3" t="s">
        <v>2070</v>
      </c>
      <c r="U330" s="3" t="s">
        <v>43</v>
      </c>
      <c r="V330" s="3" t="s">
        <v>439</v>
      </c>
      <c r="W330" s="2"/>
      <c r="X330" s="2"/>
      <c r="Y330" s="2"/>
    </row>
    <row r="331" spans="1:25" x14ac:dyDescent="0.2">
      <c r="A331" s="3">
        <v>834</v>
      </c>
      <c r="B331" s="4" t="s">
        <v>2071</v>
      </c>
      <c r="C331" s="3" t="s">
        <v>2072</v>
      </c>
      <c r="D331" s="3" t="str">
        <f>VLOOKUP(A331,Hebrew!A:C,3,0)</f>
        <v>חייל צה"ל מפרסם תמונה של עצורים עזתים</v>
      </c>
      <c r="E331" s="3" t="s">
        <v>2073</v>
      </c>
      <c r="F331" s="3" t="str">
        <f>VLOOKUP($A331,Hebrew!$A:$S,4,0)</f>
        <v>חייל בצה"ל בעל אזרחות כפולה ישראלית-אמריקאית פרסם תמונה מעזה המראה עצורים פלסטינים כורעים ברך ועם כיסויי עיניים, ידיהם על ראשיהם, עם הכיתוב "אמא, אני חושב ששחררתי את פלסטין".</v>
      </c>
      <c r="G331" s="3" t="s">
        <v>2061</v>
      </c>
      <c r="H331" s="2"/>
      <c r="I331" s="2"/>
      <c r="J331" s="3" t="s">
        <v>393</v>
      </c>
      <c r="K331" s="3" t="s">
        <v>453</v>
      </c>
      <c r="L331" s="3" t="str">
        <f>VLOOKUP($A331,Hebrew!$A:$S,9,0)</f>
        <v>Younis Tirawi (@ytirawi)</v>
      </c>
      <c r="M331" s="2"/>
      <c r="N331" s="2"/>
      <c r="O331" s="3" t="s">
        <v>26</v>
      </c>
      <c r="P331" s="3" t="s">
        <v>2074</v>
      </c>
      <c r="Q331" s="3" t="str">
        <f>VLOOKUP($A331,Hebrew!$A:$S,13,0)</f>
        <v>חאן יונס</v>
      </c>
      <c r="R331" s="3" t="s">
        <v>396</v>
      </c>
      <c r="S331" s="3" t="s">
        <v>455</v>
      </c>
      <c r="T331" s="3" t="s">
        <v>2075</v>
      </c>
      <c r="U331" s="3" t="s">
        <v>43</v>
      </c>
      <c r="V331" s="3" t="s">
        <v>395</v>
      </c>
      <c r="W331" s="2"/>
      <c r="X331" s="2"/>
      <c r="Y331" s="2"/>
    </row>
    <row r="332" spans="1:25" x14ac:dyDescent="0.2">
      <c r="A332" s="3">
        <v>835</v>
      </c>
      <c r="B332" s="4" t="s">
        <v>2076</v>
      </c>
      <c r="C332" s="3" t="s">
        <v>2077</v>
      </c>
      <c r="D332" s="3" t="str">
        <f>VLOOKUP(A332,Hebrew!A:C,3,0)</f>
        <v>חיילי צה"ל פולשים לבית של משפחה פלסטינית עקורה</v>
      </c>
      <c r="E332" s="3" t="s">
        <v>2078</v>
      </c>
      <c r="F332" s="3" t="str">
        <f>VLOOKUP($A332,Hebrew!$A:$S,4,0)</f>
        <v>וידאו שצולם בבית ברפיח על ידי חיילי צה"ל מציג את תוכן הבית, עם טקסט בעברית: "סיור לפני רכישה. [שם חיל אחר] עושה לי סיבוב בנכס. ממש מתחם לזוגות צעירים."</v>
      </c>
      <c r="G332" s="3" t="s">
        <v>2061</v>
      </c>
      <c r="H332" s="2"/>
      <c r="I332" s="2"/>
      <c r="J332" s="3" t="s">
        <v>393</v>
      </c>
      <c r="K332" s="3" t="s">
        <v>453</v>
      </c>
      <c r="L332" s="3" t="str">
        <f>VLOOKUP($A332,Hebrew!$A:$S,9,0)</f>
        <v>Younis Tirawi (@ytirawi)</v>
      </c>
      <c r="M332" s="2"/>
      <c r="N332" s="2"/>
      <c r="O332" s="3" t="s">
        <v>493</v>
      </c>
      <c r="P332" s="3" t="s">
        <v>439</v>
      </c>
      <c r="Q332" s="3" t="str">
        <f>VLOOKUP($A332,Hebrew!$A:$S,13,0)</f>
        <v>רפיח</v>
      </c>
      <c r="R332" s="3" t="s">
        <v>396</v>
      </c>
      <c r="S332" s="3" t="s">
        <v>405</v>
      </c>
      <c r="T332" s="3" t="s">
        <v>2079</v>
      </c>
      <c r="U332" s="3" t="s">
        <v>43</v>
      </c>
      <c r="V332" s="3" t="s">
        <v>439</v>
      </c>
      <c r="W332" s="2"/>
      <c r="X332" s="2"/>
      <c r="Y332" s="2"/>
    </row>
    <row r="333" spans="1:25" x14ac:dyDescent="0.2">
      <c r="A333" s="3">
        <v>793</v>
      </c>
      <c r="B333" s="4" t="s">
        <v>2080</v>
      </c>
      <c r="C333" s="3" t="s">
        <v>2081</v>
      </c>
      <c r="D333" s="3" t="str">
        <f>VLOOKUP(A333,Hebrew!A:C,3,0)</f>
        <v>חיילי צה"ל מריעים בזמן שהם צופים בבניין מתפוצץ</v>
      </c>
      <c r="E333" s="3" t="s">
        <v>2082</v>
      </c>
      <c r="F333" s="3" t="str">
        <f>VLOOKUP($A333,Hebrew!$A:$S,4,0)</f>
        <v>וידאו של קבוצת חיילי צה"ל צופים בהתפוצצות צפויה בשכונת מגורים, מוחאים כפיים ומריעים כשזה קורה</v>
      </c>
      <c r="G333" s="3" t="s">
        <v>1761</v>
      </c>
      <c r="H333" s="2"/>
      <c r="I333" s="2"/>
      <c r="J333" s="3" t="s">
        <v>393</v>
      </c>
      <c r="K333" s="3" t="s">
        <v>453</v>
      </c>
      <c r="L333" s="3" t="str">
        <f>VLOOKUP($A333,Hebrew!$A:$S,9,0)</f>
        <v>Younis Tirawi (@ytirawi)</v>
      </c>
      <c r="M333" s="2"/>
      <c r="N333" s="2"/>
      <c r="O333" s="3" t="s">
        <v>426</v>
      </c>
      <c r="P333" s="3" t="s">
        <v>27</v>
      </c>
      <c r="Q333" s="3" t="str">
        <f>VLOOKUP($A333,Hebrew!$A:$S,13,0)</f>
        <v>רצועת עזה</v>
      </c>
      <c r="R333" s="3" t="s">
        <v>396</v>
      </c>
      <c r="S333" s="3" t="s">
        <v>982</v>
      </c>
      <c r="T333" s="3" t="s">
        <v>2083</v>
      </c>
      <c r="U333" s="3" t="s">
        <v>43</v>
      </c>
      <c r="V333" s="3" t="s">
        <v>27</v>
      </c>
      <c r="W333" s="2"/>
      <c r="X333" s="2"/>
      <c r="Y333" s="2"/>
    </row>
    <row r="334" spans="1:25" x14ac:dyDescent="0.2">
      <c r="A334" s="3">
        <v>794</v>
      </c>
      <c r="B334" s="4" t="s">
        <v>2084</v>
      </c>
      <c r="C334" s="3" t="s">
        <v>2085</v>
      </c>
      <c r="D334" s="3" t="str">
        <f>VLOOKUP(A334,Hebrew!A:C,3,0)</f>
        <v>חייל צה"ל שורף עותק של הקוראן</v>
      </c>
      <c r="E334" s="3" t="s">
        <v>2086</v>
      </c>
      <c r="F334" s="3" t="str">
        <f>VLOOKUP($A334,Hebrew!$A:$S,4,0)</f>
        <v>וידאו של חייל צה"ל בתוך מסגד במזרח רפיח, פונה למצלמה ומשליך עותק של הקוראן לתוך אש.</v>
      </c>
      <c r="G334" s="3" t="s">
        <v>1761</v>
      </c>
      <c r="H334" s="2"/>
      <c r="I334" s="2"/>
      <c r="J334" s="3" t="s">
        <v>393</v>
      </c>
      <c r="K334" s="3" t="s">
        <v>453</v>
      </c>
      <c r="L334" s="3" t="str">
        <f>VLOOKUP($A334,Hebrew!$A:$S,9,0)</f>
        <v>Younis Tirawi (@ytirawi)</v>
      </c>
      <c r="M334" s="3" t="s">
        <v>2087</v>
      </c>
      <c r="N334" s="2"/>
      <c r="O334" s="3" t="s">
        <v>26</v>
      </c>
      <c r="P334" s="3" t="s">
        <v>2088</v>
      </c>
      <c r="Q334" s="3" t="str">
        <f>VLOOKUP($A334,Hebrew!$A:$S,13,0)</f>
        <v>מזרח רפיח</v>
      </c>
      <c r="R334" s="3" t="s">
        <v>396</v>
      </c>
      <c r="S334" s="3" t="s">
        <v>982</v>
      </c>
      <c r="T334" s="3" t="s">
        <v>2089</v>
      </c>
      <c r="U334" s="3" t="s">
        <v>43</v>
      </c>
      <c r="V334" s="3" t="s">
        <v>439</v>
      </c>
      <c r="W334" s="2"/>
      <c r="X334" s="2"/>
      <c r="Y334" s="2"/>
    </row>
    <row r="335" spans="1:25" x14ac:dyDescent="0.2">
      <c r="A335" s="3">
        <v>795</v>
      </c>
      <c r="B335" s="4" t="s">
        <v>2090</v>
      </c>
      <c r="C335" s="3" t="s">
        <v>2091</v>
      </c>
      <c r="D335" s="3" t="str">
        <f>VLOOKUP(A335,Hebrew!A:C,3,0)</f>
        <v>חייל צה"ל קורא לנכבה נוספת</v>
      </c>
      <c r="E335" s="3" t="s">
        <v>2092</v>
      </c>
      <c r="F335" s="3" t="str">
        <f>VLOOKUP($A335,Hebrew!$A:$S,4,0)</f>
        <v>תמונה של חייל צה"ל ליד הפוסט שלו בפייסבוק: "בשביעי כל מי שלא השכיל להבין שאנחנו מתמודדים מול רוע מוחלט הבין זאת. אשכרה יש כאן צד אחד שהוא הטוב המוחלט וצד אחד שהוא הרע מוחלט. בכמו שב48 היינו בטוחים בצדקת דרכנו ועשינו את הנדרש להמשך קיומנו כמו גירוש כפרים שלמים והקמת ערים יהודיות על חורבותם (אשדוד, אשקלון, צפון תל אביב ועוד), כך חייבים לעשות גם עכשיו. לחזור לזהות ולתודעה היהודית, להאמין בצדקת דרכנו ולהבין שהפתרון נגד האסלאם הברברי והרצחני הוא אך ורק לקיחת אדמה. נדרשת כאן "נכבה" נוספת. גירוש כיבוש התיישבות. זו הנוסחה. אין פתרון אחר."</v>
      </c>
      <c r="G335" s="3" t="s">
        <v>437</v>
      </c>
      <c r="H335" s="2"/>
      <c r="I335" s="2"/>
      <c r="J335" s="3" t="s">
        <v>393</v>
      </c>
      <c r="K335" s="3" t="s">
        <v>453</v>
      </c>
      <c r="L335" s="3" t="str">
        <f>VLOOKUP($A335,Hebrew!$A:$S,9,0)</f>
        <v>Younis Tirawi (@ytirawi)</v>
      </c>
      <c r="M335" s="3" t="s">
        <v>1587</v>
      </c>
      <c r="N335" s="2"/>
      <c r="O335" s="3" t="s">
        <v>426</v>
      </c>
      <c r="P335" s="3" t="s">
        <v>60</v>
      </c>
      <c r="Q335" s="3" t="str">
        <f>VLOOKUP($A335,Hebrew!$A:$S,13,0)</f>
        <v>ישראל</v>
      </c>
      <c r="R335" s="3" t="s">
        <v>396</v>
      </c>
      <c r="S335" s="3" t="s">
        <v>700</v>
      </c>
      <c r="T335" s="3" t="s">
        <v>2093</v>
      </c>
      <c r="U335" s="3" t="s">
        <v>43</v>
      </c>
      <c r="V335" s="3" t="s">
        <v>60</v>
      </c>
      <c r="W335" s="2"/>
      <c r="X335" s="2"/>
      <c r="Y335" s="2"/>
    </row>
    <row r="336" spans="1:25" x14ac:dyDescent="0.2">
      <c r="A336" s="3">
        <v>796</v>
      </c>
      <c r="B336" s="4" t="s">
        <v>2094</v>
      </c>
      <c r="C336" s="3" t="s">
        <v>2095</v>
      </c>
      <c r="D336" s="3" t="str">
        <f>VLOOKUP(A336,Hebrew!A:C,3,0)</f>
        <v>חייל צה"ל בספריית אוניברסיטת אל-אקצא הבוערת</v>
      </c>
      <c r="E336" s="3" t="s">
        <v>2096</v>
      </c>
      <c r="F336" s="3" t="str">
        <f>VLOOKUP($A336,Hebrew!$A:$S,4,0)</f>
        <v>תמונה של חייל צה"ל בציוד קרב מלא קורא ספר בעוד מאחוריו בוערת אש בספרים של ספריית אוניברסיטת אל-אקצה.</v>
      </c>
      <c r="G336" s="3" t="s">
        <v>431</v>
      </c>
      <c r="H336" s="2"/>
      <c r="I336" s="2"/>
      <c r="J336" s="3" t="s">
        <v>393</v>
      </c>
      <c r="K336" s="3" t="s">
        <v>453</v>
      </c>
      <c r="L336" s="3" t="str">
        <f>VLOOKUP($A336,Hebrew!$A:$S,9,0)</f>
        <v>Younis Tirawi (@ytirawi)</v>
      </c>
      <c r="M336" s="2"/>
      <c r="N336" s="2"/>
      <c r="O336" s="3" t="s">
        <v>26</v>
      </c>
      <c r="P336" s="3" t="s">
        <v>2097</v>
      </c>
      <c r="Q336" s="3" t="str">
        <f>VLOOKUP($A336,Hebrew!$A:$S,13,0)</f>
        <v>אוניברסיטת אל-אקצא</v>
      </c>
      <c r="R336" s="3" t="s">
        <v>396</v>
      </c>
      <c r="S336" s="3" t="s">
        <v>700</v>
      </c>
      <c r="T336" s="3" t="s">
        <v>2098</v>
      </c>
      <c r="U336" s="3" t="s">
        <v>43</v>
      </c>
      <c r="V336" s="3" t="s">
        <v>27</v>
      </c>
      <c r="W336" s="2"/>
      <c r="X336" s="2"/>
      <c r="Y336" s="2"/>
    </row>
    <row r="337" spans="1:25" x14ac:dyDescent="0.2">
      <c r="A337" s="3">
        <v>797</v>
      </c>
      <c r="B337" s="4" t="s">
        <v>2099</v>
      </c>
      <c r="C337" s="3" t="s">
        <v>2100</v>
      </c>
      <c r="D337" s="3" t="str">
        <f>VLOOKUP(A337,Hebrew!A:C,3,0)</f>
        <v>חייל בצה"ל טוען שהם שרפו אלף ספרים בעזה</v>
      </c>
      <c r="E337" s="3" t="s">
        <v>2101</v>
      </c>
      <c r="F337" s="3" t="str">
        <f>VLOOKUP($A337,Hebrew!$A:$S,4,0)</f>
        <v>חייל צה"ל משתף דיווח חדשותי בנוגע לחקירה של המשטרה הצבאית נגד חייל שצילם את עצמו שורף את הקוראן. הכיתוב אומר: "אלף ספרים שרפנו בעזה. גאה בך אח שלי."</v>
      </c>
      <c r="G337" s="3" t="s">
        <v>1565</v>
      </c>
      <c r="H337" s="2"/>
      <c r="I337" s="2"/>
      <c r="J337" s="3" t="s">
        <v>393</v>
      </c>
      <c r="K337" s="3" t="s">
        <v>453</v>
      </c>
      <c r="L337" s="3" t="str">
        <f>VLOOKUP($A337,Hebrew!$A:$S,9,0)</f>
        <v>Younis Tirawi (@ytirawi)</v>
      </c>
      <c r="M337" s="3" t="s">
        <v>2087</v>
      </c>
      <c r="N337" s="2"/>
      <c r="O337" s="3" t="s">
        <v>426</v>
      </c>
      <c r="P337" s="3" t="s">
        <v>27</v>
      </c>
      <c r="Q337" s="3" t="str">
        <f>VLOOKUP($A337,Hebrew!$A:$S,13,0)</f>
        <v>רצועת עזה</v>
      </c>
      <c r="R337" s="3" t="s">
        <v>396</v>
      </c>
      <c r="S337" s="3" t="s">
        <v>455</v>
      </c>
      <c r="T337" s="3" t="s">
        <v>2102</v>
      </c>
      <c r="U337" s="3" t="s">
        <v>43</v>
      </c>
      <c r="V337" s="3" t="s">
        <v>27</v>
      </c>
      <c r="W337" s="2"/>
      <c r="X337" s="2"/>
      <c r="Y337" s="2"/>
    </row>
    <row r="338" spans="1:25" x14ac:dyDescent="0.2">
      <c r="A338" s="3">
        <v>584</v>
      </c>
      <c r="B338" s="4" t="s">
        <v>2103</v>
      </c>
      <c r="C338" s="3" t="s">
        <v>2104</v>
      </c>
      <c r="D338" s="3" t="str">
        <f>VLOOKUP(A338,Hebrew!A:C,3,0)</f>
        <v>חייל צה"ל מניח הלבשה תחתונה ליד פיו של חייל ישן</v>
      </c>
      <c r="E338" s="3" t="s">
        <v>2105</v>
      </c>
      <c r="F338" s="3" t="str">
        <f>VLOOKUP($A338,Hebrew!$A:$S,4,0)</f>
        <v>סרטון קצר שבו חייל צה"ל שוכב על ספה בדירה בצפון עזה, בעוד החייל השני, עם רובה ביד אחת, מחזיק פריט הלבשה תחתונה ביד השנייה מעל פניו של החייל השוכב. נשמעות נשימות ברקע.</v>
      </c>
      <c r="G338" s="3" t="s">
        <v>2052</v>
      </c>
      <c r="H338" s="2"/>
      <c r="I338" s="2"/>
      <c r="J338" s="3" t="s">
        <v>393</v>
      </c>
      <c r="K338" s="3" t="s">
        <v>453</v>
      </c>
      <c r="L338" s="3" t="str">
        <f>VLOOKUP($A338,Hebrew!$A:$S,9,0)</f>
        <v>Younis Tirawi (@ytirawi)</v>
      </c>
      <c r="M338" s="2"/>
      <c r="N338" s="2"/>
      <c r="O338" s="3" t="s">
        <v>26</v>
      </c>
      <c r="P338" s="3" t="s">
        <v>105</v>
      </c>
      <c r="Q338" s="3" t="str">
        <f>VLOOKUP($A338,Hebrew!$A:$S,13,0)</f>
        <v>בית לאהיא</v>
      </c>
      <c r="R338" s="3" t="s">
        <v>396</v>
      </c>
      <c r="S338" s="3" t="s">
        <v>405</v>
      </c>
      <c r="T338" s="3" t="s">
        <v>2106</v>
      </c>
      <c r="U338" s="3" t="s">
        <v>43</v>
      </c>
      <c r="V338" s="3" t="s">
        <v>105</v>
      </c>
      <c r="W338" s="2"/>
      <c r="X338" s="2"/>
      <c r="Y338" s="2"/>
    </row>
    <row r="339" spans="1:25" x14ac:dyDescent="0.2">
      <c r="A339" s="3">
        <v>585</v>
      </c>
      <c r="B339" s="4" t="s">
        <v>2107</v>
      </c>
      <c r="C339" s="3" t="s">
        <v>2108</v>
      </c>
      <c r="D339" s="3" t="str">
        <f>VLOOKUP(A339,Hebrew!A:C,3,0)</f>
        <v>חייל צה"ל מעמיד פנים שהוא מציע נישואים</v>
      </c>
      <c r="E339" s="3" t="s">
        <v>2109</v>
      </c>
      <c r="F339" s="3" t="str">
        <f>VLOOKUP($A339,Hebrew!$A:$S,4,0)</f>
        <v>הווידאו מראה קבוצת חיילי צה"ל בתוך בית בבית לאהיא. הם סוקרים את הדירה, מדברים על התושבים המפונים, ככל הנראה זוג צעיר, ומזכירים את שמותיהם ואת תאריך הנישואים (6 באוקטובר); לאחר מכן הם מוצאים זר פרחים מפלסטיק ומנסים לביים הצעת נישואין בין שני חיילים. מבנים הרוסים והריסות נראים מהחלון.</v>
      </c>
      <c r="G339" s="3" t="s">
        <v>2052</v>
      </c>
      <c r="H339" s="2"/>
      <c r="I339" s="2"/>
      <c r="J339" s="3" t="s">
        <v>393</v>
      </c>
      <c r="K339" s="3" t="s">
        <v>453</v>
      </c>
      <c r="L339" s="3" t="str">
        <f>VLOOKUP($A339,Hebrew!$A:$S,9,0)</f>
        <v>Younis Tirawi (@ytirawi)</v>
      </c>
      <c r="M339" s="2"/>
      <c r="N339" s="2"/>
      <c r="O339" s="3" t="s">
        <v>426</v>
      </c>
      <c r="P339" s="3" t="s">
        <v>105</v>
      </c>
      <c r="Q339" s="3" t="str">
        <f>VLOOKUP($A339,Hebrew!$A:$S,13,0)</f>
        <v>בית לאהיא</v>
      </c>
      <c r="R339" s="3" t="s">
        <v>396</v>
      </c>
      <c r="S339" s="3" t="s">
        <v>405</v>
      </c>
      <c r="T339" s="3" t="s">
        <v>2110</v>
      </c>
      <c r="U339" s="3" t="s">
        <v>43</v>
      </c>
      <c r="V339" s="3" t="s">
        <v>2111</v>
      </c>
      <c r="W339" s="2"/>
      <c r="X339" s="2"/>
      <c r="Y339" s="2"/>
    </row>
    <row r="340" spans="1:25" x14ac:dyDescent="0.2">
      <c r="A340" s="3">
        <v>586</v>
      </c>
      <c r="B340" s="4" t="s">
        <v>2112</v>
      </c>
      <c r="C340" s="3" t="s">
        <v>2113</v>
      </c>
      <c r="D340" s="3" t="str">
        <f>VLOOKUP(A340,Hebrew!A:C,3,0)</f>
        <v>חייל צה"ל מדבר בבדיחות על ביזה.</v>
      </c>
      <c r="E340" s="3" t="s">
        <v>2114</v>
      </c>
      <c r="F340" s="3" t="str">
        <f>VLOOKUP($A340,Hebrew!$A:$S,4,0)</f>
        <v>וידאו שבו חייל צה"ל שואל בחיוך חייל אחר, "עוד הפעם אתה בוזז משהו?" החייל שמול המצלמה, מחזיק רובה, מגיב בכך שהוא מראה שטר של 20 שקלים. הוא מסביר שהוא מצא אותו בדירה ומעניק אותו לחבר שלו ש-300 השקלים שלו נגנבו על ידי מחבלים במהלך התקפה על הבסיס שלהם. הוא מוסיף שהשבת כסף גנוב היא אחת מהמטרות שלהם.</v>
      </c>
      <c r="G340" s="3" t="s">
        <v>2052</v>
      </c>
      <c r="H340" s="2"/>
      <c r="I340" s="2"/>
      <c r="J340" s="3" t="s">
        <v>393</v>
      </c>
      <c r="K340" s="3" t="s">
        <v>453</v>
      </c>
      <c r="L340" s="3" t="str">
        <f>VLOOKUP($A340,Hebrew!$A:$S,9,0)</f>
        <v>Younis Tirawi (@ytirawi)</v>
      </c>
      <c r="M340" s="2"/>
      <c r="N340" s="2"/>
      <c r="O340" s="3" t="s">
        <v>493</v>
      </c>
      <c r="P340" s="3" t="s">
        <v>105</v>
      </c>
      <c r="Q340" s="3" t="str">
        <f>VLOOKUP($A340,Hebrew!$A:$S,13,0)</f>
        <v>בית לאהיא</v>
      </c>
      <c r="R340" s="3" t="s">
        <v>396</v>
      </c>
      <c r="S340" s="3" t="s">
        <v>405</v>
      </c>
      <c r="T340" s="3" t="s">
        <v>2115</v>
      </c>
      <c r="U340" s="3" t="s">
        <v>43</v>
      </c>
      <c r="V340" s="3" t="s">
        <v>105</v>
      </c>
      <c r="W340" s="2"/>
      <c r="X340" s="2"/>
      <c r="Y340" s="2"/>
    </row>
    <row r="341" spans="1:25" x14ac:dyDescent="0.2">
      <c r="A341" s="3">
        <v>587</v>
      </c>
      <c r="B341" s="4" t="s">
        <v>2116</v>
      </c>
      <c r="C341" s="3" t="s">
        <v>2117</v>
      </c>
      <c r="D341" s="3" t="str">
        <f>VLOOKUP(A341,Hebrew!A:C,3,0)</f>
        <v>חיילי צה"ל מתכוננים לפוצץ מסגד עם מוקשים (שרשור)</v>
      </c>
      <c r="E341" s="3" t="s">
        <v>2118</v>
      </c>
      <c r="F341" s="3" t="str">
        <f>VLOOKUP($A341,Hebrew!$A:$S,4,0)</f>
        <v>שתי תמונות של חיילי צה"ל שמניחים מספר רב של פצצות עגולות על הרצפות והעמודים של מסגד בחאן יונס. ארבע ציוצים לפני זה כוללים תמונות וסרטונים שונים של הרס, לרבות הצתת בתים בחאן יונס.</v>
      </c>
      <c r="G341" s="3" t="s">
        <v>2119</v>
      </c>
      <c r="H341" s="2"/>
      <c r="I341" s="2"/>
      <c r="J341" s="3" t="s">
        <v>393</v>
      </c>
      <c r="K341" s="3" t="s">
        <v>453</v>
      </c>
      <c r="L341" s="3" t="str">
        <f>VLOOKUP($A341,Hebrew!$A:$S,9,0)</f>
        <v>Younis Tirawi (@ytirawi)</v>
      </c>
      <c r="M341" s="2"/>
      <c r="N341" s="2"/>
      <c r="O341" s="3" t="s">
        <v>26</v>
      </c>
      <c r="P341" s="3" t="s">
        <v>395</v>
      </c>
      <c r="Q341" s="3" t="str">
        <f>VLOOKUP($A341,Hebrew!$A:$S,13,0)</f>
        <v>חאן יונס</v>
      </c>
      <c r="R341" s="3" t="s">
        <v>396</v>
      </c>
      <c r="S341" s="3" t="s">
        <v>1560</v>
      </c>
      <c r="T341" s="3" t="s">
        <v>2120</v>
      </c>
      <c r="U341" s="3" t="s">
        <v>43</v>
      </c>
      <c r="V341" s="3" t="s">
        <v>395</v>
      </c>
      <c r="W341" s="2"/>
      <c r="X341" s="2"/>
      <c r="Y341" s="2"/>
    </row>
    <row r="342" spans="1:25" x14ac:dyDescent="0.2">
      <c r="A342" s="3">
        <v>588</v>
      </c>
      <c r="B342" s="4" t="s">
        <v>2121</v>
      </c>
      <c r="C342" s="3" t="s">
        <v>2122</v>
      </c>
      <c r="D342" s="3" t="str">
        <f>VLOOKUP(A342,Hebrew!A:C,3,0)</f>
        <v>שני חיילי צה"ל בחדר שינה של אישה בעזה [חלק משרשור ארוך]</v>
      </c>
      <c r="E342" s="3" t="s">
        <v>2123</v>
      </c>
      <c r="F342" s="3" t="str">
        <f>VLOOKUP($A342,Hebrew!$A:$S,4,0)</f>
        <v>שני חיילי צה"ל בציוד קרב מלא במה שנראה כמו חדר שינה של אישה עם חפצים אינטימיים שלה (קרמים, תחתונים, איפור), אחד לובש אפוד אדום ותיק נשי, והשני עם ורד מלאכותי בין שיניו. השרשור נמשך ל-13 ציוצים נוספים שכוללים תוכן נוסף של דה-הומניזציה, לרבות הרס, ביזה, השחתה, הצתת בתים ועצור.</v>
      </c>
      <c r="G342" s="3" t="s">
        <v>2124</v>
      </c>
      <c r="H342" s="2"/>
      <c r="I342" s="2"/>
      <c r="J342" s="3" t="s">
        <v>393</v>
      </c>
      <c r="K342" s="3" t="s">
        <v>453</v>
      </c>
      <c r="L342" s="3" t="str">
        <f>VLOOKUP($A342,Hebrew!$A:$S,9,0)</f>
        <v>Younis Tirawi (@ytirawi)</v>
      </c>
      <c r="M342" s="2"/>
      <c r="N342" s="2"/>
      <c r="O342" s="3" t="s">
        <v>26</v>
      </c>
      <c r="P342" s="3" t="s">
        <v>27</v>
      </c>
      <c r="Q342" s="3" t="str">
        <f>VLOOKUP($A342,Hebrew!$A:$S,13,0)</f>
        <v>רצועת עזה</v>
      </c>
      <c r="R342" s="3" t="s">
        <v>396</v>
      </c>
      <c r="S342" s="3" t="s">
        <v>1560</v>
      </c>
      <c r="T342" s="3" t="s">
        <v>2125</v>
      </c>
      <c r="U342" s="3" t="s">
        <v>43</v>
      </c>
      <c r="V342" s="3" t="s">
        <v>2126</v>
      </c>
      <c r="W342" s="2"/>
      <c r="X342" s="2"/>
      <c r="Y342" s="2"/>
    </row>
    <row r="343" spans="1:25" x14ac:dyDescent="0.2">
      <c r="A343" s="3">
        <v>589</v>
      </c>
      <c r="B343" s="4" t="s">
        <v>2127</v>
      </c>
      <c r="C343" s="3" t="s">
        <v>2128</v>
      </c>
      <c r="D343" s="3" t="str">
        <f>VLOOKUP(A343,Hebrew!A:C,3,0)</f>
        <v>חייל צה"ל מציג פריט הלבשה תחתונה [חלק משיחה ארוכה]</v>
      </c>
      <c r="E343" s="3" t="s">
        <v>2129</v>
      </c>
      <c r="F343" s="3" t="str">
        <f>VLOOKUP($A343,Hebrew!$A:$S,4,0)</f>
        <v>חייל צה"ל בציוד קרב מלא מחזיק בכותונת ועושה תנועות מיניות עם מוזיקה ברקע, פורסם ביוטיוב כחלק מהוולוג של החייל. השרשור כולל 13 ציוצים נוספים שמכילים תוכן נוסף השל דה-הומניזציה, לרבות הרס, ביזה, השחתה, הצתת בתים ועצור.</v>
      </c>
      <c r="G343" s="3" t="s">
        <v>2124</v>
      </c>
      <c r="H343" s="2"/>
      <c r="I343" s="2"/>
      <c r="J343" s="3" t="s">
        <v>393</v>
      </c>
      <c r="K343" s="3" t="s">
        <v>453</v>
      </c>
      <c r="L343" s="3" t="str">
        <f>VLOOKUP($A343,Hebrew!$A:$S,9,0)</f>
        <v>Younis Tirawi (@ytirawi)</v>
      </c>
      <c r="M343" s="2"/>
      <c r="N343" s="2"/>
      <c r="O343" s="3" t="s">
        <v>26</v>
      </c>
      <c r="P343" s="3" t="s">
        <v>27</v>
      </c>
      <c r="Q343" s="3" t="str">
        <f>VLOOKUP($A343,Hebrew!$A:$S,13,0)</f>
        <v>רצועת עזה</v>
      </c>
      <c r="R343" s="3" t="s">
        <v>396</v>
      </c>
      <c r="S343" s="3" t="s">
        <v>1560</v>
      </c>
      <c r="T343" s="3" t="s">
        <v>2125</v>
      </c>
      <c r="U343" s="3" t="s">
        <v>43</v>
      </c>
      <c r="V343" s="3" t="s">
        <v>2126</v>
      </c>
      <c r="W343" s="2"/>
      <c r="X343" s="2"/>
      <c r="Y343" s="2"/>
    </row>
    <row r="344" spans="1:25" x14ac:dyDescent="0.2">
      <c r="A344" s="3">
        <v>590</v>
      </c>
      <c r="B344" s="4" t="s">
        <v>2130</v>
      </c>
      <c r="C344" s="3" t="s">
        <v>2131</v>
      </c>
      <c r="D344" s="3" t="str">
        <f>VLOOKUP(A344,Hebrew!A:C,3,0)</f>
        <v>חיילי צה"ל מציגים פריטים אינטימיים בחדר השינה של אישה מעזה [חלק משרשור ארוך]</v>
      </c>
      <c r="E344" s="3" t="s">
        <v>2132</v>
      </c>
      <c r="F344" s="3" t="str">
        <f>VLOOKUP($A344,Hebrew!$A:$S,4,0)</f>
        <v>שלוש תמונות של אותו חייל צה"ל בציוד קרב מלא מציג פריטים נשיים אינטימיים בחדר שינה של אישה בעזה. השרשור כולל 13 ציוצים נוספים שמכילים תוכן נוסף של דה-הומניזציה, לרבות הרס, ביזה, השחתה, הצתת בתים ועצור.</v>
      </c>
      <c r="G344" s="3" t="s">
        <v>2124</v>
      </c>
      <c r="H344" s="2"/>
      <c r="I344" s="2"/>
      <c r="J344" s="3" t="s">
        <v>393</v>
      </c>
      <c r="K344" s="3" t="s">
        <v>453</v>
      </c>
      <c r="L344" s="3" t="str">
        <f>VLOOKUP($A344,Hebrew!$A:$S,9,0)</f>
        <v>Younis Tirawi (@ytirawi)</v>
      </c>
      <c r="M344" s="2"/>
      <c r="N344" s="2"/>
      <c r="O344" s="3" t="s">
        <v>26</v>
      </c>
      <c r="P344" s="3" t="s">
        <v>27</v>
      </c>
      <c r="Q344" s="3" t="str">
        <f>VLOOKUP($A344,Hebrew!$A:$S,13,0)</f>
        <v>רצועת עזה</v>
      </c>
      <c r="R344" s="3" t="s">
        <v>396</v>
      </c>
      <c r="S344" s="3" t="s">
        <v>1560</v>
      </c>
      <c r="T344" s="3" t="s">
        <v>2125</v>
      </c>
      <c r="U344" s="3" t="s">
        <v>43</v>
      </c>
      <c r="V344" s="3" t="s">
        <v>2126</v>
      </c>
      <c r="W344" s="2"/>
      <c r="X344" s="2"/>
      <c r="Y344" s="2"/>
    </row>
    <row r="345" spans="1:25" x14ac:dyDescent="0.2">
      <c r="A345" s="3">
        <v>591</v>
      </c>
      <c r="B345" s="4" t="s">
        <v>2133</v>
      </c>
      <c r="C345" s="3" t="s">
        <v>2134</v>
      </c>
      <c r="D345" s="3" t="str">
        <f>VLOOKUP(A345,Hebrew!A:C,3,0)</f>
        <v>ארבע תמונות של חיילי צה"ל בתנוחות של ניצחון בעזה</v>
      </c>
      <c r="E345" s="3" t="s">
        <v>2135</v>
      </c>
      <c r="F345" s="3" t="str">
        <f>VLOOKUP($A345,Hebrew!$A:$S,4,0)</f>
        <v>ארבע תמונות של חיילי צה"ל: 1. שני חיילים בציוד קרב מלא כורעים ודורכים על דגל פלסטין. 2. חייל בציוד קרב מלא עומד על דוכן (של מסגד?) ופורש ידיים. 3. שלושה חיילים בציוד קרב מלא בסלון בעזה, מוזגים קפה באמצעות כלי מטבח שהם כנראה מצאו בבית. 4. חייל צה"ל עומד בין הריסות עיר ומרים ידיים באצבעות זקופות.</v>
      </c>
      <c r="G345" s="3" t="s">
        <v>2136</v>
      </c>
      <c r="H345" s="2"/>
      <c r="I345" s="2"/>
      <c r="J345" s="3" t="s">
        <v>393</v>
      </c>
      <c r="K345" s="3" t="s">
        <v>453</v>
      </c>
      <c r="L345" s="3" t="str">
        <f>VLOOKUP($A345,Hebrew!$A:$S,9,0)</f>
        <v>Younis Tirawi (@ytirawi)</v>
      </c>
      <c r="M345" s="2"/>
      <c r="N345" s="2"/>
      <c r="O345" s="3" t="s">
        <v>26</v>
      </c>
      <c r="P345" s="3" t="s">
        <v>27</v>
      </c>
      <c r="Q345" s="3" t="str">
        <f>VLOOKUP($A345,Hebrew!$A:$S,13,0)</f>
        <v>רצועת עזה</v>
      </c>
      <c r="R345" s="3" t="s">
        <v>396</v>
      </c>
      <c r="S345" s="3" t="s">
        <v>700</v>
      </c>
      <c r="T345" s="3" t="s">
        <v>2137</v>
      </c>
      <c r="U345" s="3" t="s">
        <v>43</v>
      </c>
      <c r="V345" s="3" t="s">
        <v>27</v>
      </c>
      <c r="W345" s="2"/>
      <c r="X345" s="2"/>
      <c r="Y345" s="2"/>
    </row>
    <row r="346" spans="1:25" x14ac:dyDescent="0.2">
      <c r="A346" s="3">
        <v>592</v>
      </c>
      <c r="B346" s="4" t="s">
        <v>2138</v>
      </c>
      <c r="C346" s="3" t="s">
        <v>2139</v>
      </c>
      <c r="D346" s="3" t="str">
        <f>VLOOKUP(A346,Hebrew!A:C,3,0)</f>
        <v>חייל צה"ל שובר את החלון האחורי של רכב</v>
      </c>
      <c r="E346" s="3" t="s">
        <v>2140</v>
      </c>
      <c r="F346" s="3" t="str">
        <f>VLOOKUP($A346,Hebrew!$A:$S,4,0)</f>
        <v>חייל צה"ל בציוד קרב מלא זורק אבן על החלון האחורי השבור של רכב חונה, ושובר אותו עוד יותר.</v>
      </c>
      <c r="G346" s="3" t="s">
        <v>2141</v>
      </c>
      <c r="H346" s="2"/>
      <c r="I346" s="2"/>
      <c r="J346" s="3" t="s">
        <v>393</v>
      </c>
      <c r="K346" s="3" t="s">
        <v>453</v>
      </c>
      <c r="L346" s="3" t="str">
        <f>VLOOKUP($A346,Hebrew!$A:$S,9,0)</f>
        <v>Younis Tirawi (@ytirawi)</v>
      </c>
      <c r="M346" s="2"/>
      <c r="N346" s="2"/>
      <c r="O346" s="3" t="s">
        <v>26</v>
      </c>
      <c r="P346" s="3" t="s">
        <v>71</v>
      </c>
      <c r="Q346" s="3" t="str">
        <f>VLOOKUP($A346,Hebrew!$A:$S,13,0)</f>
        <v>עיר עזה</v>
      </c>
      <c r="R346" s="3" t="s">
        <v>396</v>
      </c>
      <c r="S346" s="3" t="s">
        <v>405</v>
      </c>
      <c r="T346" s="3" t="s">
        <v>2142</v>
      </c>
      <c r="U346" s="3" t="s">
        <v>43</v>
      </c>
      <c r="V346" s="3" t="s">
        <v>27</v>
      </c>
      <c r="W346" s="2"/>
      <c r="X346" s="2"/>
      <c r="Y346" s="2"/>
    </row>
    <row r="347" spans="1:25" x14ac:dyDescent="0.2">
      <c r="A347" s="3">
        <v>593</v>
      </c>
      <c r="B347" s="4" t="s">
        <v>2143</v>
      </c>
      <c r="C347" s="3" t="s">
        <v>2144</v>
      </c>
      <c r="D347" s="3" t="str">
        <f>VLOOKUP(A347,Hebrew!A:C,3,0)</f>
        <v>שרשור של שלושה סרטונים של עצורים פלסטינים המוחזקים על ידי צה"ל</v>
      </c>
      <c r="E347" s="3" t="s">
        <v>2145</v>
      </c>
      <c r="F347" s="3" t="str">
        <f>VLOOKUP($A347,Hebrew!$A:$S,4,0)</f>
        <v>שלושה סרטונים מראים עצורים פלסטינים שנעצרו על ידי צה"ל, עם מוזיקה ברקע: 1. חייל צה"ל במסכה ציוד קרב מלא מושך עצור צעיר עם כיסוי עיניים, לבוש בתחתונים, מתוך רכב צבאי, כשהוא מחזיק אותו בעורף. 2. שני עצורים, אחד מהם נראה צעיר מאוד, יושבים בתוך בית ספר בעיניים מכוסות וידיים קשורות. 3. שני עצורים עם כיסוי עיניים בתחתונים נראים בתוך רכב צבאי.</v>
      </c>
      <c r="G347" s="3" t="s">
        <v>2141</v>
      </c>
      <c r="H347" s="2"/>
      <c r="I347" s="2"/>
      <c r="J347" s="3" t="s">
        <v>393</v>
      </c>
      <c r="K347" s="3" t="s">
        <v>453</v>
      </c>
      <c r="L347" s="3" t="str">
        <f>VLOOKUP($A347,Hebrew!$A:$S,9,0)</f>
        <v>Younis Tirawi (@ytirawi)</v>
      </c>
      <c r="M347" s="2"/>
      <c r="N347" s="2"/>
      <c r="O347" s="3" t="s">
        <v>26</v>
      </c>
      <c r="P347" s="3" t="s">
        <v>71</v>
      </c>
      <c r="Q347" s="3" t="str">
        <f>VLOOKUP($A347,Hebrew!$A:$S,13,0)</f>
        <v>עיר עזה</v>
      </c>
      <c r="R347" s="3" t="s">
        <v>396</v>
      </c>
      <c r="S347" s="3" t="s">
        <v>405</v>
      </c>
      <c r="T347" s="3" t="s">
        <v>2146</v>
      </c>
      <c r="U347" s="3" t="s">
        <v>43</v>
      </c>
      <c r="V347" s="3" t="s">
        <v>71</v>
      </c>
      <c r="W347" s="2"/>
      <c r="X347" s="2"/>
      <c r="Y347" s="2"/>
    </row>
    <row r="348" spans="1:25" x14ac:dyDescent="0.2">
      <c r="A348" s="3">
        <v>594</v>
      </c>
      <c r="B348" s="4" t="s">
        <v>2147</v>
      </c>
      <c r="C348" s="3" t="s">
        <v>2148</v>
      </c>
      <c r="D348" s="3" t="str">
        <f>VLOOKUP(A348,Hebrew!A:C,3,0)</f>
        <v>וידאו שמלגלג על פליטים פלסטינים במעבר נצרים</v>
      </c>
      <c r="E348" s="3" t="s">
        <v>2149</v>
      </c>
      <c r="F348" s="3" t="str">
        <f>VLOOKUP($A348,Hebrew!$A:$S,4,0)</f>
        <v>הווידאו מראה מרחוק קבוצה גדולה של פליטים פלסטינים ליד החוף (סביר להניח שהולכים על כביש החוף) במעבר נצרים, בעוד קול מתאר אותם בזלזול: "חברים. אולטרה סכנין הגיעה לתמוך בעזה… היישר מדוחה. חחחח, תראו איזה כמות!"</v>
      </c>
      <c r="G348" s="3" t="s">
        <v>2141</v>
      </c>
      <c r="H348" s="3" t="s">
        <v>946</v>
      </c>
      <c r="I348" s="3" t="s">
        <v>2150</v>
      </c>
      <c r="J348" s="3" t="s">
        <v>393</v>
      </c>
      <c r="K348" s="3" t="s">
        <v>453</v>
      </c>
      <c r="L348" s="3" t="str">
        <f>VLOOKUP($A348,Hebrew!$A:$S,9,0)</f>
        <v>Younis Tirawi (@ytirawi)</v>
      </c>
      <c r="M348" s="2"/>
      <c r="N348" s="2"/>
      <c r="O348" s="3" t="s">
        <v>426</v>
      </c>
      <c r="P348" s="3" t="s">
        <v>2151</v>
      </c>
      <c r="Q348" s="3" t="str">
        <f>VLOOKUP($A348,Hebrew!$A:$S,13,0)</f>
        <v>מעבר נצרים</v>
      </c>
      <c r="R348" s="3" t="s">
        <v>396</v>
      </c>
      <c r="S348" s="3" t="s">
        <v>405</v>
      </c>
      <c r="T348" s="3" t="s">
        <v>2152</v>
      </c>
      <c r="U348" s="3" t="s">
        <v>43</v>
      </c>
      <c r="V348" s="3" t="s">
        <v>2153</v>
      </c>
      <c r="W348" s="2"/>
      <c r="X348" s="2"/>
      <c r="Y348" s="2"/>
    </row>
    <row r="349" spans="1:25" x14ac:dyDescent="0.2">
      <c r="A349" s="3">
        <v>595</v>
      </c>
      <c r="B349" s="4" t="s">
        <v>2154</v>
      </c>
      <c r="C349" s="3" t="s">
        <v>2155</v>
      </c>
      <c r="D349" s="3" t="str">
        <f>VLOOKUP(A349,Hebrew!A:C,3,0)</f>
        <v>ארבע תמונות בשרשור: 1. חייל צה"ל לבוש בבגדים ערביים מסורתיים. 2. חייל מול תמונה בוערת. 3. חייל מחזיק רובה בתחתונים. 4. שני חיילים יושבים על נדנדה.</v>
      </c>
      <c r="E349" s="3" t="s">
        <v>2156</v>
      </c>
      <c r="F349" s="3" t="str">
        <f>VLOOKUP($A349,Hebrew!$A:$S,4,0)</f>
        <v>ארבע תמונות: 1. חייל צה"ל לבוש בגלביה לבנה ובכאפיה לבנה בתוך בית בעזה, חייל נוסף במדים עומד מאחוריו. 2. חייל יושב בציוד קרב מלא ורובה מונח על כיסא בתוך בית, בעוד תמונה גדולה בוערת מאחוריו. 3. חייל מחזיק רובה בתחתונים עם הרס ברקע. 4. שני חיילים יושבים על נדנדה בבניין הרוס.</v>
      </c>
      <c r="G349" s="3" t="s">
        <v>2141</v>
      </c>
      <c r="H349" s="2"/>
      <c r="I349" s="2"/>
      <c r="J349" s="3" t="s">
        <v>393</v>
      </c>
      <c r="K349" s="3" t="s">
        <v>453</v>
      </c>
      <c r="L349" s="3" t="str">
        <f>VLOOKUP($A349,Hebrew!$A:$S,9,0)</f>
        <v>Younis Tirawi (@ytirawi)</v>
      </c>
      <c r="M349" s="2"/>
      <c r="N349" s="2"/>
      <c r="O349" s="3" t="s">
        <v>26</v>
      </c>
      <c r="P349" s="3" t="s">
        <v>2157</v>
      </c>
      <c r="Q349" s="3" t="str">
        <f>VLOOKUP($A349,Hebrew!$A:$S,13,0)</f>
        <v>עיר עזה, חאן יונס</v>
      </c>
      <c r="R349" s="3" t="s">
        <v>396</v>
      </c>
      <c r="S349" s="3" t="s">
        <v>455</v>
      </c>
      <c r="T349" s="3" t="s">
        <v>2158</v>
      </c>
      <c r="U349" s="3" t="s">
        <v>43</v>
      </c>
      <c r="V349" s="3" t="s">
        <v>2159</v>
      </c>
      <c r="W349" s="2"/>
      <c r="X349" s="2"/>
      <c r="Y349" s="2"/>
    </row>
    <row r="350" spans="1:25" x14ac:dyDescent="0.2">
      <c r="A350" s="3">
        <v>596</v>
      </c>
      <c r="B350" s="4" t="s">
        <v>2160</v>
      </c>
      <c r="C350" s="3" t="s">
        <v>2161</v>
      </c>
      <c r="D350" s="3" t="str">
        <f>VLOOKUP(A350,Hebrew!A:C,3,0)</f>
        <v>דימויים של חדר מלא במוקשים וחייל מצביע עם רובה שלו מחלון ולועג ללפלסטינים.</v>
      </c>
      <c r="E350" s="3" t="s">
        <v>2162</v>
      </c>
      <c r="F350" s="3" t="str">
        <f>VLOOKUP($A350,Hebrew!$A:$S,4,0)</f>
        <v>שתי תמונות: 1. רצפת חדר בדירה מכוסה במוקשים. חיילים מטפלים בהם. 2. חייל בתוך דירה עם רובה מכוון החוצה מהחלון לכיוון בניינים אחרים. כיתוב אומר: "אזרחי חאן יונס. היה לי תענוג לפוצץ את הבתים שלכם באוויר" עם אימוג'י צוחק. כל זה פורסם באינסטגרם.</v>
      </c>
      <c r="G350" s="3" t="s">
        <v>1252</v>
      </c>
      <c r="H350" s="3" t="s">
        <v>2163</v>
      </c>
      <c r="I350" s="3" t="s">
        <v>2163</v>
      </c>
      <c r="J350" s="3" t="s">
        <v>393</v>
      </c>
      <c r="K350" s="3" t="s">
        <v>453</v>
      </c>
      <c r="L350" s="3" t="str">
        <f>VLOOKUP($A350,Hebrew!$A:$S,9,0)</f>
        <v>Younis Tirawi (@ytirawi)</v>
      </c>
      <c r="M350" s="2"/>
      <c r="N350" s="2"/>
      <c r="O350" s="3" t="s">
        <v>426</v>
      </c>
      <c r="P350" s="3" t="s">
        <v>395</v>
      </c>
      <c r="Q350" s="3" t="str">
        <f>VLOOKUP($A350,Hebrew!$A:$S,13,0)</f>
        <v>חאן יונס</v>
      </c>
      <c r="R350" s="3" t="s">
        <v>396</v>
      </c>
      <c r="S350" s="3" t="s">
        <v>455</v>
      </c>
      <c r="T350" s="3" t="s">
        <v>2164</v>
      </c>
      <c r="U350" s="3" t="s">
        <v>43</v>
      </c>
      <c r="V350" s="3" t="s">
        <v>395</v>
      </c>
      <c r="W350" s="2"/>
      <c r="X350" s="2"/>
      <c r="Y350" s="2"/>
    </row>
    <row r="351" spans="1:25" x14ac:dyDescent="0.2">
      <c r="A351" s="3">
        <v>597</v>
      </c>
      <c r="B351" s="4" t="s">
        <v>2165</v>
      </c>
      <c r="C351" s="3" t="s">
        <v>2166</v>
      </c>
      <c r="D351" s="3" t="str">
        <f>VLOOKUP(A351,Hebrew!A:C,3,0)</f>
        <v>חייל צה"ל עם הלבשה תחתונה של נשים תלויה על גדר תיל. בתמונה השנייה מופיעים שני חיילים עם חזייה.</v>
      </c>
      <c r="E351" s="3" t="s">
        <v>2167</v>
      </c>
      <c r="F351" s="3" t="str">
        <f>VLOOKUP($A351,Hebrew!$A:$S,4,0)</f>
        <v>חייל בציוד קרב מלא פונה למצלמה ומחייך, ליד כ-10 פריטי הלבשה תחתונה צבעוניים התלויים על חוט תיל, ונוגע בידו באחד החזיות. בתמונה השנייה חייל מחזיק חזייה, כנראה לוקח אותה.</v>
      </c>
      <c r="G351" s="3" t="s">
        <v>1252</v>
      </c>
      <c r="H351" s="3" t="s">
        <v>2168</v>
      </c>
      <c r="I351" s="3" t="s">
        <v>2169</v>
      </c>
      <c r="J351" s="3" t="s">
        <v>393</v>
      </c>
      <c r="K351" s="3" t="s">
        <v>453</v>
      </c>
      <c r="L351" s="3" t="str">
        <f>VLOOKUP($A351,Hebrew!$A:$S,9,0)</f>
        <v>Younis Tirawi (@ytirawi)</v>
      </c>
      <c r="M351" s="2"/>
      <c r="N351" s="2"/>
      <c r="O351" s="3" t="s">
        <v>26</v>
      </c>
      <c r="P351" s="3" t="s">
        <v>395</v>
      </c>
      <c r="Q351" s="3" t="str">
        <f>VLOOKUP($A351,Hebrew!$A:$S,13)</f>
        <v>חאן יונס</v>
      </c>
      <c r="R351" s="3" t="s">
        <v>396</v>
      </c>
      <c r="S351" s="3" t="s">
        <v>455</v>
      </c>
      <c r="T351" s="3" t="s">
        <v>2170</v>
      </c>
      <c r="U351" s="3" t="s">
        <v>43</v>
      </c>
      <c r="V351" s="3" t="s">
        <v>395</v>
      </c>
      <c r="W351" s="2"/>
      <c r="X351" s="2"/>
      <c r="Y351" s="2"/>
    </row>
    <row r="352" spans="1:25" x14ac:dyDescent="0.2">
      <c r="A352" s="3">
        <v>598</v>
      </c>
      <c r="B352" s="4" t="s">
        <v>2171</v>
      </c>
      <c r="C352" s="3" t="s">
        <v>2172</v>
      </c>
      <c r="D352" s="3" t="str">
        <f>VLOOKUP(A352,Hebrew!A:C,3,0)</f>
        <v>חיילי צה"ל מראים עצור פלסטיני מאוד צעיר</v>
      </c>
      <c r="E352" s="3" t="s">
        <v>2173</v>
      </c>
      <c r="F352" s="3" t="str">
        <f>VLOOKUP($A352,Hebrew!$A:$S,4,0)</f>
        <v>שני חיילי צה"ל ליד קיר מלא בגרפיטי בעברית, לא רחוק ממעבר נצרים. שניהם לבושים במדי קרב מלאים, ורק עיניהם נראות. אחד מהם הוא המפקד והוא מורה לחייל שלו להראות למצלמה "את החטוף", שנראה כמו עצור פלסטיני מאוד צעיר, מכורבל עם ידיים קשורות ועיניים מכוסות. בקרבת מקום חייל נוסף יושב על נדנדה.</v>
      </c>
      <c r="G352" s="3" t="s">
        <v>1252</v>
      </c>
      <c r="H352" s="3" t="s">
        <v>1252</v>
      </c>
      <c r="I352" s="3" t="s">
        <v>1252</v>
      </c>
      <c r="J352" s="3" t="s">
        <v>393</v>
      </c>
      <c r="K352" s="3" t="s">
        <v>453</v>
      </c>
      <c r="L352" s="3" t="str">
        <f>VLOOKUP($A352,Hebrew!$A:$S,9,0)</f>
        <v>Younis Tirawi (@ytirawi)</v>
      </c>
      <c r="M352" s="2"/>
      <c r="N352" s="2"/>
      <c r="O352" s="3" t="s">
        <v>493</v>
      </c>
      <c r="P352" s="3" t="s">
        <v>2174</v>
      </c>
      <c r="Q352" s="3" t="str">
        <f>VLOOKUP($A352,Hebrew!$A:$S,13,0)</f>
        <v>מעבר נצרים</v>
      </c>
      <c r="R352" s="3" t="s">
        <v>396</v>
      </c>
      <c r="S352" s="3" t="s">
        <v>405</v>
      </c>
      <c r="T352" s="3" t="s">
        <v>2175</v>
      </c>
      <c r="U352" s="3" t="s">
        <v>43</v>
      </c>
      <c r="V352" s="3" t="s">
        <v>2176</v>
      </c>
      <c r="W352" s="2"/>
      <c r="X352" s="2"/>
      <c r="Y352" s="2"/>
    </row>
    <row r="353" spans="1:25" x14ac:dyDescent="0.2">
      <c r="A353" s="3">
        <v>599</v>
      </c>
      <c r="B353" s="4" t="s">
        <v>2177</v>
      </c>
      <c r="C353" s="3" t="s">
        <v>2178</v>
      </c>
      <c r="D353" s="3" t="str">
        <f>VLOOKUP(A353,Hebrew!A:C,3,0)</f>
        <v>חיילים מציגים הלבשה תחתונה ואביזרים של נשים מעזה (6 תמונות)</v>
      </c>
      <c r="E353" s="3" t="s">
        <v>2179</v>
      </c>
      <c r="F353" s="3" t="str">
        <f>VLOOKUP($A353,Hebrew!$A:$S,4,0)</f>
        <v>שתי תמונות: 1. שני חיילי צה"ל עם חצי גוף חשוף עומדים בחוץ. אחד מהם לובש חזייה מפוארת והשני נוגע בחזה של חברו וצוחק. 2. חייל בציוד קרב מלא לובש חזייה מעל המדים שלו, מחזיק בתיק ומבצע מחווה סקסית עם הלשון. הציוץ השני בשרשור כולל ארבע תמונות: 1. חייל לובש בגדי נשים ומחזיק בתיק יד. 2. חייל עם צעיף נשי(?). 3. חייל נוסף לובש חזייה ומחזיק בתיק ליד החייל מהתמונה הראשונה. 4. חייל מחזיק בגד נשים.</v>
      </c>
      <c r="G353" s="3" t="s">
        <v>1756</v>
      </c>
      <c r="H353" s="2"/>
      <c r="I353" s="2"/>
      <c r="J353" s="3" t="s">
        <v>393</v>
      </c>
      <c r="K353" s="3" t="s">
        <v>453</v>
      </c>
      <c r="L353" s="3" t="str">
        <f>VLOOKUP($A353,Hebrew!$A:$S,9,0)</f>
        <v>Younis Tirawi (@ytirawi)</v>
      </c>
      <c r="M353" s="2"/>
      <c r="N353" s="2"/>
      <c r="O353" s="3" t="s">
        <v>26</v>
      </c>
      <c r="P353" s="3" t="s">
        <v>71</v>
      </c>
      <c r="Q353" s="3" t="str">
        <f>VLOOKUP($A353,Hebrew!$A:$S,13,0)</f>
        <v>עיר עזה</v>
      </c>
      <c r="R353" s="3" t="s">
        <v>396</v>
      </c>
      <c r="S353" s="3" t="s">
        <v>455</v>
      </c>
      <c r="T353" s="3" t="s">
        <v>2180</v>
      </c>
      <c r="U353" s="3" t="s">
        <v>43</v>
      </c>
      <c r="V353" s="3" t="s">
        <v>71</v>
      </c>
      <c r="W353" s="2"/>
      <c r="X353" s="2"/>
      <c r="Y353" s="2"/>
    </row>
    <row r="354" spans="1:25" x14ac:dyDescent="0.2">
      <c r="A354" s="3">
        <v>600</v>
      </c>
      <c r="B354" s="4" t="s">
        <v>2181</v>
      </c>
      <c r="C354" s="3" t="s">
        <v>2182</v>
      </c>
      <c r="D354" s="3" t="str">
        <f>VLOOKUP(A354,Hebrew!A:C,3,0)</f>
        <v>שני חיילים מחזיקים בתמונה של אישה בלנז'רי [שרשור נוסף ארוך]</v>
      </c>
      <c r="E354" s="3" t="s">
        <v>2183</v>
      </c>
      <c r="F354" s="3" t="str">
        <f>VLOOKUP($A354,Hebrew!$A:$S,4,0)</f>
        <v>שני חיילים במדים, פונים למצלמה ומחייכים בזמן שהם מחזיקים יחד חבילה שעליה תמונה של אישה בהלבשה תחתונה. הכיתוב אומר: "עזה, תורידי את המכנסיים כי הכוח שלנו מגיע". ישנם 11 ציוצים נוספים בשרשור הזה, כולל פיצוץ מסגד, הריסת בניינים, הצתת בניינים, הרס הכניסה לאוניברסיטת אל-אזהר, חיילי צה"ל שבוזזים ולובשים בגדים של נשים פלסטיניות, חייל ללא חולצה ורצועת ראש של חמאס וסכין בידו, ותוכן מבזה נוסף.</v>
      </c>
      <c r="G354" s="3" t="s">
        <v>1756</v>
      </c>
      <c r="H354" s="2"/>
      <c r="I354" s="2"/>
      <c r="J354" s="3" t="s">
        <v>393</v>
      </c>
      <c r="K354" s="3" t="s">
        <v>453</v>
      </c>
      <c r="L354" s="3" t="str">
        <f>VLOOKUP($A354,Hebrew!$A:$S,9,0)</f>
        <v>Younis Tirawi (@ytirawi)</v>
      </c>
      <c r="M354" s="2"/>
      <c r="N354" s="2"/>
      <c r="O354" s="3" t="s">
        <v>426</v>
      </c>
      <c r="P354" s="3" t="s">
        <v>27</v>
      </c>
      <c r="Q354" s="3" t="str">
        <f>VLOOKUP($A354,Hebrew!$A:$S,13,0)</f>
        <v>רצועת עזה</v>
      </c>
      <c r="R354" s="3" t="s">
        <v>396</v>
      </c>
      <c r="S354" s="3" t="s">
        <v>1560</v>
      </c>
      <c r="T354" s="3" t="s">
        <v>2184</v>
      </c>
      <c r="U354" s="3" t="s">
        <v>43</v>
      </c>
      <c r="V354" s="3" t="s">
        <v>27</v>
      </c>
      <c r="W354" s="2"/>
      <c r="X354" s="2"/>
      <c r="Y354" s="2"/>
    </row>
    <row r="355" spans="1:25" x14ac:dyDescent="0.2">
      <c r="A355" s="3">
        <v>601</v>
      </c>
      <c r="B355" s="4" t="s">
        <v>2185</v>
      </c>
      <c r="C355" s="3" t="s">
        <v>2186</v>
      </c>
      <c r="D355" s="3" t="str">
        <f>VLOOKUP(A355,Hebrew!A:C,3,0)</f>
        <v>חייל צה"ל לועג למעוכב [תוכן נוסף ב-6 ציוצים אחרים]</v>
      </c>
      <c r="E355" s="3" t="s">
        <v>2187</v>
      </c>
      <c r="F355" s="3" t="str">
        <f>VLOOKUP($A355,Hebrew!$A:$S,4,0)</f>
        <v>קבוצת עצורים עומדת בשורה עם ידיים למעלה מול רכב צבאי ברחוב בעיר. כמה חיילים עומדים מסביב. גבר - ככל הנראה עובד בתחום הבריאות - בלבוש לבן וידיים קשורות מובל על ידי חייל. הכיתוב בעברית אומר: "זבל אנושי" "הנה הוא, לא כזה גיבור אחרי שהגענו אליו". ברקע נשמעת הודעה בערבית. התוכן הנוסף בשרשור כולל הרס של מסגד ובניינים אחרים, ונדליזם, חייל לבוש בשמלה, ווידאו של מאות או אלפי פליטים מעזה.</v>
      </c>
      <c r="G355" s="3" t="s">
        <v>2188</v>
      </c>
      <c r="H355" s="2"/>
      <c r="I355" s="2"/>
      <c r="J355" s="3" t="s">
        <v>393</v>
      </c>
      <c r="K355" s="3" t="s">
        <v>453</v>
      </c>
      <c r="L355" s="3" t="str">
        <f>VLOOKUP($A355,Hebrew!$A:$S,9,0)</f>
        <v>Younis Tirawi (@ytirawi)</v>
      </c>
      <c r="M355" s="2"/>
      <c r="N355" s="2"/>
      <c r="O355" s="3" t="s">
        <v>426</v>
      </c>
      <c r="P355" s="3" t="s">
        <v>27</v>
      </c>
      <c r="Q355" s="3" t="str">
        <f>VLOOKUP($A355,Hebrew!$A:$S,13,0)</f>
        <v>רצועת עזה</v>
      </c>
      <c r="R355" s="3" t="s">
        <v>396</v>
      </c>
      <c r="S355" s="3" t="s">
        <v>1560</v>
      </c>
      <c r="T355" s="3" t="s">
        <v>2189</v>
      </c>
      <c r="U355" s="3" t="s">
        <v>43</v>
      </c>
      <c r="V355" s="3" t="s">
        <v>27</v>
      </c>
      <c r="W355" s="2"/>
      <c r="X355" s="2"/>
      <c r="Y355" s="2"/>
    </row>
    <row r="356" spans="1:25" x14ac:dyDescent="0.2">
      <c r="A356" s="3">
        <v>837</v>
      </c>
      <c r="B356" s="4" t="s">
        <v>2190</v>
      </c>
      <c r="C356" s="3" t="s">
        <v>2191</v>
      </c>
      <c r="D356" s="3" t="str">
        <f>VLOOKUP(A356,Hebrew!A:C,3,0)</f>
        <v>חייל צה"ל שורף עיתון בשפה הערבית</v>
      </c>
      <c r="E356" s="3" t="s">
        <v>2192</v>
      </c>
      <c r="F356" s="3" t="str">
        <f>VLOOKUP($A356,Hebrew!$A:$S,4,0)</f>
        <v>שלושה חיילים נוספים נמצאים בקרבת מקום. שריפת העיתון מתרחשת בבית.</v>
      </c>
      <c r="G356" s="3" t="s">
        <v>988</v>
      </c>
      <c r="H356" s="2"/>
      <c r="I356" s="2"/>
      <c r="J356" s="3" t="s">
        <v>393</v>
      </c>
      <c r="K356" s="3" t="s">
        <v>453</v>
      </c>
      <c r="L356" s="3" t="str">
        <f>VLOOKUP($A356,Hebrew!$A:$S,9,0)</f>
        <v>Younis Tirawi (@ytirawi)</v>
      </c>
      <c r="M356" s="2"/>
      <c r="N356" s="2"/>
      <c r="O356" s="3" t="s">
        <v>645</v>
      </c>
      <c r="P356" s="3" t="s">
        <v>71</v>
      </c>
      <c r="Q356" s="3" t="str">
        <f>VLOOKUP($A356,Hebrew!$A:$S,13,0)</f>
        <v>עיר עזה</v>
      </c>
      <c r="R356" s="3" t="s">
        <v>396</v>
      </c>
      <c r="S356" s="3" t="s">
        <v>455</v>
      </c>
      <c r="T356" s="3" t="s">
        <v>2193</v>
      </c>
      <c r="U356" s="3" t="s">
        <v>43</v>
      </c>
      <c r="V356" s="3" t="s">
        <v>71</v>
      </c>
      <c r="W356" s="2"/>
      <c r="X356" s="2"/>
      <c r="Y356" s="2"/>
    </row>
    <row r="357" spans="1:25" x14ac:dyDescent="0.2">
      <c r="A357" s="3">
        <v>838</v>
      </c>
      <c r="B357" s="4" t="s">
        <v>2194</v>
      </c>
      <c r="C357" s="3" t="s">
        <v>2195</v>
      </c>
      <c r="D357" s="3" t="str">
        <f>VLOOKUP(A357,Hebrew!A:C,3,0)</f>
        <v>שלוש תמונות של חיילי צה"ל שורפים בניינים בעזה</v>
      </c>
      <c r="E357" s="3" t="s">
        <v>2196</v>
      </c>
      <c r="F357" s="3" t="str">
        <f>VLOOKUP($A357,Hebrew!$A:$S,4,0)</f>
        <v>חיילי צה"ל מול בניינים בוערים בשלוש תמונות שונות; הכיתוב בעברית אומר "עזה ז"ל".</v>
      </c>
      <c r="G357" s="3" t="s">
        <v>988</v>
      </c>
      <c r="H357" s="2"/>
      <c r="I357" s="2"/>
      <c r="J357" s="3" t="s">
        <v>393</v>
      </c>
      <c r="K357" s="3" t="s">
        <v>453</v>
      </c>
      <c r="L357" s="3" t="str">
        <f>VLOOKUP($A357,Hebrew!$A:$S,9,0)</f>
        <v>Younis Tirawi (@ytirawi)</v>
      </c>
      <c r="M357" s="2"/>
      <c r="N357" s="2"/>
      <c r="O357" s="3" t="s">
        <v>39</v>
      </c>
      <c r="P357" s="3" t="s">
        <v>27</v>
      </c>
      <c r="Q357" s="3" t="str">
        <f>VLOOKUP($A357,Hebrew!$A:$S,13,0)</f>
        <v>רצועת עזה</v>
      </c>
      <c r="R357" s="3" t="s">
        <v>396</v>
      </c>
      <c r="S357" s="3" t="s">
        <v>405</v>
      </c>
      <c r="T357" s="3" t="s">
        <v>2197</v>
      </c>
      <c r="U357" s="3" t="s">
        <v>43</v>
      </c>
      <c r="V357" s="3" t="s">
        <v>27</v>
      </c>
      <c r="W357" s="2"/>
      <c r="X357" s="2"/>
      <c r="Y357" s="2"/>
    </row>
    <row r="358" spans="1:25" x14ac:dyDescent="0.2">
      <c r="A358" s="3">
        <v>839</v>
      </c>
      <c r="B358" s="4" t="s">
        <v>2198</v>
      </c>
      <c r="C358" s="3" t="s">
        <v>2199</v>
      </c>
      <c r="D358" s="3" t="str">
        <f>VLOOKUP(A358,Hebrew!A:C,3,0)</f>
        <v>חייל צה"ל משמיד גיטרה; יחד עם עוד חייל שניהם צוחקים. בתמונה אחרת חייל קורע תמונה.</v>
      </c>
      <c r="E358" s="3" t="s">
        <v>2200</v>
      </c>
      <c r="F358" s="3" t="str">
        <f>VLOOKUP($A358,Hebrew!$A:$S,4,0)</f>
        <v>חייל צה"ל שובר גיטרה בתוך בית בעזה, בעוד חיילים אחרים צוחקים ברקע. ציוץ אחר כולל חייל צה"ל שקרע תמונה עם הראש שלו.</v>
      </c>
      <c r="G358" s="3" t="s">
        <v>988</v>
      </c>
      <c r="H358" s="2"/>
      <c r="I358" s="2"/>
      <c r="J358" s="3" t="s">
        <v>393</v>
      </c>
      <c r="K358" s="3" t="s">
        <v>453</v>
      </c>
      <c r="L358" s="3" t="str">
        <f>VLOOKUP($A358,Hebrew!$A:$S,9,0)</f>
        <v>Younis Tirawi (@ytirawi)</v>
      </c>
      <c r="M358" s="2"/>
      <c r="N358" s="2"/>
      <c r="O358" s="3" t="s">
        <v>39</v>
      </c>
      <c r="P358" s="3" t="s">
        <v>27</v>
      </c>
      <c r="Q358" s="3" t="str">
        <f>VLOOKUP($A358,Hebrew!$A:$S,13,0)</f>
        <v>רצועת עזה</v>
      </c>
      <c r="R358" s="3" t="s">
        <v>396</v>
      </c>
      <c r="S358" s="3" t="s">
        <v>455</v>
      </c>
      <c r="T358" s="3" t="s">
        <v>2201</v>
      </c>
      <c r="U358" s="3" t="s">
        <v>43</v>
      </c>
      <c r="V358" s="3" t="s">
        <v>27</v>
      </c>
      <c r="W358" s="2"/>
      <c r="X358" s="2"/>
      <c r="Y358" s="2"/>
    </row>
    <row r="359" spans="1:25" x14ac:dyDescent="0.2">
      <c r="A359" s="3">
        <v>840</v>
      </c>
      <c r="B359" s="4" t="s">
        <v>2202</v>
      </c>
      <c r="C359" s="3" t="s">
        <v>2203</v>
      </c>
      <c r="D359" s="3" t="str">
        <f>VLOOKUP(A359,Hebrew!A:C,3,0)</f>
        <v>חיילים לועגים להרס בבניין שגם הוצת.</v>
      </c>
      <c r="E359" s="3" t="s">
        <v>2204</v>
      </c>
      <c r="F359" s="3" t="str">
        <f>VLOOKUP($A359,Hebrew!$A:$S,4,0)</f>
        <v>חיילי צה"ל צוחקים על הפסקת החשמל בין חורבות בית פלסטיני שהוצת בעזה.</v>
      </c>
      <c r="G359" s="3" t="s">
        <v>988</v>
      </c>
      <c r="H359" s="2"/>
      <c r="I359" s="2"/>
      <c r="J359" s="3" t="s">
        <v>393</v>
      </c>
      <c r="K359" s="3" t="s">
        <v>453</v>
      </c>
      <c r="L359" s="3" t="str">
        <f>VLOOKUP($A359,Hebrew!$A:$S,9,0)</f>
        <v>Younis Tirawi (@ytirawi)</v>
      </c>
      <c r="M359" s="2"/>
      <c r="N359" s="2"/>
      <c r="O359" s="3" t="s">
        <v>426</v>
      </c>
      <c r="P359" s="3" t="s">
        <v>27</v>
      </c>
      <c r="Q359" s="3" t="str">
        <f>VLOOKUP($A359,Hebrew!$A:$S,13,0)</f>
        <v>רצועת עזה</v>
      </c>
      <c r="R359" s="3" t="s">
        <v>396</v>
      </c>
      <c r="S359" s="3" t="s">
        <v>405</v>
      </c>
      <c r="T359" s="3" t="s">
        <v>2205</v>
      </c>
      <c r="U359" s="3" t="s">
        <v>43</v>
      </c>
      <c r="V359" s="3" t="s">
        <v>27</v>
      </c>
      <c r="W359" s="2"/>
      <c r="X359" s="2"/>
      <c r="Y359" s="2"/>
    </row>
    <row r="360" spans="1:25" x14ac:dyDescent="0.2">
      <c r="A360" s="3">
        <v>841</v>
      </c>
      <c r="B360" s="4" t="s">
        <v>2206</v>
      </c>
      <c r="C360" s="3" t="s">
        <v>2207</v>
      </c>
      <c r="D360" s="3" t="str">
        <f>VLOOKUP(A360,Hebrew!A:C,3,0)</f>
        <v>חיילי צה"ל שורפים את גג בניין מגורים, מצולמים מלמטה</v>
      </c>
      <c r="E360" s="3" t="s">
        <v>2208</v>
      </c>
      <c r="F360" s="3" t="str">
        <f>VLOOKUP($A360,Hebrew!$A:$S,4,0)</f>
        <v>חיילי צה"ל מבעירים מגדל מגורים בעיר עזה בלילה, עם כיתוב בעברית שאומר: "עזה בלהבות". חתיכות של פסולת וזכוכית נופלות.</v>
      </c>
      <c r="G360" s="3" t="s">
        <v>988</v>
      </c>
      <c r="H360" s="2"/>
      <c r="I360" s="2"/>
      <c r="J360" s="3" t="s">
        <v>393</v>
      </c>
      <c r="K360" s="3" t="s">
        <v>453</v>
      </c>
      <c r="L360" s="3" t="str">
        <f>VLOOKUP($A360,Hebrew!$A:$S,9,0)</f>
        <v>Younis Tirawi (@ytirawi)</v>
      </c>
      <c r="M360" s="2"/>
      <c r="N360" s="2"/>
      <c r="O360" s="3" t="s">
        <v>426</v>
      </c>
      <c r="P360" s="3" t="s">
        <v>71</v>
      </c>
      <c r="Q360" s="3" t="str">
        <f>VLOOKUP($A360,Hebrew!$A:$S,13,0)</f>
        <v>עיר עזה</v>
      </c>
      <c r="R360" s="3" t="s">
        <v>396</v>
      </c>
      <c r="S360" s="3" t="s">
        <v>405</v>
      </c>
      <c r="T360" s="3" t="s">
        <v>2209</v>
      </c>
      <c r="U360" s="3" t="s">
        <v>43</v>
      </c>
      <c r="V360" s="3" t="s">
        <v>71</v>
      </c>
      <c r="W360" s="2"/>
      <c r="X360" s="2"/>
      <c r="Y360" s="2"/>
    </row>
    <row r="361" spans="1:25" x14ac:dyDescent="0.2">
      <c r="A361" s="3">
        <v>245</v>
      </c>
      <c r="B361" s="4" t="s">
        <v>2210</v>
      </c>
      <c r="C361" s="3" t="s">
        <v>2211</v>
      </c>
      <c r="D361" s="3" t="str">
        <f>VLOOKUP(A361,Hebrew!A:C,3,0)</f>
        <v>כוחות ישראליים הרסו חלקים מבית הקברות אל-פלוג'ה בצפון עזה</v>
      </c>
      <c r="E361" s="3" t="s">
        <v>2212</v>
      </c>
      <c r="F361" s="3" t="str">
        <f>VLOOKUP($A361,Hebrew!$A:$S,4,0)</f>
        <v>כוחות ישראליים בליווי דחפורים הרסו חלקים מבית הקברות אל-פלוג'ה בצפון עזה.</v>
      </c>
      <c r="G361" s="3" t="s">
        <v>2213</v>
      </c>
      <c r="H361" s="2"/>
      <c r="I361" s="2"/>
      <c r="J361" s="3" t="s">
        <v>393</v>
      </c>
      <c r="K361" s="3" t="s">
        <v>756</v>
      </c>
      <c r="L361" s="3" t="str">
        <f>VLOOKUP($A361,Hebrew!$A:$S,9,0)</f>
        <v>Quds News Network (@QudsNen)</v>
      </c>
      <c r="M361" s="2"/>
      <c r="N361" s="2"/>
      <c r="O361" s="3" t="s">
        <v>412</v>
      </c>
      <c r="P361" s="3" t="s">
        <v>2214</v>
      </c>
      <c r="Q361" s="3" t="str">
        <f>VLOOKUP($A361,Hebrew!$A:$S,13,0)</f>
        <v xml:space="preserve">בית הקברות אל פאלוג'ה, צפון רצועת עזה
</v>
      </c>
      <c r="R361" s="3" t="s">
        <v>396</v>
      </c>
      <c r="S361" s="3" t="s">
        <v>413</v>
      </c>
      <c r="T361" s="3" t="s">
        <v>2215</v>
      </c>
      <c r="U361" s="3" t="s">
        <v>43</v>
      </c>
      <c r="V361" s="3" t="s">
        <v>1688</v>
      </c>
      <c r="W361" s="2"/>
      <c r="X361" s="2"/>
      <c r="Y361" s="2"/>
    </row>
    <row r="362" spans="1:25" x14ac:dyDescent="0.2">
      <c r="A362" s="3">
        <v>246</v>
      </c>
      <c r="B362" s="4" t="s">
        <v>2216</v>
      </c>
      <c r="C362" s="3" t="s">
        <v>2217</v>
      </c>
      <c r="D362" s="3" t="str">
        <f>VLOOKUP(A362,Hebrew!A:C,3,0)</f>
        <v>דחפורים ישראליים חופרים ומשמידים את בית הקברות אל-בתיש סמוך לעיר עזה</v>
      </c>
      <c r="E362" s="3" t="s">
        <v>2218</v>
      </c>
      <c r="F362" s="3" t="str">
        <f>VLOOKUP($A362,Hebrew!$A:$S,4,0)</f>
        <v>דחפורים ישראליים הורסים את בית הקברות אל-בתיש ליד העיר עזה. גופות מפוזרות והקברים לא ניתנים לאיתור.</v>
      </c>
      <c r="G362" s="3" t="s">
        <v>2219</v>
      </c>
      <c r="H362" s="2"/>
      <c r="I362" s="2"/>
      <c r="J362" s="3" t="s">
        <v>393</v>
      </c>
      <c r="K362" s="3" t="s">
        <v>659</v>
      </c>
      <c r="L362" s="3" t="str">
        <f>VLOOKUP($A362,Hebrew!$A:$S,9,0)</f>
        <v>Ramy Abdu (@RamAbdu)</v>
      </c>
      <c r="M362" s="2"/>
      <c r="N362" s="2"/>
      <c r="O362" s="3" t="s">
        <v>412</v>
      </c>
      <c r="P362" s="3" t="s">
        <v>2220</v>
      </c>
      <c r="Q362" s="3" t="str">
        <f>VLOOKUP($A362,Hebrew!$A:$S,13,0)</f>
        <v>בית הקברות אל-בתיש בעזה</v>
      </c>
      <c r="R362" s="3" t="s">
        <v>396</v>
      </c>
      <c r="S362" s="3" t="s">
        <v>413</v>
      </c>
      <c r="T362" s="3" t="s">
        <v>2215</v>
      </c>
      <c r="U362" s="3" t="s">
        <v>43</v>
      </c>
      <c r="V362" s="3" t="s">
        <v>1083</v>
      </c>
      <c r="W362" s="2"/>
      <c r="X362" s="2"/>
      <c r="Y362" s="2"/>
    </row>
    <row r="363" spans="1:25" x14ac:dyDescent="0.2">
      <c r="A363" s="3">
        <v>247</v>
      </c>
      <c r="B363" s="4" t="s">
        <v>2221</v>
      </c>
      <c r="C363" s="3" t="s">
        <v>2222</v>
      </c>
      <c r="D363" s="3" t="str">
        <f>VLOOKUP(A363,Hebrew!A:C,3,0)</f>
        <v>הרס בית ההוצאה לאור וספריית אל-כלימה, שנשרפו.</v>
      </c>
      <c r="E363" s="3" t="s">
        <v>2223</v>
      </c>
      <c r="F363" s="3" t="str">
        <f>VLOOKUP($A363,Hebrew!$A:$S,4,0)</f>
        <v>צה"ל (?) משמיד ושורף את בית ההוצאה לאור והספרייה של אל-כלימה בשכונת שייח' רדואן בעזה.</v>
      </c>
      <c r="G363" s="3" t="s">
        <v>552</v>
      </c>
      <c r="H363" s="2"/>
      <c r="I363" s="2"/>
      <c r="J363" s="3" t="s">
        <v>393</v>
      </c>
      <c r="K363" s="3" t="s">
        <v>659</v>
      </c>
      <c r="L363" s="3" t="str">
        <f>VLOOKUP($A363,Hebrew!$A:$S,9,0)</f>
        <v>Ramy Abdu (@RamAbdu)</v>
      </c>
      <c r="M363" s="2"/>
      <c r="N363" s="2"/>
      <c r="O363" s="3" t="s">
        <v>26</v>
      </c>
      <c r="P363" s="3" t="s">
        <v>2224</v>
      </c>
      <c r="Q363" s="3" t="str">
        <f>VLOOKUP($A363,Hebrew!$A:$S,13,0)</f>
        <v>שייח' רדואן, עיר עזה</v>
      </c>
      <c r="R363" s="3" t="s">
        <v>396</v>
      </c>
      <c r="S363" s="3" t="s">
        <v>455</v>
      </c>
      <c r="T363" s="3" t="s">
        <v>2225</v>
      </c>
      <c r="U363" s="3" t="s">
        <v>43</v>
      </c>
      <c r="V363" s="3" t="s">
        <v>2226</v>
      </c>
      <c r="W363" s="2"/>
      <c r="X363" s="2"/>
      <c r="Y363" s="2"/>
    </row>
    <row r="364" spans="1:25" x14ac:dyDescent="0.2">
      <c r="A364" s="3">
        <v>248</v>
      </c>
      <c r="B364" s="4" t="s">
        <v>2227</v>
      </c>
      <c r="C364" s="3" t="s">
        <v>2228</v>
      </c>
      <c r="D364" s="3" t="str">
        <f>VLOOKUP(A364,Hebrew!A:C,3,0)</f>
        <v>צה"ל הרס את "טירת ברקוק" ההיסטורית בחאן יונס</v>
      </c>
      <c r="E364" s="3" t="s">
        <v>2229</v>
      </c>
      <c r="F364" s="3" t="str">
        <f>VLOOKUP($A364,Hebrew!$A:$S,4,0)</f>
        <v>צה"ל הרס את "טירת ברקוק" ההיסטורית בחאן יונס. פוסטר טוען כי "ישראל הרסה כמעט את כל האתרים הארכיאולוגיים ברצועת עזה ושרפה ספריות ואת הבניין המרכזי של הארכיון להיסטוריה."</v>
      </c>
      <c r="G364" s="3" t="s">
        <v>2188</v>
      </c>
      <c r="H364" s="2"/>
      <c r="I364" s="2"/>
      <c r="J364" s="3" t="s">
        <v>393</v>
      </c>
      <c r="K364" s="3" t="s">
        <v>659</v>
      </c>
      <c r="L364" s="3" t="str">
        <f>VLOOKUP($A364,Hebrew!$A:$S,9,0)</f>
        <v>Ramy Abdu (@RamAbdu)</v>
      </c>
      <c r="M364" s="2"/>
      <c r="N364" s="2"/>
      <c r="O364" s="3" t="s">
        <v>26</v>
      </c>
      <c r="P364" s="3" t="s">
        <v>395</v>
      </c>
      <c r="Q364" s="3" t="str">
        <f>VLOOKUP($A364,Hebrew!$A:$S,13,0)</f>
        <v>חאן יונס</v>
      </c>
      <c r="R364" s="3" t="s">
        <v>396</v>
      </c>
      <c r="S364" s="3" t="s">
        <v>405</v>
      </c>
      <c r="T364" s="3" t="s">
        <v>2230</v>
      </c>
      <c r="U364" s="3" t="s">
        <v>43</v>
      </c>
      <c r="V364" s="3" t="s">
        <v>1109</v>
      </c>
      <c r="W364" s="2"/>
      <c r="X364" s="2"/>
      <c r="Y364" s="2"/>
    </row>
    <row r="365" spans="1:25" x14ac:dyDescent="0.2">
      <c r="A365" s="3">
        <v>249</v>
      </c>
      <c r="B365" s="4" t="s">
        <v>2231</v>
      </c>
      <c r="C365" s="3" t="s">
        <v>2232</v>
      </c>
      <c r="D365" s="3" t="str">
        <f>VLOOKUP(A365,Hebrew!A:C,3,0)</f>
        <v>דחפור של צה"ל הורס קברים ברצועת עזה</v>
      </c>
      <c r="E365" s="3" t="s">
        <v>2233</v>
      </c>
      <c r="F365" s="3" t="str">
        <f>VLOOKUP($A365,Hebrew!$A:$S,4,0)</f>
        <v>סרטון מתוך דחפור של צה"ל המפרק קברים ברצועת עזה תוך כדי האזנה למוזיקה.</v>
      </c>
      <c r="G365" s="3" t="s">
        <v>2234</v>
      </c>
      <c r="H365" s="2"/>
      <c r="I365" s="2"/>
      <c r="J365" s="3" t="s">
        <v>393</v>
      </c>
      <c r="K365" s="3" t="s">
        <v>659</v>
      </c>
      <c r="L365" s="3" t="str">
        <f>VLOOKUP($A365,Hebrew!$A:$S,9,0)</f>
        <v>Ramy Abdu (@RamAbdu)</v>
      </c>
      <c r="M365" s="2"/>
      <c r="N365" s="2"/>
      <c r="O365" s="3" t="s">
        <v>26</v>
      </c>
      <c r="P365" s="3" t="s">
        <v>27</v>
      </c>
      <c r="Q365" s="3" t="str">
        <f>VLOOKUP($A365,Hebrew!$A:$S,13,0)</f>
        <v>רצועת עזה</v>
      </c>
      <c r="R365" s="3" t="s">
        <v>396</v>
      </c>
      <c r="S365" s="3" t="s">
        <v>405</v>
      </c>
      <c r="T365" s="3" t="s">
        <v>2235</v>
      </c>
      <c r="U365" s="3" t="s">
        <v>43</v>
      </c>
      <c r="V365" s="3" t="s">
        <v>27</v>
      </c>
      <c r="W365" s="2"/>
      <c r="X365" s="2"/>
      <c r="Y365" s="2"/>
    </row>
    <row r="366" spans="1:25" x14ac:dyDescent="0.2">
      <c r="A366" s="3">
        <v>251</v>
      </c>
      <c r="B366" s="4" t="s">
        <v>2236</v>
      </c>
      <c r="C366" s="3" t="s">
        <v>2237</v>
      </c>
      <c r="D366" s="3" t="str">
        <f>VLOOKUP(A366,Hebrew!A:C,3,0)</f>
        <v>צילומי אוויר של אל ג'זירה מראים את היקף ההרס בבית חנון</v>
      </c>
      <c r="E366" s="3" t="s">
        <v>2238</v>
      </c>
      <c r="F366" s="3" t="str">
        <f>VLOOKUP($A366,Hebrew!$A:$S,4,0)</f>
        <v>צילומי אוויר של אל ג'זירה מראים שהעיר בית חאנון בצפון עזה נהרסה ברובה על ידי ישראל.</v>
      </c>
      <c r="G366" s="3" t="s">
        <v>2239</v>
      </c>
      <c r="H366" s="2"/>
      <c r="I366" s="2"/>
      <c r="J366" s="3" t="s">
        <v>393</v>
      </c>
      <c r="K366" s="3" t="s">
        <v>659</v>
      </c>
      <c r="L366" s="3" t="str">
        <f>VLOOKUP($A366,Hebrew!$A:$S,9,0)</f>
        <v>Ramy Abdu (@RamAbdu)</v>
      </c>
      <c r="M366" s="3" t="s">
        <v>1324</v>
      </c>
      <c r="N366" s="2"/>
      <c r="O366" s="3" t="s">
        <v>412</v>
      </c>
      <c r="P366" s="3" t="s">
        <v>1416</v>
      </c>
      <c r="Q366" s="3" t="str">
        <f>VLOOKUP($A366,Hebrew!$A:$S,13,0)</f>
        <v>בית חאנון</v>
      </c>
      <c r="R366" s="3" t="s">
        <v>396</v>
      </c>
      <c r="S366" s="3" t="s">
        <v>405</v>
      </c>
      <c r="T366" s="3" t="s">
        <v>2240</v>
      </c>
      <c r="U366" s="3" t="s">
        <v>43</v>
      </c>
      <c r="V366" s="3" t="s">
        <v>1416</v>
      </c>
      <c r="W366" s="2"/>
      <c r="X366" s="2"/>
      <c r="Y366" s="2"/>
    </row>
    <row r="367" spans="1:25" x14ac:dyDescent="0.2">
      <c r="A367" s="3">
        <v>253</v>
      </c>
      <c r="B367" s="4" t="s">
        <v>2241</v>
      </c>
      <c r="C367" s="3" t="s">
        <v>2242</v>
      </c>
      <c r="D367" s="3" t="str">
        <f>VLOOKUP(A367,Hebrew!A:C,3,0)</f>
        <v>הצבא הישראלי הורס מבנים באוניברסיטת אל-אזהר</v>
      </c>
      <c r="E367" s="3" t="s">
        <v>2243</v>
      </c>
      <c r="F367" s="3" t="str">
        <f>VLOOKUP($A367,Hebrew!$A:$S,4,0)</f>
        <v>סרטון מראה את הריסת הבניינים באוניברסיטה מרחוק.</v>
      </c>
      <c r="G367" s="3" t="s">
        <v>688</v>
      </c>
      <c r="H367" s="2"/>
      <c r="I367" s="2"/>
      <c r="J367" s="3" t="s">
        <v>393</v>
      </c>
      <c r="K367" s="3" t="s">
        <v>659</v>
      </c>
      <c r="L367" s="3" t="str">
        <f>VLOOKUP($A367,Hebrew!$A:$S,9,0)</f>
        <v>Ramy Abdu (@RamAbdu)</v>
      </c>
      <c r="M367" s="2"/>
      <c r="N367" s="6" t="s">
        <v>2244</v>
      </c>
      <c r="O367" s="3" t="s">
        <v>412</v>
      </c>
      <c r="P367" s="3" t="s">
        <v>2245</v>
      </c>
      <c r="Q367" s="3" t="str">
        <f>VLOOKUP($A367,Hebrew!$A:$S,13,0)</f>
        <v>אוניברסיטת אל-אזהר</v>
      </c>
      <c r="R367" s="3" t="s">
        <v>396</v>
      </c>
      <c r="S367" s="3" t="s">
        <v>413</v>
      </c>
      <c r="T367" s="3" t="s">
        <v>2246</v>
      </c>
      <c r="U367" s="3" t="s">
        <v>43</v>
      </c>
      <c r="V367" s="3" t="s">
        <v>71</v>
      </c>
      <c r="W367" s="2"/>
      <c r="X367" s="2"/>
      <c r="Y367" s="2"/>
    </row>
    <row r="368" spans="1:25" x14ac:dyDescent="0.2">
      <c r="A368" s="3">
        <v>254</v>
      </c>
      <c r="B368" s="4" t="s">
        <v>2247</v>
      </c>
      <c r="C368" s="3" t="s">
        <v>2248</v>
      </c>
      <c r="D368" s="3" t="str">
        <f>VLOOKUP(A368,Hebrew!A:C,3,0)</f>
        <v>שלט ברצועת עזה המצהיר על הקמת התנחלות חדשה, "ברית נצרים"</v>
      </c>
      <c r="E368" s="3" t="s">
        <v>2249</v>
      </c>
      <c r="F368" s="3" t="str">
        <f>VLOOKUP($A368,Hebrew!$A:$S,4,0)</f>
        <v>השלט הוצב על ידי חברה של צה"ל לזכר חייל שנפל.</v>
      </c>
      <c r="G368" s="3" t="s">
        <v>955</v>
      </c>
      <c r="H368" s="2"/>
      <c r="I368" s="2"/>
      <c r="J368" s="3" t="s">
        <v>393</v>
      </c>
      <c r="K368" s="3" t="s">
        <v>2250</v>
      </c>
      <c r="L368" s="3" t="str">
        <f>VLOOKUP($A368,Hebrew!$A:$S,9,0)</f>
        <v>נחלה תנועת התיישבות (@T_Nachala)</v>
      </c>
      <c r="M368" s="2"/>
      <c r="N368" s="2"/>
      <c r="O368" s="3" t="s">
        <v>39</v>
      </c>
      <c r="P368" s="3" t="s">
        <v>989</v>
      </c>
      <c r="Q368" s="3" t="str">
        <f>VLOOKUP($A368,Hebrew!$A:$S,13,0)</f>
        <v>רצועת עזה</v>
      </c>
      <c r="R368" s="3" t="s">
        <v>396</v>
      </c>
      <c r="S368" s="3" t="s">
        <v>397</v>
      </c>
      <c r="T368" s="3" t="s">
        <v>2251</v>
      </c>
      <c r="U368" s="3" t="s">
        <v>43</v>
      </c>
      <c r="V368" s="3" t="s">
        <v>27</v>
      </c>
      <c r="W368" s="2"/>
      <c r="X368" s="2"/>
      <c r="Y368" s="2"/>
    </row>
    <row r="369" spans="1:25" x14ac:dyDescent="0.2">
      <c r="A369" s="3">
        <v>2228</v>
      </c>
      <c r="B369" s="4" t="s">
        <v>2252</v>
      </c>
      <c r="C369" s="3" t="s">
        <v>2253</v>
      </c>
      <c r="D369" s="3" t="str">
        <f>VLOOKUP(A369,Hebrew!A:C,3,0)</f>
        <v>הלוויית ד"ר אחמד אל-כלות</v>
      </c>
      <c r="E369" s="3" t="s">
        <v>2254</v>
      </c>
      <c r="F369" s="3" t="str">
        <f>VLOOKUP($A369,Hebrew!$A:$S,4,0)</f>
        <v>הצוות הרפואי בבית החולים כמאל עדואן נותנים כבוד אחרון לעמיתם.</v>
      </c>
      <c r="G369" s="3" t="s">
        <v>2255</v>
      </c>
      <c r="H369" s="3" t="s">
        <v>134</v>
      </c>
      <c r="I369" s="3" t="s">
        <v>134</v>
      </c>
      <c r="J369" s="3" t="s">
        <v>393</v>
      </c>
      <c r="K369" s="3" t="s">
        <v>1258</v>
      </c>
      <c r="L369" s="3" t="str">
        <f>VLOOKUP($A369,Hebrew!$A:$S,9,0)</f>
        <v>Hossam Shabat (@HossamShabat)</v>
      </c>
      <c r="M369" s="2"/>
      <c r="N369" s="2"/>
      <c r="O369" s="3" t="s">
        <v>412</v>
      </c>
      <c r="P369" s="3" t="s">
        <v>51</v>
      </c>
      <c r="Q369" s="3" t="str">
        <f>VLOOKUP($A369,Hebrew!$A:$S,13,0)</f>
        <v>בית החולים כמאל עדואן</v>
      </c>
      <c r="R369" s="3" t="s">
        <v>396</v>
      </c>
      <c r="S369" s="3" t="s">
        <v>413</v>
      </c>
      <c r="T369" s="3" t="s">
        <v>2256</v>
      </c>
      <c r="U369" s="3" t="s">
        <v>652</v>
      </c>
      <c r="V369" s="3" t="s">
        <v>2111</v>
      </c>
      <c r="W369" s="2"/>
      <c r="X369" s="2"/>
      <c r="Y369" s="2"/>
    </row>
    <row r="370" spans="1:25" x14ac:dyDescent="0.2">
      <c r="A370" s="3">
        <v>2229</v>
      </c>
      <c r="B370" s="4" t="s">
        <v>2257</v>
      </c>
      <c r="C370" s="3" t="s">
        <v>2258</v>
      </c>
      <c r="D370" s="3" t="str">
        <f>VLOOKUP(A370,Hebrew!A:C,3,0)</f>
        <v>ההגנה האזרחית אינה מצליחה לאסוף את הגופות.</v>
      </c>
      <c r="E370" s="3" t="s">
        <v>2259</v>
      </c>
      <c r="F370" s="3" t="str">
        <f>VLOOKUP($A370,Hebrew!$A:$S,4,0)</f>
        <v>דו"ח על חוסר היכולת של ההגנה האזרחית לאסוף גופות מתחת להריסות לאחר הפצצת בניין בן שש קומות. מספר ההרוגים הרשמי אינו כולל גופות שלא נאספו מההריסות ולכן סביר להניח שהוא גבוה בהרבה מהמדווח.</v>
      </c>
      <c r="G370" s="3" t="s">
        <v>2260</v>
      </c>
      <c r="H370" s="3" t="s">
        <v>327</v>
      </c>
      <c r="I370" s="3" t="s">
        <v>327</v>
      </c>
      <c r="J370" s="3" t="s">
        <v>393</v>
      </c>
      <c r="K370" s="3" t="s">
        <v>1258</v>
      </c>
      <c r="L370" s="3" t="str">
        <f>VLOOKUP($A370,Hebrew!$A:$S,9,0)</f>
        <v>Hossam Shabat (@HossamShabat)</v>
      </c>
      <c r="M370" s="2"/>
      <c r="N370" s="2"/>
      <c r="O370" s="3" t="s">
        <v>412</v>
      </c>
      <c r="P370" s="3" t="s">
        <v>212</v>
      </c>
      <c r="Q370" s="3" t="str">
        <f>VLOOKUP($A370,Hebrew!$A:$S,13,0)</f>
        <v>צפון רצועת עזה</v>
      </c>
      <c r="R370" s="3" t="s">
        <v>396</v>
      </c>
      <c r="S370" s="3" t="s">
        <v>405</v>
      </c>
      <c r="T370" s="3" t="s">
        <v>2261</v>
      </c>
      <c r="U370" s="3" t="s">
        <v>43</v>
      </c>
      <c r="V370" s="3" t="s">
        <v>212</v>
      </c>
      <c r="W370" s="2"/>
      <c r="X370" s="2"/>
      <c r="Y370" s="2"/>
    </row>
    <row r="371" spans="1:25" x14ac:dyDescent="0.2">
      <c r="A371" s="3">
        <v>787</v>
      </c>
      <c r="B371" s="4" t="s">
        <v>2262</v>
      </c>
      <c r="C371" s="3" t="s">
        <v>2263</v>
      </c>
      <c r="D371" s="3" t="str">
        <f>VLOOKUP(A371,Hebrew!A:C,3,0)</f>
        <v>ציוץ של סטס קופול הקורא "לא להשאיר אף עזתי בחיים"</v>
      </c>
      <c r="E371" s="3" t="s">
        <v>2264</v>
      </c>
      <c r="F371" s="3" t="str">
        <f>VLOOKUP($A371,Hebrew!$A:$S,4,0)</f>
        <v>ציוץ של סטס קופול, צלם בערוץ 14 שאומר: "לא להשאיר אף עזתי בחיים". הוא מציין לאחר מכן שאין אנשים בעזה אלא נאצים שלא צריכים להישאר חיים.</v>
      </c>
      <c r="G371" s="3" t="s">
        <v>2265</v>
      </c>
      <c r="H371" s="3" t="s">
        <v>437</v>
      </c>
      <c r="I371" s="3" t="s">
        <v>437</v>
      </c>
      <c r="J371" s="3" t="s">
        <v>393</v>
      </c>
      <c r="K371" s="3" t="s">
        <v>491</v>
      </c>
      <c r="L371" s="3" t="str">
        <f>VLOOKUP($A371,Hebrew!$A:$S,9,0)</f>
        <v>B.M. (@ireallyhateyou)</v>
      </c>
      <c r="M371" s="2"/>
      <c r="N371" s="2"/>
      <c r="O371" s="3" t="s">
        <v>39</v>
      </c>
      <c r="P371" s="3" t="s">
        <v>60</v>
      </c>
      <c r="Q371" s="3" t="str">
        <f>VLOOKUP($A371,Hebrew!$A:$S,13,0)</f>
        <v>ישראל</v>
      </c>
      <c r="R371" s="3" t="s">
        <v>396</v>
      </c>
      <c r="S371" s="3" t="s">
        <v>455</v>
      </c>
      <c r="T371" s="3" t="s">
        <v>2266</v>
      </c>
      <c r="U371" s="2"/>
      <c r="V371" s="3" t="s">
        <v>60</v>
      </c>
      <c r="W371" s="2"/>
      <c r="X371" s="2"/>
      <c r="Y371" s="2"/>
    </row>
    <row r="372" spans="1:25" x14ac:dyDescent="0.2">
      <c r="A372" s="3">
        <v>581</v>
      </c>
      <c r="B372" s="4" t="s">
        <v>2267</v>
      </c>
      <c r="C372" s="3" t="s">
        <v>2268</v>
      </c>
      <c r="D372" s="3" t="str">
        <f>VLOOKUP(A372,Hebrew!A:C,3,0)</f>
        <v>דחפור ומחפר הורסים בניינים בעזה</v>
      </c>
      <c r="E372" s="3" t="s">
        <v>2269</v>
      </c>
      <c r="F372" s="3" t="str">
        <f>VLOOKUP($A372,Hebrew!$A:$S,4,0)</f>
        <v>וידאו בהילוך מהיר של דחפור ומחפר הורסים בניינים בתוך שכונת בעיר, חלקים גדולים ממנה כבר הרוסה. הכיתוב בעברית אומר: "הופ הופ לגו" ו"משתדלים לא להשאיר לכם כלום, כלבים." המנגינה היא של השיר "Happy New Year" (שנה טובה); פורסם באינסטגרם.</v>
      </c>
      <c r="G372" s="3" t="s">
        <v>946</v>
      </c>
      <c r="H372" s="3" t="s">
        <v>946</v>
      </c>
      <c r="I372" s="3" t="s">
        <v>946</v>
      </c>
      <c r="J372" s="3" t="s">
        <v>393</v>
      </c>
      <c r="K372" s="3" t="s">
        <v>453</v>
      </c>
      <c r="L372" s="3" t="str">
        <f>VLOOKUP($A372,Hebrew!$A:$S,9,0)</f>
        <v>Younis Tirawi (@ytirawi)</v>
      </c>
      <c r="M372" s="2"/>
      <c r="N372" s="2"/>
      <c r="O372" s="3" t="s">
        <v>426</v>
      </c>
      <c r="P372" s="3" t="s">
        <v>395</v>
      </c>
      <c r="Q372" s="3" t="str">
        <f>VLOOKUP($A372,Hebrew!$A:$S,13,0)</f>
        <v>חאן יונס</v>
      </c>
      <c r="R372" s="3" t="s">
        <v>396</v>
      </c>
      <c r="S372" s="3" t="s">
        <v>405</v>
      </c>
      <c r="T372" s="3" t="s">
        <v>2270</v>
      </c>
      <c r="U372" s="3" t="s">
        <v>43</v>
      </c>
      <c r="V372" s="3" t="s">
        <v>1109</v>
      </c>
      <c r="W372" s="2"/>
      <c r="X372" s="2"/>
      <c r="Y372" s="2"/>
    </row>
    <row r="373" spans="1:25" x14ac:dyDescent="0.2">
      <c r="A373" s="3">
        <v>276</v>
      </c>
      <c r="B373" s="4" t="s">
        <v>2271</v>
      </c>
      <c r="C373" s="3" t="s">
        <v>2272</v>
      </c>
      <c r="D373" s="3" t="str">
        <f>VLOOKUP(A373,Hebrew!A:C,3,0)</f>
        <v>צילומי רחפן של חיילי צה"ל מבעירים את שכונת שג'אעיה</v>
      </c>
      <c r="E373" s="3" t="s">
        <v>2273</v>
      </c>
      <c r="F373" s="3" t="str">
        <f>VLOOKUP($A373,Hebrew!$A:$S,4,0)</f>
        <v>חיילי צה"ל מחטיבת גבעתי מציתים את שכונת שג'איה. קריינות של תקשורת ישראלית הכוללת את ההודעה הבאה: "תחנות פרפר, כאן קודקוד. אנחנו יוצאים למבצע נר שמיני של חנוכה, שרפת שכונת שג'אעיה... נשמיד אותם עד לעפר".</v>
      </c>
      <c r="G373" s="3" t="s">
        <v>1692</v>
      </c>
      <c r="H373" s="3" t="s">
        <v>2274</v>
      </c>
      <c r="I373" s="3" t="s">
        <v>994</v>
      </c>
      <c r="J373" s="3" t="s">
        <v>393</v>
      </c>
      <c r="K373" s="3" t="s">
        <v>453</v>
      </c>
      <c r="L373" s="3" t="str">
        <f>VLOOKUP($A373,Hebrew!$A:$S,9,0)</f>
        <v>Younis Tirawi (@ytirawi)</v>
      </c>
      <c r="M373" s="2"/>
      <c r="N373" s="2"/>
      <c r="O373" s="3" t="s">
        <v>426</v>
      </c>
      <c r="P373" s="3" t="s">
        <v>2275</v>
      </c>
      <c r="Q373" s="3" t="str">
        <f>VLOOKUP($A373,Hebrew!$A:$S,13,0)</f>
        <v>שגא'עיה</v>
      </c>
      <c r="R373" s="3" t="s">
        <v>396</v>
      </c>
      <c r="S373" s="3" t="s">
        <v>413</v>
      </c>
      <c r="T373" s="3" t="s">
        <v>2276</v>
      </c>
      <c r="U373" s="3" t="s">
        <v>43</v>
      </c>
      <c r="V373" s="3" t="s">
        <v>2277</v>
      </c>
      <c r="W373" s="2"/>
      <c r="X373" s="2"/>
      <c r="Y373" s="2"/>
    </row>
    <row r="374" spans="1:25" x14ac:dyDescent="0.2">
      <c r="A374" s="3">
        <v>277</v>
      </c>
      <c r="B374" s="4" t="s">
        <v>2278</v>
      </c>
      <c r="C374" s="3" t="s">
        <v>2279</v>
      </c>
      <c r="D374" s="3" t="str">
        <f>VLOOKUP(A374,Hebrew!A:C,3,0)</f>
        <v>רב-סרן בצה"ל מבטיח לחזור לנצרים בחשבון הפייסבוק האישי שלו</v>
      </c>
      <c r="E374" s="3" t="s">
        <v>2280</v>
      </c>
      <c r="F374" s="3" t="str">
        <f>VLOOKUP($A374,Hebrew!$A:$S,4,0)</f>
        <v>רב סרן בצה"ל - תושב לשעבר של גוש קטיף - מדבר על החזרה להתנחלויות יהודיות בעזה. "אנחנו עכשיו חוזרים לנצרים. נצרים תיבנה ותיכונן."</v>
      </c>
      <c r="G374" s="3" t="s">
        <v>705</v>
      </c>
      <c r="H374" s="2"/>
      <c r="I374" s="2"/>
      <c r="J374" s="3" t="s">
        <v>393</v>
      </c>
      <c r="K374" s="3" t="s">
        <v>453</v>
      </c>
      <c r="L374" s="3" t="str">
        <f>VLOOKUP($A374,Hebrew!$A:$S,9,0)</f>
        <v>Younis Tirawi (@ytirawi)</v>
      </c>
      <c r="M374" s="2"/>
      <c r="N374" s="2"/>
      <c r="O374" s="3" t="s">
        <v>426</v>
      </c>
      <c r="P374" s="3" t="s">
        <v>2281</v>
      </c>
      <c r="Q374" s="3" t="str">
        <f>VLOOKUP($A374,Hebrew!$A:$S,13,0)</f>
        <v>נצרים</v>
      </c>
      <c r="R374" s="3" t="s">
        <v>396</v>
      </c>
      <c r="S374" s="3" t="s">
        <v>413</v>
      </c>
      <c r="T374" s="3" t="s">
        <v>2282</v>
      </c>
      <c r="U374" s="3" t="s">
        <v>43</v>
      </c>
      <c r="V374" s="3" t="s">
        <v>1943</v>
      </c>
      <c r="W374" s="2"/>
      <c r="X374" s="2"/>
      <c r="Y374" s="2"/>
    </row>
    <row r="375" spans="1:25" x14ac:dyDescent="0.2">
      <c r="A375" s="3">
        <v>273</v>
      </c>
      <c r="B375" s="4" t="s">
        <v>2283</v>
      </c>
      <c r="C375" s="3" t="s">
        <v>2284</v>
      </c>
      <c r="D375" s="3" t="str">
        <f>VLOOKUP(A375,Hebrew!A:C,3,0)</f>
        <v>מתנחלים ישראלים נכנסים לעזה עם טרקטורים</v>
      </c>
      <c r="E375" s="3" t="s">
        <v>2285</v>
      </c>
      <c r="F375" s="3" t="str">
        <f>VLOOKUP($A375,Hebrew!$A:$S,4,0)</f>
        <v>טרקטורים ישראליים נכנסים לרצועת עזה ומעבדים שם שדות. כמו כן, הזמנה למצעד השיבה של המתנחלים לעזה ב-29 בפברואר 2024.</v>
      </c>
      <c r="G375" s="3" t="s">
        <v>751</v>
      </c>
      <c r="H375" s="2"/>
      <c r="I375" s="2"/>
      <c r="J375" s="3" t="s">
        <v>393</v>
      </c>
      <c r="K375" s="3" t="s">
        <v>453</v>
      </c>
      <c r="L375" s="3" t="str">
        <f>VLOOKUP($A375,Hebrew!$A:$S,9,0)</f>
        <v>Younis Tirawi (@ytirawi)</v>
      </c>
      <c r="M375" s="2"/>
      <c r="N375" s="2"/>
      <c r="O375" s="3" t="s">
        <v>426</v>
      </c>
      <c r="P375" s="3" t="s">
        <v>989</v>
      </c>
      <c r="Q375" s="3" t="str">
        <f>VLOOKUP($A375,Hebrew!$A:$S,13,0)</f>
        <v>רצועת עזה</v>
      </c>
      <c r="R375" s="3" t="s">
        <v>396</v>
      </c>
      <c r="S375" s="3" t="s">
        <v>413</v>
      </c>
      <c r="T375" s="3" t="s">
        <v>2286</v>
      </c>
      <c r="U375" s="2"/>
      <c r="V375" s="3" t="s">
        <v>27</v>
      </c>
      <c r="W375" s="2"/>
      <c r="X375" s="2"/>
      <c r="Y375" s="2"/>
    </row>
    <row r="376" spans="1:25" x14ac:dyDescent="0.2">
      <c r="A376" s="3">
        <v>266</v>
      </c>
      <c r="B376" s="4" t="s">
        <v>2287</v>
      </c>
      <c r="C376" s="3" t="s">
        <v>2288</v>
      </c>
      <c r="D376" s="3" t="str">
        <f>VLOOKUP(A376,Hebrew!A:C,3,0)</f>
        <v>חיילי צה"ל במדים מצולמים מודים שהם נלחמים בעזה כדי "לחזור" ולבנות התנחלויות.</v>
      </c>
      <c r="E376" s="3" t="s">
        <v>2289</v>
      </c>
      <c r="F376" s="3" t="str">
        <f>VLOOKUP($A376,Hebrew!$A:$S,4,0)</f>
        <v>חיילים ישראלים המזהים את עצמם בשמותיהם כמפוני גוש קטיף שחוזרים הביתה להתנחל מחדש בעזה</v>
      </c>
      <c r="G376" s="3" t="s">
        <v>789</v>
      </c>
      <c r="H376" s="2"/>
      <c r="I376" s="2"/>
      <c r="J376" s="3" t="s">
        <v>393</v>
      </c>
      <c r="K376" s="3" t="s">
        <v>453</v>
      </c>
      <c r="L376" s="3" t="str">
        <f>VLOOKUP($A376,Hebrew!$A:$S,9,0)</f>
        <v>Younis Tirawi (@ytirawi)</v>
      </c>
      <c r="M376" s="2"/>
      <c r="N376" s="2"/>
      <c r="O376" s="3" t="s">
        <v>426</v>
      </c>
      <c r="P376" s="3" t="s">
        <v>27</v>
      </c>
      <c r="Q376" s="3" t="str">
        <f>VLOOKUP($A376,Hebrew!$A:$S,13,0)</f>
        <v>רצועת עזה</v>
      </c>
      <c r="R376" s="3" t="s">
        <v>396</v>
      </c>
      <c r="S376" s="3" t="s">
        <v>413</v>
      </c>
      <c r="T376" s="3" t="s">
        <v>2290</v>
      </c>
      <c r="U376" s="3" t="s">
        <v>43</v>
      </c>
      <c r="V376" s="3" t="s">
        <v>27</v>
      </c>
      <c r="W376" s="2"/>
      <c r="X376" s="2"/>
      <c r="Y376" s="2"/>
    </row>
    <row r="377" spans="1:25" x14ac:dyDescent="0.2">
      <c r="A377" s="3">
        <v>268</v>
      </c>
      <c r="B377" s="4" t="s">
        <v>2291</v>
      </c>
      <c r="C377" s="3" t="s">
        <v>2292</v>
      </c>
      <c r="D377" s="3" t="str">
        <f>VLOOKUP(A377,Hebrew!A:C,3,0)</f>
        <v>חייל אומר שהיה לו הכבוד לשטח את עזה בשירות ההתנחלות היהודית החדשה שתיבנה מעליה.</v>
      </c>
      <c r="E377" s="3" t="s">
        <v>2293</v>
      </c>
      <c r="F377" s="3" t="str">
        <f>VLOOKUP($A377,Hebrew!$A:$S,4,0)</f>
        <v>חייל צה"ל עומד מול שטח ריק ואומר שהוא זכה לקחת חלק בשיטוח עזה כדי לבנות מעליה התנחלויות יהודיות חדשות: "במקום שנבנה על מנת להרוס, אנחנו הורסים על מנת לבנות..."</v>
      </c>
      <c r="G377" s="3" t="s">
        <v>1098</v>
      </c>
      <c r="H377" s="2"/>
      <c r="I377" s="2"/>
      <c r="J377" s="3" t="s">
        <v>393</v>
      </c>
      <c r="K377" s="3" t="s">
        <v>453</v>
      </c>
      <c r="L377" s="3" t="str">
        <f>VLOOKUP($A377,Hebrew!$A:$S,9,0)</f>
        <v>Younis Tirawi (@ytirawi)</v>
      </c>
      <c r="M377" s="2"/>
      <c r="N377" s="2"/>
      <c r="O377" s="3" t="s">
        <v>26</v>
      </c>
      <c r="P377" s="3" t="s">
        <v>27</v>
      </c>
      <c r="Q377" s="3" t="str">
        <f>VLOOKUP($A377,Hebrew!$A:$S,13,0)</f>
        <v>רצועת עזה</v>
      </c>
      <c r="R377" s="3" t="s">
        <v>396</v>
      </c>
      <c r="S377" s="3" t="s">
        <v>413</v>
      </c>
      <c r="T377" s="3" t="s">
        <v>2294</v>
      </c>
      <c r="U377" s="3" t="s">
        <v>43</v>
      </c>
      <c r="V377" s="3" t="s">
        <v>27</v>
      </c>
      <c r="W377" s="2"/>
      <c r="X377" s="2"/>
      <c r="Y377" s="2"/>
    </row>
    <row r="378" spans="1:25" x14ac:dyDescent="0.2">
      <c r="A378" s="3">
        <v>270</v>
      </c>
      <c r="B378" s="4" t="s">
        <v>2295</v>
      </c>
      <c r="C378" s="3" t="s">
        <v>2296</v>
      </c>
      <c r="D378" s="3" t="str">
        <f>VLOOKUP(A378,Hebrew!A:C,3,0)</f>
        <v>חיילי צה"ל אוכלים פיצה דונה איטליה בחאן יונס</v>
      </c>
      <c r="E378" s="3" t="s">
        <v>2297</v>
      </c>
      <c r="F378" s="3" t="str">
        <f>VLOOKUP($A378,Hebrew!$A:$S,4,0)</f>
        <v>דונה איטליה, רשת פיצריות בינלאומית, מספקת פיצה לחיילים ישראלים בבית של משפחה עקורה בחאן יונס. מספר פיצות מוכנות במקביל. המחבר מציין שזה קורה בזמן שהאוכלוסייה בעזה סובלת מרעב.</v>
      </c>
      <c r="G378" s="3" t="s">
        <v>913</v>
      </c>
      <c r="H378" s="2"/>
      <c r="I378" s="2"/>
      <c r="J378" s="3" t="s">
        <v>393</v>
      </c>
      <c r="K378" s="3" t="s">
        <v>453</v>
      </c>
      <c r="L378" s="3" t="str">
        <f>VLOOKUP($A378,Hebrew!$A:$S,9,0)</f>
        <v>Younis Tirawi (@ytirawi)</v>
      </c>
      <c r="M378" s="2"/>
      <c r="N378" s="2"/>
      <c r="O378" s="3" t="s">
        <v>426</v>
      </c>
      <c r="P378" s="3" t="s">
        <v>395</v>
      </c>
      <c r="Q378" s="3" t="str">
        <f>VLOOKUP($A378,Hebrew!$A:$S,13,0)</f>
        <v>חאן יונס</v>
      </c>
      <c r="R378" s="3" t="s">
        <v>396</v>
      </c>
      <c r="S378" s="3" t="s">
        <v>413</v>
      </c>
      <c r="T378" s="3" t="s">
        <v>2298</v>
      </c>
      <c r="U378" s="3" t="s">
        <v>43</v>
      </c>
      <c r="V378" s="3" t="s">
        <v>395</v>
      </c>
      <c r="W378" s="2"/>
      <c r="X378" s="2"/>
      <c r="Y378" s="2"/>
    </row>
    <row r="379" spans="1:25" x14ac:dyDescent="0.2">
      <c r="A379" s="3">
        <v>271</v>
      </c>
      <c r="B379" s="4" t="s">
        <v>2299</v>
      </c>
      <c r="C379" s="3" t="s">
        <v>2300</v>
      </c>
      <c r="D379" s="3" t="str">
        <f>VLOOKUP(A379,Hebrew!A:C,3,0)</f>
        <v>דחפורים של צה"ל מועכים משאית ומתקנים באזור התעשייה במזרח עזה</v>
      </c>
      <c r="E379" s="3" t="s">
        <v>2301</v>
      </c>
      <c r="F379" s="3" t="str">
        <f>VLOOKUP($A379,Hebrew!$A:$S,4,0)</f>
        <v>חיילי צה"ל פרסמו סרטונים בטיקטוק המראים אותם משמידים משאיות אזרחיות ומתקנים באזור התעשייה במזרח העיר עזה. ברקע מתנגנת שיר קצבי על עבודה. כמו כן, כלולה תמונה של אזור התעשייה במזרח עזה לפני שצה"ל הרס אותו במטרה ליצור אזור חיץ צבאי.</v>
      </c>
      <c r="G379" s="3" t="s">
        <v>1292</v>
      </c>
      <c r="H379" s="2"/>
      <c r="I379" s="2"/>
      <c r="J379" s="3" t="s">
        <v>393</v>
      </c>
      <c r="K379" s="3" t="s">
        <v>453</v>
      </c>
      <c r="L379" s="3" t="str">
        <f>VLOOKUP($A379,Hebrew!$A:$S,9,0)</f>
        <v>Younis Tirawi (@ytirawi)</v>
      </c>
      <c r="M379" s="3" t="s">
        <v>1820</v>
      </c>
      <c r="N379" s="2"/>
      <c r="O379" s="3" t="s">
        <v>26</v>
      </c>
      <c r="P379" s="3" t="s">
        <v>2302</v>
      </c>
      <c r="Q379" s="3" t="str">
        <f>VLOOKUP($A379,Hebrew!$A:$S,13,0)</f>
        <v>מזרח העיר עזה</v>
      </c>
      <c r="R379" s="3" t="s">
        <v>396</v>
      </c>
      <c r="S379" s="3" t="s">
        <v>413</v>
      </c>
      <c r="T379" s="3" t="s">
        <v>2303</v>
      </c>
      <c r="U379" s="3" t="s">
        <v>43</v>
      </c>
      <c r="V379" s="3" t="s">
        <v>1083</v>
      </c>
      <c r="W379" s="2"/>
      <c r="X379" s="2"/>
      <c r="Y379" s="2"/>
    </row>
    <row r="380" spans="1:25" x14ac:dyDescent="0.2">
      <c r="A380" s="3">
        <v>1024</v>
      </c>
      <c r="B380" s="4" t="s">
        <v>2304</v>
      </c>
      <c r="C380" s="3" t="s">
        <v>2305</v>
      </c>
      <c r="D380" s="3" t="str">
        <f>VLOOKUP(A380,Hebrew!A:C,3,0)</f>
        <v>אנטוניו גוטרש, מזכיר האומות המאוחדות, הוכרז כפרסונה נון גרטה (אישיות בלתי רצויה) על ידי שר החוץ הישראלי.</v>
      </c>
      <c r="E380" s="3" t="s">
        <v>2306</v>
      </c>
      <c r="F380" s="3" t="str">
        <f>VLOOKUP($A380,Hebrew!$A:$S,4,0)</f>
        <v>זמן קצר לאחר שהמזכיר הכללי של האומות המאוחדות אנטוניו גוטרש קרא להפסקת אש במזרח התיכון, שר החוץ הישראלי דאז ישראל כץ הכריז עליו כפרסונה נון גרטה (אישיות בלתי רצויה), ואסר על כניסתו לישראל. כץ ביקר את גוטרש על כך שלא גינה את התקפת איראן על ישראל, על שלא גינה את פעולות חמאס ב-7 באוקטובר, וסירב להגדיר את חמאס כארגון טרור. הוא גם האשים את ראש האומות המאוחדות בתמיכה בקבוצות כמו חמאס, חיזבאללה, החות'ים ואיראן.</v>
      </c>
      <c r="G380" s="3" t="s">
        <v>90</v>
      </c>
      <c r="H380" s="2"/>
      <c r="I380" s="2"/>
      <c r="J380" s="3" t="s">
        <v>393</v>
      </c>
      <c r="K380" s="3" t="s">
        <v>2307</v>
      </c>
      <c r="L380" s="3" t="str">
        <f>VLOOKUP($A380,Hebrew!$A:$S,9,0)</f>
        <v>ישראל כץ (@Israel_katz)</v>
      </c>
      <c r="M380" s="2"/>
      <c r="N380" s="2"/>
      <c r="O380" s="3" t="s">
        <v>26</v>
      </c>
      <c r="P380" s="3" t="s">
        <v>60</v>
      </c>
      <c r="Q380" s="3" t="str">
        <f>VLOOKUP($A380,Hebrew!$A:$S,13,0)</f>
        <v>ישראל</v>
      </c>
      <c r="R380" s="3" t="s">
        <v>396</v>
      </c>
      <c r="S380" s="3" t="s">
        <v>29</v>
      </c>
      <c r="T380" s="3" t="s">
        <v>1694</v>
      </c>
      <c r="U380" s="3" t="s">
        <v>2308</v>
      </c>
      <c r="V380" s="3" t="s">
        <v>60</v>
      </c>
      <c r="W380" s="3" t="s">
        <v>2309</v>
      </c>
      <c r="X380" s="2"/>
      <c r="Y380" s="2"/>
    </row>
    <row r="381" spans="1:25" x14ac:dyDescent="0.2">
      <c r="A381" s="3">
        <v>232</v>
      </c>
      <c r="B381" s="4" t="s">
        <v>2310</v>
      </c>
      <c r="C381" s="3" t="s">
        <v>2311</v>
      </c>
      <c r="D381" s="3" t="str">
        <f>VLOOKUP(A381,Hebrew!A:C,3,0)</f>
        <v>רשמים של עיתונאי ישראלי מביקור בעזה</v>
      </c>
      <c r="E381" s="3" t="s">
        <v>2312</v>
      </c>
      <c r="F381" s="3" t="str">
        <f>VLOOKUP($A381,Hebrew!$A:$S,4,0)</f>
        <v>רושם מביקור מספר 9 בעזה (ב-8 פוסטים), השלב השלישי של לוחמת הפשיטות, בשכונת זיתון ובמסדרון מיער בארי לים (מאוחר יותר: מסדרון נצרים). מספר נושאים: קרב ברמה נמוכה בזיתון, בניית כביש רב מסלולים במסדרון עם חברות אזרחיות, בסיסי צבא, מנהרות, תאי מעצר של בני ערובה וכלובים, מוטיבציה של חיילים והגדודים השונים באזור.</v>
      </c>
      <c r="G381" s="3" t="s">
        <v>1002</v>
      </c>
      <c r="H381" s="2"/>
      <c r="I381" s="2"/>
      <c r="J381" s="3" t="s">
        <v>393</v>
      </c>
      <c r="K381" s="3" t="s">
        <v>2313</v>
      </c>
      <c r="L381" s="3" t="str">
        <f>VLOOKUP($A381,Hebrew!$A:$S,9,0)</f>
        <v>דורון קדוש (@Doron_Kadosh)</v>
      </c>
      <c r="M381" s="2"/>
      <c r="N381" s="2"/>
      <c r="O381" s="3" t="s">
        <v>39</v>
      </c>
      <c r="P381" s="3" t="s">
        <v>40</v>
      </c>
      <c r="Q381" s="3" t="str">
        <f>VLOOKUP($A381,Hebrew!$A:$S,13,0)</f>
        <v>מסדרון נצרים</v>
      </c>
      <c r="R381" s="3" t="s">
        <v>396</v>
      </c>
      <c r="S381" s="3" t="s">
        <v>2314</v>
      </c>
      <c r="T381" s="3" t="s">
        <v>2315</v>
      </c>
      <c r="U381" s="3" t="s">
        <v>43</v>
      </c>
      <c r="V381" s="3" t="s">
        <v>2316</v>
      </c>
      <c r="W381" s="2"/>
      <c r="X381" s="2"/>
      <c r="Y381" s="2"/>
    </row>
    <row r="382" spans="1:25" x14ac:dyDescent="0.2">
      <c r="A382" s="3">
        <v>250</v>
      </c>
      <c r="B382" s="4" t="s">
        <v>2317</v>
      </c>
      <c r="C382" s="3" t="s">
        <v>2318</v>
      </c>
      <c r="D382" s="3" t="str">
        <f>VLOOKUP(A382,Hebrew!A:C,3,0)</f>
        <v>ראיונות עם ישראלים החוסמים סיוע הומניטרי לעזה</v>
      </c>
      <c r="E382" s="3" t="s">
        <v>2319</v>
      </c>
      <c r="F382" s="3" t="str">
        <f>VLOOKUP($A382,Hebrew!$A:$S,4,0)</f>
        <v>ראיונות עם פעילים בצו 9 - ארגון שמתנגד לסיוע ההומניטרי לעזה במהלך הפגנה.</v>
      </c>
      <c r="G382" s="3" t="s">
        <v>2234</v>
      </c>
      <c r="H382" s="2"/>
      <c r="I382" s="2"/>
      <c r="J382" s="3" t="s">
        <v>393</v>
      </c>
      <c r="K382" s="3" t="s">
        <v>659</v>
      </c>
      <c r="L382" s="3" t="str">
        <f>VLOOKUP($A382,Hebrew!$A:$S,9,0)</f>
        <v>Ramy Abdu (@RamAbdu)</v>
      </c>
      <c r="M382" s="2"/>
      <c r="N382" s="2"/>
      <c r="O382" s="3" t="s">
        <v>26</v>
      </c>
      <c r="P382" s="3" t="s">
        <v>2320</v>
      </c>
      <c r="Q382" s="3" t="str">
        <f>VLOOKUP($A382,Hebrew!$A:$S,13,0)</f>
        <v>ישראל, עוטף עזה</v>
      </c>
      <c r="R382" s="3" t="s">
        <v>396</v>
      </c>
      <c r="S382" s="3" t="s">
        <v>405</v>
      </c>
      <c r="T382" s="3" t="s">
        <v>2321</v>
      </c>
      <c r="U382" s="3" t="s">
        <v>2322</v>
      </c>
      <c r="V382" s="3" t="s">
        <v>2323</v>
      </c>
      <c r="W382" s="2"/>
      <c r="X382" s="2"/>
      <c r="Y382" s="2"/>
    </row>
    <row r="383" spans="1:25" x14ac:dyDescent="0.2">
      <c r="A383" s="3">
        <v>252</v>
      </c>
      <c r="B383" s="4" t="s">
        <v>2324</v>
      </c>
      <c r="C383" s="3" t="s">
        <v>2325</v>
      </c>
      <c r="D383" s="3" t="str">
        <f>VLOOKUP(A383,Hebrew!A:C,3,0)</f>
        <v>הצבא הישראלי הפך את בית החולים ע"ש הידידות הטורקית-פלסטינית לבסיס צבאי ומכין את עצמו לחגוג את סדר פסח בו.</v>
      </c>
      <c r="E383" s="3" t="s">
        <v>2326</v>
      </c>
      <c r="F383" s="3" t="str">
        <f>VLOOKUP($A383,Hebrew!$A:$S,4,0)</f>
        <v>לאחר שישראל תקפה את בית החולים ע"ש הידידות הטורקית-פלסטינית, היא הפכה את בית החולים לבסיס צבאי. חיילים מקיימים סדר פסח ומציגים את המאכלים שהם מתכננים לאכול. חלק מהווידאו מראה מה שנראה כמו מעל מאה חיילים בסדר.</v>
      </c>
      <c r="G383" s="3" t="s">
        <v>2327</v>
      </c>
      <c r="H383" s="2"/>
      <c r="I383" s="2"/>
      <c r="J383" s="3" t="s">
        <v>393</v>
      </c>
      <c r="K383" s="3" t="s">
        <v>659</v>
      </c>
      <c r="L383" s="3" t="str">
        <f>VLOOKUP($A383,Hebrew!$A:$S,9,0)</f>
        <v>Ramy Abdu (@RamAbdu)</v>
      </c>
      <c r="M383" s="2"/>
      <c r="N383" s="2"/>
      <c r="O383" s="3" t="s">
        <v>493</v>
      </c>
      <c r="P383" s="3" t="s">
        <v>2328</v>
      </c>
      <c r="Q383" s="3" t="str">
        <f>VLOOKUP($A383,Hebrew!$A:$S,13,0)</f>
        <v>בית החולים ע"ש הידידות הטורקית-פלסטינית, מסדרון נצרים</v>
      </c>
      <c r="R383" s="3" t="s">
        <v>396</v>
      </c>
      <c r="S383" s="3" t="s">
        <v>405</v>
      </c>
      <c r="T383" s="3" t="s">
        <v>2329</v>
      </c>
      <c r="U383" s="3" t="s">
        <v>43</v>
      </c>
      <c r="V383" s="3" t="s">
        <v>2330</v>
      </c>
      <c r="W383" s="2"/>
      <c r="X383" s="2"/>
      <c r="Y383" s="2"/>
    </row>
    <row r="384" spans="1:25" x14ac:dyDescent="0.2">
      <c r="A384" s="3">
        <v>255</v>
      </c>
      <c r="B384" s="4" t="s">
        <v>2331</v>
      </c>
      <c r="C384" s="3" t="s">
        <v>2332</v>
      </c>
      <c r="D384" s="3" t="str">
        <f>VLOOKUP(A384,Hebrew!A:C,3,0)</f>
        <v>נציבות האו"ם לזכויות האדם מודאגות מאוד מהצהרות של בכירים ישראלים על תוכניות להעברת אזרחים מעזה למדינות שלישיות</v>
      </c>
      <c r="E384" s="3" t="s">
        <v>2333</v>
      </c>
      <c r="F384" s="3" t="str">
        <f>VLOOKUP($A384,Hebrew!$A:$S,4,0)</f>
        <v>הנציב העליון של האו"ם לזכויות אדם (OHCHR) פולקר טירק מביע דאגה עמוקה מהצהרות של בכירים ישראלים על תוכניות להעברת אזרחים מעזה למדינות שלישיות. החוק הבינלאומי אוסר על העברה בכוח של אנשים מוגנים בתוך שטח כבוש או על גירוש ממנו.</v>
      </c>
      <c r="G384" s="3" t="s">
        <v>1037</v>
      </c>
      <c r="H384" s="2"/>
      <c r="I384" s="2"/>
      <c r="J384" s="3" t="s">
        <v>393</v>
      </c>
      <c r="K384" s="3" t="s">
        <v>2334</v>
      </c>
      <c r="L384" s="3" t="str">
        <f>VLOOKUP($A384,Hebrew!$A:$S,9,0)</f>
        <v>זכויות האדם של האומות המאוחדות (@UNHumanRights)</v>
      </c>
      <c r="M384" s="2"/>
      <c r="N384" s="2"/>
      <c r="O384" s="3" t="s">
        <v>26</v>
      </c>
      <c r="P384" s="3" t="s">
        <v>989</v>
      </c>
      <c r="Q384" s="3" t="str">
        <f>VLOOKUP($A384,Hebrew!$A:$S,13,0)</f>
        <v>רצועת עזה</v>
      </c>
      <c r="R384" s="3" t="s">
        <v>396</v>
      </c>
      <c r="S384" s="3" t="s">
        <v>455</v>
      </c>
      <c r="T384" s="3" t="s">
        <v>2335</v>
      </c>
      <c r="U384" s="3" t="s">
        <v>2308</v>
      </c>
      <c r="V384" s="3" t="s">
        <v>27</v>
      </c>
      <c r="W384" s="3" t="s">
        <v>2336</v>
      </c>
      <c r="X384" s="2"/>
      <c r="Y384" s="2"/>
    </row>
    <row r="385" spans="1:25" x14ac:dyDescent="0.2">
      <c r="A385" s="3">
        <v>256</v>
      </c>
      <c r="B385" s="4" t="s">
        <v>2337</v>
      </c>
      <c r="C385" s="3" t="s">
        <v>2338</v>
      </c>
      <c r="D385" s="3" t="str">
        <f>VLOOKUP(A385,Hebrew!A:C,3,0)</f>
        <v>סרטון שצולם מרכב משוריין ישראלי המראה דגלים ישראליים לאורך רחוב אל-רשיד בעזה</v>
      </c>
      <c r="E385" s="3" t="s">
        <v>2339</v>
      </c>
      <c r="F385" s="3" t="str">
        <f>VLOOKUP($A385,Hebrew!$A:$S,4,0)</f>
        <v>וידאו שצולם על ידי חיילי צה"ל מרכב משוריין, המראה מספר רב של דגלים ישראליים מונפים וגרפיטי בשפה העברית לאורך רחוב אל-רשיד, דרך מרכזית לאורך חוף עזה. החיילים שמצלמים שרים יחד עם מוזיקה בערבית.</v>
      </c>
      <c r="G385" s="3" t="s">
        <v>2340</v>
      </c>
      <c r="H385" s="2"/>
      <c r="I385" s="2"/>
      <c r="J385" s="3" t="s">
        <v>393</v>
      </c>
      <c r="K385" s="3" t="s">
        <v>2341</v>
      </c>
      <c r="L385" s="3" t="str">
        <f>VLOOKUP($A385,Hebrew!$A:$S,9,0)</f>
        <v>אורי קורליאנצ'יק (@VerminusM)</v>
      </c>
      <c r="M385" s="2"/>
      <c r="N385" s="2"/>
      <c r="O385" s="3" t="s">
        <v>412</v>
      </c>
      <c r="P385" s="3" t="s">
        <v>2342</v>
      </c>
      <c r="Q385" s="3" t="str">
        <f>VLOOKUP($A385,Hebrew!$A:$S,13,0)</f>
        <v>רצועת עזה, כביש החוף אל-רשיד</v>
      </c>
      <c r="R385" s="3" t="s">
        <v>396</v>
      </c>
      <c r="S385" s="3" t="s">
        <v>405</v>
      </c>
      <c r="T385" s="3" t="s">
        <v>2343</v>
      </c>
      <c r="U385" s="3" t="s">
        <v>43</v>
      </c>
      <c r="V385" s="3" t="s">
        <v>2344</v>
      </c>
      <c r="W385" s="2"/>
      <c r="X385" s="2"/>
      <c r="Y385" s="2"/>
    </row>
    <row r="386" spans="1:25" x14ac:dyDescent="0.2">
      <c r="A386" s="3">
        <v>261</v>
      </c>
      <c r="B386" s="4" t="s">
        <v>2345</v>
      </c>
      <c r="C386" s="3" t="s">
        <v>2346</v>
      </c>
      <c r="D386" s="3" t="str">
        <f>VLOOKUP(A386,Hebrew!A:C,3,0)</f>
        <v>חיילים משמידים את ח'וזעה במשך שבועיים</v>
      </c>
      <c r="E386" s="3" t="s">
        <v>2347</v>
      </c>
      <c r="F386" s="3" t="str">
        <f>VLOOKUP($A386,Hebrew!$A:$S,4,0)</f>
        <v>הרס ח'וזעה. הסרטון כולל מוזיקה וקריינות של חייל המספר כמה הוא גאה בהרס הכפר של הנאצים שתקפו את ניר עוז.</v>
      </c>
      <c r="G386" s="3" t="s">
        <v>452</v>
      </c>
      <c r="H386" s="2"/>
      <c r="I386" s="2"/>
      <c r="J386" s="3" t="s">
        <v>393</v>
      </c>
      <c r="K386" s="3" t="s">
        <v>491</v>
      </c>
      <c r="L386" s="3" t="str">
        <f>VLOOKUP($A386,Hebrew!$A:$S,9,0)</f>
        <v>B.M. (@ireallyhateyou)</v>
      </c>
      <c r="M386" s="2"/>
      <c r="N386" s="2"/>
      <c r="O386" s="3" t="s">
        <v>26</v>
      </c>
      <c r="P386" s="3" t="s">
        <v>454</v>
      </c>
      <c r="Q386" s="3" t="str">
        <f>VLOOKUP($A386,Hebrew!$A:$S,13,0)</f>
        <v>ח'וזעה</v>
      </c>
      <c r="R386" s="3" t="s">
        <v>396</v>
      </c>
      <c r="S386" s="3" t="s">
        <v>413</v>
      </c>
      <c r="T386" s="3" t="s">
        <v>2348</v>
      </c>
      <c r="U386" s="3" t="s">
        <v>43</v>
      </c>
      <c r="V386" s="3" t="s">
        <v>457</v>
      </c>
      <c r="W386" s="2"/>
      <c r="X386" s="2"/>
      <c r="Y386" s="2"/>
    </row>
    <row r="387" spans="1:25" x14ac:dyDescent="0.2">
      <c r="A387" s="3">
        <v>842</v>
      </c>
      <c r="B387" s="4" t="s">
        <v>2349</v>
      </c>
      <c r="C387" s="3" t="s">
        <v>2350</v>
      </c>
      <c r="D387" s="3" t="str">
        <f>VLOOKUP(A387,Hebrew!A:C,3,0)</f>
        <v>חיילי צה"ל לובשים את בגדים תחתונים של נשים מעזה</v>
      </c>
      <c r="E387" s="3" t="s">
        <v>2351</v>
      </c>
      <c r="F387" s="3" t="str">
        <f>VLOOKUP($A387,Hebrew!$A:$S,4,0)</f>
        <v>שני חיילי צה"ל מציגים הלבשה תחתונה של נשים פלסטיניות.</v>
      </c>
      <c r="G387" s="3" t="s">
        <v>988</v>
      </c>
      <c r="H387" s="2"/>
      <c r="I387" s="2"/>
      <c r="J387" s="3" t="s">
        <v>393</v>
      </c>
      <c r="K387" s="3" t="s">
        <v>453</v>
      </c>
      <c r="L387" s="3" t="str">
        <f>VLOOKUP($A387,Hebrew!$A:$S,9,0)</f>
        <v>Younis Tirawi (@ytirawi)</v>
      </c>
      <c r="M387" s="2"/>
      <c r="N387" s="2"/>
      <c r="O387" s="3" t="s">
        <v>26</v>
      </c>
      <c r="P387" s="3" t="s">
        <v>439</v>
      </c>
      <c r="Q387" s="3" t="str">
        <f>VLOOKUP($A387,Hebrew!$A:$S,13,0)</f>
        <v>רפיח</v>
      </c>
      <c r="R387" s="3" t="s">
        <v>396</v>
      </c>
      <c r="S387" s="3" t="s">
        <v>455</v>
      </c>
      <c r="T387" s="3" t="s">
        <v>2352</v>
      </c>
      <c r="U387" s="3" t="s">
        <v>43</v>
      </c>
      <c r="V387" s="3" t="s">
        <v>439</v>
      </c>
      <c r="W387" s="2"/>
      <c r="X387" s="2"/>
      <c r="Y387" s="2"/>
    </row>
    <row r="388" spans="1:25" x14ac:dyDescent="0.2">
      <c r="A388" s="3">
        <v>843</v>
      </c>
      <c r="B388" s="4" t="s">
        <v>2353</v>
      </c>
      <c r="C388" s="3" t="s">
        <v>2354</v>
      </c>
      <c r="D388" s="3" t="str">
        <f>VLOOKUP(A388,Hebrew!A:C,3,0)</f>
        <v>חיילי צה"ל בוזזים כסף</v>
      </c>
      <c r="E388" s="3" t="s">
        <v>2355</v>
      </c>
      <c r="F388" s="3" t="str">
        <f>VLOOKUP($A388,Hebrew!$A:$S,4,0)</f>
        <v>תמונה המראה חמישה חיילי צה"ל מחטיבת הנח"ל בוזזים כסף מבית בעיר עזה.</v>
      </c>
      <c r="G388" s="3" t="s">
        <v>988</v>
      </c>
      <c r="H388" s="2"/>
      <c r="I388" s="2"/>
      <c r="J388" s="3" t="s">
        <v>393</v>
      </c>
      <c r="K388" s="3" t="s">
        <v>453</v>
      </c>
      <c r="L388" s="3" t="str">
        <f>VLOOKUP($A388,Hebrew!$A:$S,9,0)</f>
        <v>Younis Tirawi (@ytirawi)</v>
      </c>
      <c r="M388" s="2"/>
      <c r="N388" s="2"/>
      <c r="O388" s="3" t="s">
        <v>26</v>
      </c>
      <c r="P388" s="3" t="s">
        <v>71</v>
      </c>
      <c r="Q388" s="3" t="str">
        <f>VLOOKUP($A388,Hebrew!$A:$S,13,0)</f>
        <v>עיר עזה</v>
      </c>
      <c r="R388" s="3" t="s">
        <v>396</v>
      </c>
      <c r="S388" s="3" t="s">
        <v>455</v>
      </c>
      <c r="T388" s="3" t="s">
        <v>1236</v>
      </c>
      <c r="U388" s="3" t="s">
        <v>43</v>
      </c>
      <c r="V388" s="3" t="s">
        <v>71</v>
      </c>
      <c r="W388" s="2"/>
      <c r="X388" s="2"/>
      <c r="Y388" s="2"/>
    </row>
    <row r="389" spans="1:25" x14ac:dyDescent="0.2">
      <c r="A389" s="3">
        <v>844</v>
      </c>
      <c r="B389" s="4" t="s">
        <v>2356</v>
      </c>
      <c r="C389" s="3" t="s">
        <v>2357</v>
      </c>
      <c r="D389" s="3" t="str">
        <f>VLOOKUP(A389,Hebrew!A:C,3,0)</f>
        <v>דוגמנית ישראלית קוראת להשמדת אזרחי ישראל vפלסטינים.</v>
      </c>
      <c r="E389" s="3" t="s">
        <v>2358</v>
      </c>
      <c r="F389" s="3" t="str">
        <f>VLOOKUP($A389,Hebrew!$A:$S,4,0)</f>
        <v>הדוגמנית הישראלית תאהוניה רובל קוראת להשמדת אזרחי ישראל הפלסטינים משום שהם צועדים בישראל עם דגלים פלסטיניים.</v>
      </c>
      <c r="G389" s="3" t="s">
        <v>2359</v>
      </c>
      <c r="H389" s="3" t="s">
        <v>2359</v>
      </c>
      <c r="I389" s="3" t="s">
        <v>2359</v>
      </c>
      <c r="J389" s="3" t="s">
        <v>393</v>
      </c>
      <c r="K389" s="3" t="s">
        <v>2360</v>
      </c>
      <c r="L389" s="3" t="str">
        <f>VLOOKUP($A389,Hebrew!$A:$S,9,0)</f>
        <v>Zj (@z_00pIz)</v>
      </c>
      <c r="M389" s="2"/>
      <c r="N389" s="2"/>
      <c r="O389" s="3" t="s">
        <v>426</v>
      </c>
      <c r="P389" s="3" t="s">
        <v>60</v>
      </c>
      <c r="Q389" s="3" t="str">
        <f>VLOOKUP($A389,Hebrew!$A:$S,13,0)</f>
        <v>ישראל</v>
      </c>
      <c r="R389" s="3" t="s">
        <v>396</v>
      </c>
      <c r="S389" s="3" t="s">
        <v>405</v>
      </c>
      <c r="T389" s="3" t="s">
        <v>2361</v>
      </c>
      <c r="U389" s="2"/>
      <c r="V389" s="3" t="s">
        <v>60</v>
      </c>
      <c r="W389" s="2"/>
      <c r="X389" s="2"/>
      <c r="Y389" s="2"/>
    </row>
    <row r="390" spans="1:25" x14ac:dyDescent="0.2">
      <c r="A390" s="3">
        <v>845</v>
      </c>
      <c r="B390" s="4" t="s">
        <v>2362</v>
      </c>
      <c r="C390" s="3" t="s">
        <v>2363</v>
      </c>
      <c r="D390" s="3" t="str">
        <f>VLOOKUP(A390,Hebrew!A:C,3,0)</f>
        <v>ישראלים ברשתות החברתיות לועגים למותם של שלושה מבני משפחה פלסטינית-ישראלית בתאונת דרכים [שרשור]</v>
      </c>
      <c r="E390" s="3" t="s">
        <v>2364</v>
      </c>
      <c r="F390" s="3" t="str">
        <f>VLOOKUP($A390,Hebrew!$A:$S,4,0)</f>
        <v>משתמשי מדיה חברתית ישראלים לועגים וחוגגים את מותם של שלושה בני משפחה פלסטינית עם אזרחות ישראלית. התוכן מופיע בצילומי מסך בשרשור.</v>
      </c>
      <c r="G390" s="3" t="s">
        <v>988</v>
      </c>
      <c r="H390" s="2"/>
      <c r="I390" s="2"/>
      <c r="J390" s="3" t="s">
        <v>393</v>
      </c>
      <c r="K390" s="3" t="s">
        <v>2360</v>
      </c>
      <c r="L390" s="3" t="str">
        <f>VLOOKUP($A390,Hebrew!$A:$S,9,0)</f>
        <v>Zj (@z_00pIz)</v>
      </c>
      <c r="M390" s="2"/>
      <c r="N390" s="2"/>
      <c r="O390" s="3" t="s">
        <v>26</v>
      </c>
      <c r="P390" s="3" t="s">
        <v>60</v>
      </c>
      <c r="Q390" s="3" t="str">
        <f>VLOOKUP($A390,Hebrew!$A:$S,13,0)</f>
        <v>ישראל</v>
      </c>
      <c r="R390" s="3" t="s">
        <v>396</v>
      </c>
      <c r="S390" s="3" t="s">
        <v>455</v>
      </c>
      <c r="T390" s="3" t="s">
        <v>2365</v>
      </c>
      <c r="U390" s="2"/>
      <c r="V390" s="3" t="s">
        <v>60</v>
      </c>
      <c r="W390" s="2"/>
      <c r="X390" s="2"/>
      <c r="Y390" s="2"/>
    </row>
    <row r="391" spans="1:25" x14ac:dyDescent="0.2">
      <c r="A391" s="3">
        <v>1232</v>
      </c>
      <c r="B391" s="4" t="s">
        <v>2366</v>
      </c>
      <c r="C391" s="3" t="s">
        <v>2367</v>
      </c>
      <c r="D391" s="3" t="str">
        <f>VLOOKUP(A391,Hebrew!A:C,3,0)</f>
        <v>דיווח על הוצאות להורג בשטח העיר עזה</v>
      </c>
      <c r="E391" s="3" t="s">
        <v>2368</v>
      </c>
      <c r="F391" s="3" t="str">
        <f>VLOOKUP($A391,Hebrew!$A:$S,4,0)</f>
        <v>ב-24 באפריל, כוחות ישראליים פלשו לדרום רימאל, עזה, הציתו בתים והרסו מבנים תוך כדי פינוי כפוי של נשים וילדים מתחת לגיל 14 לדרום העיר עזה תחת איומי צלפים. גברים ובנים נעצרו סמוך לצומת שליחאת, חלקם עברו חקירות קשות, וכמה מהם הוצאו להורג מאוחר יותר, כפי שהעידו שני עצורים משוחררים שראו את הרציחות. מאוחר יותר, חיילים שחררו כמה מהעצורים עירומים על החוף, ואז פתחו באש, הכו כמה עצורים נוספים, ביניהם גבר בן 60 שמת מול בניו.</v>
      </c>
      <c r="G391" s="3" t="s">
        <v>2369</v>
      </c>
      <c r="H391" s="3" t="s">
        <v>2370</v>
      </c>
      <c r="I391" s="3" t="s">
        <v>1631</v>
      </c>
      <c r="J391" s="3" t="s">
        <v>393</v>
      </c>
      <c r="K391" s="3" t="s">
        <v>453</v>
      </c>
      <c r="L391" s="3" t="str">
        <f>VLOOKUP($A391,Hebrew!$A:$S,9,0)</f>
        <v>Younis Tirawi (@ytirawi)</v>
      </c>
      <c r="M391" s="2"/>
      <c r="N391" s="2"/>
      <c r="O391" s="3" t="s">
        <v>26</v>
      </c>
      <c r="P391" s="3" t="s">
        <v>2371</v>
      </c>
      <c r="Q391" s="3" t="str">
        <f>VLOOKUP($A391,Hebrew!$A:$S,13,0)</f>
        <v>שכונת רימאל, העיר דרום עזה, מסדרון נצרים</v>
      </c>
      <c r="R391" s="3" t="s">
        <v>396</v>
      </c>
      <c r="S391" s="3" t="s">
        <v>397</v>
      </c>
      <c r="T391" s="3" t="s">
        <v>2372</v>
      </c>
      <c r="U391" s="3" t="s">
        <v>43</v>
      </c>
      <c r="V391" s="3" t="s">
        <v>2373</v>
      </c>
      <c r="W391" s="2"/>
      <c r="X391" s="2"/>
      <c r="Y391" s="2"/>
    </row>
    <row r="392" spans="1:25" x14ac:dyDescent="0.2">
      <c r="A392" s="3">
        <v>1233</v>
      </c>
      <c r="B392" s="4" t="s">
        <v>2374</v>
      </c>
      <c r="C392" s="3" t="s">
        <v>2375</v>
      </c>
      <c r="D392" s="3" t="str">
        <f>VLOOKUP(A392,Hebrew!A:C,3,0)</f>
        <v>הריגת אזרחים בלתי חמושים על ידי כוחות צה"ל [שרשור]</v>
      </c>
      <c r="E392" s="3" t="s">
        <v>2376</v>
      </c>
      <c r="F392" s="3" t="str">
        <f>VLOOKUP($A392,Hebrew!$A:$S,4,0)</f>
        <v>תיעוד שהושג מחשבון מדיה חברתית של חייל ישראלי מחטיבת הצנחנים, מראה את הריגתו של אזרח עזתי חסר נשק, שניסה לאסוף גופה של ילד צעיר. התוקף נראה כמו צלף. שאר השרשור כולל דוגמאות נוספות.</v>
      </c>
      <c r="G392" s="3" t="s">
        <v>979</v>
      </c>
      <c r="H392" s="2"/>
      <c r="I392" s="2"/>
      <c r="J392" s="3" t="s">
        <v>393</v>
      </c>
      <c r="K392" s="3" t="s">
        <v>453</v>
      </c>
      <c r="L392" s="3" t="str">
        <f>VLOOKUP($A392,Hebrew!$A:$S,9,0)</f>
        <v>Younis Tirawi (@ytirawi)</v>
      </c>
      <c r="M392" s="2"/>
      <c r="N392" s="2"/>
      <c r="O392" s="3" t="s">
        <v>26</v>
      </c>
      <c r="P392" s="3" t="s">
        <v>71</v>
      </c>
      <c r="Q392" s="3" t="str">
        <f>VLOOKUP($A392,Hebrew!$A:$S,13,0)</f>
        <v>עיר עזה</v>
      </c>
      <c r="R392" s="3" t="s">
        <v>396</v>
      </c>
      <c r="S392" s="3" t="s">
        <v>405</v>
      </c>
      <c r="T392" s="3" t="s">
        <v>2377</v>
      </c>
      <c r="U392" s="3" t="s">
        <v>43</v>
      </c>
      <c r="V392" s="3" t="s">
        <v>71</v>
      </c>
      <c r="W392" s="2"/>
      <c r="X392" s="2"/>
      <c r="Y392" s="2"/>
    </row>
    <row r="393" spans="1:25" x14ac:dyDescent="0.2">
      <c r="A393" s="3">
        <v>1360</v>
      </c>
      <c r="B393" s="4" t="s">
        <v>2378</v>
      </c>
      <c r="C393" s="3" t="s">
        <v>2379</v>
      </c>
      <c r="D393" s="3" t="str">
        <f>VLOOKUP(A393,Hebrew!A:C,3,0)</f>
        <v>החברה הישראלית XTEND מתגאה בגיוס של 40 מיליון דולר לאחר הצלחתה בתחום הרחפנים.</v>
      </c>
      <c r="E393" s="3" t="s">
        <v>2380</v>
      </c>
      <c r="F393" s="3" t="str">
        <f>VLOOKUP($A393,Hebrew!$A:$S,4,0)</f>
        <v>רחפנים מסוג קוואדקופטר מצוידים ברובי צלפים גרמו למספר רב של נפגעים אזרחיים בעזה, כולל ילדים. ד"ר ג'סאן אבו-סיתה, מנתח בריטי שהתנדב בבתי החולים בעזה במהלך המלחמה, דיווח: "בלילה אחד, קיבלנו 30 פצועים מירי רחפנים שכוון לאנשים שניסו להגיע לבית החולים אהלי.</v>
      </c>
      <c r="G393" s="3" t="s">
        <v>2381</v>
      </c>
      <c r="H393" s="2"/>
      <c r="I393" s="2"/>
      <c r="J393" s="3" t="s">
        <v>393</v>
      </c>
      <c r="K393" s="3" t="s">
        <v>2382</v>
      </c>
      <c r="L393" s="3" t="str">
        <f>VLOOKUP($A393,Hebrew!$A:$S,9,0)</f>
        <v>Ghassan Abu Sitta (@GhassanAbuSitt1)</v>
      </c>
      <c r="M393" s="2"/>
      <c r="N393" s="2"/>
      <c r="O393" s="3" t="s">
        <v>26</v>
      </c>
      <c r="P393" s="3" t="s">
        <v>2383</v>
      </c>
      <c r="Q393" s="3" t="str">
        <f>VLOOKUP($A393,Hebrew!$A:$S,13,0)</f>
        <v>רצועת עזה, בית החולים אל-אהלי הבפטיסטי</v>
      </c>
      <c r="R393" s="3" t="s">
        <v>396</v>
      </c>
      <c r="S393" s="3" t="s">
        <v>455</v>
      </c>
      <c r="T393" s="3" t="s">
        <v>2384</v>
      </c>
      <c r="U393" s="3" t="s">
        <v>43</v>
      </c>
      <c r="V393" s="3" t="s">
        <v>2385</v>
      </c>
      <c r="W393" s="2"/>
      <c r="X393" s="2"/>
      <c r="Y393" s="2"/>
    </row>
    <row r="394" spans="1:25" x14ac:dyDescent="0.2">
      <c r="A394" s="3">
        <v>1362</v>
      </c>
      <c r="B394" s="4" t="s">
        <v>2386</v>
      </c>
      <c r="C394" s="3" t="s">
        <v>2387</v>
      </c>
      <c r="D394" s="3" t="str">
        <f>VLOOKUP(A394,Hebrew!A:C,3,0)</f>
        <v>שבעים גופות מרקיבות התגלו בג'באליה</v>
      </c>
      <c r="E394" s="3" t="s">
        <v>2388</v>
      </c>
      <c r="F394" s="3" t="str">
        <f>VLOOKUP($A394,Hebrew!$A:$S,4,0)</f>
        <v>העיתונאי חוסאם שבט מדווח כי מאז שחר ה-31 במאי 2024, נמצאו כ-70 גופות מרקיבות—בעיקר של נשים וילדים—במחנה הפליטים ג'באליה. ככל הנראה, הם נורו על ידי צלפים ישראלים בזמן שניסו לברוח מההפצצות.</v>
      </c>
      <c r="G394" s="3" t="s">
        <v>77</v>
      </c>
      <c r="H394" s="3" t="s">
        <v>77</v>
      </c>
      <c r="I394" s="3" t="s">
        <v>77</v>
      </c>
      <c r="J394" s="3" t="s">
        <v>393</v>
      </c>
      <c r="K394" s="3" t="s">
        <v>1258</v>
      </c>
      <c r="L394" s="3" t="str">
        <f>VLOOKUP($A394,Hebrew!$A:$S,9,0)</f>
        <v>Hossam Shabat (@HossamShabat)</v>
      </c>
      <c r="M394" s="2"/>
      <c r="N394" s="2"/>
      <c r="O394" s="3" t="s">
        <v>26</v>
      </c>
      <c r="P394" s="3" t="s">
        <v>461</v>
      </c>
      <c r="Q394" s="3" t="str">
        <f>VLOOKUP($A394,Hebrew!$A:$S,13,0)</f>
        <v>ג'באליה</v>
      </c>
      <c r="R394" s="3" t="s">
        <v>396</v>
      </c>
      <c r="S394" s="3" t="s">
        <v>29</v>
      </c>
      <c r="T394" s="3" t="s">
        <v>2389</v>
      </c>
      <c r="U394" s="3" t="s">
        <v>43</v>
      </c>
      <c r="V394" s="3" t="s">
        <v>461</v>
      </c>
      <c r="W394" s="2"/>
      <c r="X394" s="2"/>
      <c r="Y394" s="2"/>
    </row>
    <row r="395" spans="1:25" x14ac:dyDescent="0.2">
      <c r="A395" s="3">
        <v>1364</v>
      </c>
      <c r="B395" s="4" t="s">
        <v>2390</v>
      </c>
      <c r="C395" s="3" t="s">
        <v>2391</v>
      </c>
      <c r="D395" s="3" t="str">
        <f>VLOOKUP(A395,Hebrew!A:C,3,0)</f>
        <v>עדויות מרופאים שהתנדבו בבתי חולים בעזה</v>
      </c>
      <c r="E395" s="3" t="s">
        <v>2392</v>
      </c>
      <c r="F395" s="3" t="str">
        <f>VLOOKUP($A395,Hebrew!$A:$S,4,0)</f>
        <v>שלושה רופאים מתנדבים בבתי חולים בעזה מדווחים על תנאים קשים: מנתח מסידני מתאר ביצוע ניתוחים בבית החולים אל-אקצא— ברגליים, חזה ובטן—ללא הקלה בכאב לאחר הניתוח, כשהוא עד למוות יומיומי של ילדים. פסיכולוג קליני מסביר על שתי טראומות הפוגעות בילדי עזה: סבל מהפצצות ומוות של בני משפחה, שמחמירות עם המודעות הכואבת שהעולם נכשל להתערב. רופא נוסף מציין שרוב קורבנות ההפצצות מגיעים לבתי החולים כבר מתים, עם ניצולים הסובלים מפגיעות קשות. בינתיים, עזה מתמודדת עם רעב, ונתוני האומות המאוחדות מראים ירידה של 70% בסיוע ההומניטרי מאז ההתקדמות הצבאית של ישראל לרפיח.</v>
      </c>
      <c r="G395" s="3" t="s">
        <v>410</v>
      </c>
      <c r="H395" s="2"/>
      <c r="I395" s="2"/>
      <c r="J395" s="3" t="s">
        <v>393</v>
      </c>
      <c r="K395" s="3" t="s">
        <v>739</v>
      </c>
      <c r="L395" s="3" t="str">
        <f>VLOOKUP($A395,Hebrew!$A:$S,9,0)</f>
        <v>Nour Naim (@NourNaim88)</v>
      </c>
      <c r="M395" s="2"/>
      <c r="N395" s="2"/>
      <c r="O395" s="3" t="s">
        <v>26</v>
      </c>
      <c r="P395" s="3" t="s">
        <v>2393</v>
      </c>
      <c r="Q395" s="3" t="str">
        <f>VLOOKUP($A395,Hebrew!$A:$S,13,0)</f>
        <v>רצועת עזה, בית החולים אל-אקצא</v>
      </c>
      <c r="R395" s="3" t="s">
        <v>396</v>
      </c>
      <c r="S395" s="3" t="s">
        <v>413</v>
      </c>
      <c r="T395" s="3" t="s">
        <v>2394</v>
      </c>
      <c r="U395" s="2"/>
      <c r="V395" s="3" t="s">
        <v>2395</v>
      </c>
      <c r="W395" s="2"/>
      <c r="X395" s="2"/>
      <c r="Y395" s="2"/>
    </row>
    <row r="396" spans="1:25" x14ac:dyDescent="0.2">
      <c r="A396" s="3">
        <v>1365</v>
      </c>
      <c r="B396" s="4" t="s">
        <v>2396</v>
      </c>
      <c r="C396" s="3" t="s">
        <v>2397</v>
      </c>
      <c r="D396" s="3" t="str">
        <f>VLOOKUP(A396,Hebrew!A:C,3,0)</f>
        <v>צה"ל מונע פינוי גופות מתל אל-סולטן</v>
      </c>
      <c r="E396" s="3" t="s">
        <v>2398</v>
      </c>
      <c r="F396" s="3" t="str">
        <f>VLOOKUP($A396,Hebrew!$A:$S,4,0)</f>
        <v>בתל אל-סולטאן, מערבית לרפיח, ישראל הרגה אזרחים שנעקרו בעת תנועתם, מספר ימים קודם לכן. הגופות נשארות מרקיבות ברחובות, בעוד שצוותים רפואיים מנועים מלהיכנס כדי לאסוף אותן.</v>
      </c>
      <c r="G396" s="3" t="s">
        <v>858</v>
      </c>
      <c r="H396" s="3" t="s">
        <v>402</v>
      </c>
      <c r="I396" s="3" t="s">
        <v>858</v>
      </c>
      <c r="J396" s="3" t="s">
        <v>393</v>
      </c>
      <c r="K396" s="3" t="s">
        <v>2399</v>
      </c>
      <c r="L396" s="3" t="str">
        <f>VLOOKUP($A396,Hebrew!$A:$S,9,0)</f>
        <v>Rami Abdu (@RamAbdu)</v>
      </c>
      <c r="M396" s="2"/>
      <c r="N396" s="2"/>
      <c r="O396" s="3" t="s">
        <v>26</v>
      </c>
      <c r="P396" s="3" t="s">
        <v>2400</v>
      </c>
      <c r="Q396" s="3" t="str">
        <f>VLOOKUP($A396,Hebrew!$A:$S,13,0)</f>
        <v>תל א-סולטאן, רפיח</v>
      </c>
      <c r="R396" s="3" t="s">
        <v>396</v>
      </c>
      <c r="S396" s="3" t="s">
        <v>29</v>
      </c>
      <c r="T396" s="3" t="s">
        <v>2401</v>
      </c>
      <c r="U396" s="3" t="s">
        <v>43</v>
      </c>
      <c r="V396" s="3" t="s">
        <v>1494</v>
      </c>
      <c r="W396" s="2"/>
      <c r="X396" s="2"/>
      <c r="Y396" s="2"/>
    </row>
    <row r="397" spans="1:25" x14ac:dyDescent="0.2">
      <c r="A397" s="3">
        <v>1368</v>
      </c>
      <c r="B397" s="4" t="s">
        <v>2402</v>
      </c>
      <c r="C397" s="3" t="s">
        <v>2403</v>
      </c>
      <c r="D397" s="3" t="str">
        <f>VLOOKUP(A397,Hebrew!A:C,3,0)</f>
        <v>אחות מתנדבת אמריקאית חוזרת מעזה עם דיווחים מזעזעים על תנאי בתי החולים בעזה</v>
      </c>
      <c r="E397" s="3" t="s">
        <v>2404</v>
      </c>
      <c r="F397" s="3" t="str">
        <f>VLOOKUP($A397,Hebrew!$A:$S,4,0)</f>
        <v>מוניקה ג'ונסון, אחות מפורטלנד שהתנדבה בבית החולים רפיח עם האגודה הרפואית הפלסטינית-אמריקאית, מתארת מחסור חמור במצרכים בסיסיים—אין סבון, חומר חיטוי לידיים או מגבות נייר; אין מצעים לחולים, מה שמאלץ חולי טיפול נמרץ לשכב על סדינים פלסטיים ב"שלוליות דם", ללא אפשרות להחליף אותם. היא מעידה: “לאנשים יש פציעות פיצוץ—ואנחנו נותנים להם טילנול. אנחנו נותנים להם איבופרופן. על יד שנקטעה. או כוויות המכסות 30% מגופם."</v>
      </c>
      <c r="G397" s="3" t="s">
        <v>2405</v>
      </c>
      <c r="H397" s="2"/>
      <c r="I397" s="2"/>
      <c r="J397" s="3" t="s">
        <v>393</v>
      </c>
      <c r="K397" s="3" t="s">
        <v>713</v>
      </c>
      <c r="L397" s="3" t="str">
        <f>VLOOKUP($A397,Hebrew!$A:$S,9,0)</f>
        <v>Trita Parsi (@tparsi)</v>
      </c>
      <c r="M397" s="2"/>
      <c r="N397" s="2"/>
      <c r="O397" s="3" t="s">
        <v>26</v>
      </c>
      <c r="P397" s="3" t="s">
        <v>439</v>
      </c>
      <c r="Q397" s="3" t="str">
        <f>VLOOKUP($A397,Hebrew!$A:$S,13,0)</f>
        <v>רפיח</v>
      </c>
      <c r="R397" s="3" t="s">
        <v>396</v>
      </c>
      <c r="S397" s="3" t="s">
        <v>405</v>
      </c>
      <c r="T397" s="3" t="s">
        <v>2406</v>
      </c>
      <c r="U397" s="2"/>
      <c r="V397" s="3" t="s">
        <v>439</v>
      </c>
      <c r="W397" s="2"/>
      <c r="X397" s="2"/>
      <c r="Y397" s="2"/>
    </row>
    <row r="398" spans="1:25" x14ac:dyDescent="0.2">
      <c r="A398" s="3">
        <v>1370</v>
      </c>
      <c r="B398" s="4" t="s">
        <v>2407</v>
      </c>
      <c r="C398" s="3" t="s">
        <v>2408</v>
      </c>
      <c r="D398" s="3" t="str">
        <f>VLOOKUP(A398,Hebrew!A:C,3,0)</f>
        <v>משפחות פלסטיניות נכנעות לרחפן צהל"י בתוך בית בעזה</v>
      </c>
      <c r="E398" s="3" t="s">
        <v>2409</v>
      </c>
      <c r="F398" s="3" t="str">
        <f>VLOOKUP($A398,Hebrew!$A:$S,4,0)</f>
        <v>חייל ישראלי פרסם סרטון ברשתות החברתיות המראה משפחות פלסטיניות (כ-15-20 אנשים) בתוך בית בעזה, מנופפים בידיהם לכניעה, למה שנראה כמו רחפן ישראלי. נכון למועד כתיבת שורות אלו, מצבם של האנשים ומיקום האירוע המדויק עדיין לא אומתו.</v>
      </c>
      <c r="G398" s="3" t="s">
        <v>490</v>
      </c>
      <c r="H398" s="2"/>
      <c r="I398" s="2"/>
      <c r="J398" s="3" t="s">
        <v>393</v>
      </c>
      <c r="K398" s="3" t="s">
        <v>453</v>
      </c>
      <c r="L398" s="3" t="str">
        <f>VLOOKUP($A398,Hebrew!$A:$S,9,0)</f>
        <v>Younis Tirawi (@ytirawi)</v>
      </c>
      <c r="M398" s="2"/>
      <c r="N398" s="2"/>
      <c r="O398" s="3" t="s">
        <v>26</v>
      </c>
      <c r="P398" s="3" t="s">
        <v>27</v>
      </c>
      <c r="Q398" s="3" t="str">
        <f>VLOOKUP($A398,Hebrew!$A:$S,13,0)</f>
        <v>רצועת עזה</v>
      </c>
      <c r="R398" s="3" t="s">
        <v>396</v>
      </c>
      <c r="S398" s="3" t="s">
        <v>455</v>
      </c>
      <c r="T398" s="3" t="s">
        <v>2410</v>
      </c>
      <c r="U398" s="3" t="s">
        <v>43</v>
      </c>
      <c r="V398" s="3" t="s">
        <v>27</v>
      </c>
      <c r="W398" s="2"/>
      <c r="X398" s="2"/>
      <c r="Y398" s="2"/>
    </row>
    <row r="399" spans="1:25" x14ac:dyDescent="0.2">
      <c r="A399" s="3">
        <v>1231</v>
      </c>
      <c r="B399" s="4" t="s">
        <v>2411</v>
      </c>
      <c r="C399" s="3" t="s">
        <v>2412</v>
      </c>
      <c r="D399" s="3" t="str">
        <f>VLOOKUP(A399,Hebrew!A:C,3,0)</f>
        <v>הוצאה להורג במחסום נצרים</v>
      </c>
      <c r="E399" s="3" t="s">
        <v>2413</v>
      </c>
      <c r="F399" s="3" t="str">
        <f>VLOOKUP($A399,Hebrew!$A:$S,4,0)</f>
        <v>על פי עד ראייה, בין השעות 9:00-10:00 בבוקר ב-17 במרץ 2024, כוחות ישראליים במחסום נצרים ירו בפלסטיני בן 65, אשר נשא עמו קפה ובגדים למשפחתו בדרום עזה. לאחר מותו, דחפור קבר את גופתו סמוך למחסום. פלסטינים שעמדו שם הורשו להמשיך דרומה רק לאחר השעה 11:30 בעקבות האירוע.</v>
      </c>
      <c r="G399" s="3" t="s">
        <v>2414</v>
      </c>
      <c r="H399" s="3" t="s">
        <v>778</v>
      </c>
      <c r="I399" s="3" t="s">
        <v>778</v>
      </c>
      <c r="J399" s="3" t="s">
        <v>393</v>
      </c>
      <c r="K399" s="3" t="s">
        <v>453</v>
      </c>
      <c r="L399" s="3" t="str">
        <f>VLOOKUP($A399,Hebrew!$A:$S,9,0)</f>
        <v>Younis Tirawi (@ytirawi)</v>
      </c>
      <c r="M399" s="2"/>
      <c r="N399" s="2"/>
      <c r="O399" s="3" t="s">
        <v>26</v>
      </c>
      <c r="P399" s="3" t="s">
        <v>2415</v>
      </c>
      <c r="Q399" s="3" t="str">
        <f>VLOOKUP($A399,Hebrew!$A:$S,13,0)</f>
        <v>מסדרון נצרים</v>
      </c>
      <c r="R399" s="3" t="s">
        <v>396</v>
      </c>
      <c r="S399" s="3" t="s">
        <v>455</v>
      </c>
      <c r="T399" s="3" t="s">
        <v>2416</v>
      </c>
      <c r="U399" s="3" t="s">
        <v>43</v>
      </c>
      <c r="V399" s="3" t="s">
        <v>40</v>
      </c>
      <c r="W399" s="2"/>
      <c r="X399" s="2"/>
      <c r="Y399" s="2"/>
    </row>
    <row r="400" spans="1:25" x14ac:dyDescent="0.2">
      <c r="A400" s="3">
        <v>2309</v>
      </c>
      <c r="B400" s="4" t="s">
        <v>2417</v>
      </c>
      <c r="C400" s="3" t="s">
        <v>2418</v>
      </c>
      <c r="D400" s="3" t="str">
        <f>VLOOKUP(A400,Hebrew!A:C,3,0)</f>
        <v>טבח במחנה הפליטים ג'בליה</v>
      </c>
      <c r="E400" s="3" t="s">
        <v>2419</v>
      </c>
      <c r="F400" s="3" t="str">
        <f>VLOOKUP($A400,Hebrew!$A:$S,4,0)</f>
        <v>כחלק ממבצע גדול בצפון עזה, תקיפות אוויריות ישראליות פגעו ב-11 בנייני מגורים במחנה הפליטים ג'בליה, וכתוצאה מכך נהרגו יותר מ-150 פלסטינים.</v>
      </c>
      <c r="G400" s="3" t="s">
        <v>625</v>
      </c>
      <c r="H400" s="3" t="s">
        <v>625</v>
      </c>
      <c r="I400" s="7">
        <v>45589</v>
      </c>
      <c r="J400" s="3" t="s">
        <v>393</v>
      </c>
      <c r="K400" s="3" t="s">
        <v>2420</v>
      </c>
      <c r="L400" s="3" t="str">
        <f>VLOOKUP($A400,Hebrew!$A:$S,9,0)</f>
        <v>טיימס של עזה (@Timesofgaza)</v>
      </c>
      <c r="M400" s="2"/>
      <c r="N400" s="2"/>
      <c r="O400" s="3" t="s">
        <v>26</v>
      </c>
      <c r="P400" s="3" t="s">
        <v>2421</v>
      </c>
      <c r="Q400" s="3" t="str">
        <f>VLOOKUP($A400,Hebrew!$A:$S,13,0)</f>
        <v>מחנה ג'באליה</v>
      </c>
      <c r="R400" s="3" t="s">
        <v>396</v>
      </c>
      <c r="S400" s="3" t="s">
        <v>29</v>
      </c>
      <c r="T400" s="3" t="s">
        <v>2422</v>
      </c>
      <c r="U400" s="3" t="s">
        <v>43</v>
      </c>
      <c r="V400" s="3" t="s">
        <v>461</v>
      </c>
      <c r="W400" s="2"/>
      <c r="X400" s="2"/>
      <c r="Y400" s="2"/>
    </row>
    <row r="401" spans="1:25" x14ac:dyDescent="0.2">
      <c r="A401" s="3">
        <v>2310</v>
      </c>
      <c r="B401" s="4" t="s">
        <v>2423</v>
      </c>
      <c r="C401" s="3" t="s">
        <v>2424</v>
      </c>
      <c r="D401" s="3" t="str">
        <f>VLOOKUP(A401,Hebrew!A:C,3,0)</f>
        <v>פרשן ישראלי דן באיומים של ארה"ב להטיל אמברגו על נשק בעקבות הסנקציות על סיוע לעזה, בעוד פוליטיקאים ישראלים מקדמים תוכניות להתיישבות ברצועת עזה ולגרש תושביה.</v>
      </c>
      <c r="E401" s="3" t="s">
        <v>2425</v>
      </c>
      <c r="F401" s="3" t="str">
        <f>VLOOKUP($A401,Hebrew!$A:$S,4,0)</f>
        <v>ארצות הברית איימה לאחרונה על אמברגו נשק אם ישראל לא תחזיר סיוע הומניטרי לצפון עזה, ומאשימה אותה בהרעבת פלסטינים במכוון כדי לגרש אותם ולחזק את השליטה באזור. בינתיים, חברי כנסת של הליכוד קידמו בגלוי את רעיון ההתיישבות בעזה, ללא גינוי מצד ראש הממשלה בנימין נתניהו. במקביל, פרשן בערוץ 12, עמית סגל, רמז על "התאמות גבול" ועל ביצוע המבצעי של "תכנית הגנרלים"—הכוונה להעברת האוכלוסייה של צפון עזה בכוח. ההערות של המגיב הישראלי כאן סימנו את תחילת השינוי בשיח הליברלי הישראלי בנוגע לפשעי מלחמה ישראלים באוקטובר 2024.</v>
      </c>
      <c r="G401" s="7">
        <v>45587</v>
      </c>
      <c r="H401" s="3" t="s">
        <v>223</v>
      </c>
      <c r="I401" s="3" t="s">
        <v>22</v>
      </c>
      <c r="J401" s="3" t="s">
        <v>393</v>
      </c>
      <c r="K401" s="3" t="s">
        <v>2426</v>
      </c>
      <c r="L401" s="3" t="str">
        <f>VLOOKUP($A401,Hebrew!$A:$S,9,0)</f>
        <v>תומר פרסיקו (@TomerPersico)</v>
      </c>
      <c r="M401" s="3" t="s">
        <v>492</v>
      </c>
      <c r="N401" s="2"/>
      <c r="O401" s="3" t="s">
        <v>39</v>
      </c>
      <c r="P401" s="3" t="s">
        <v>212</v>
      </c>
      <c r="Q401" s="3" t="str">
        <f>VLOOKUP($A401,Hebrew!$A:$S,13,0)</f>
        <v>צפון רצועת עזה</v>
      </c>
      <c r="R401" s="3" t="s">
        <v>396</v>
      </c>
      <c r="S401" s="3" t="s">
        <v>413</v>
      </c>
      <c r="T401" s="3" t="s">
        <v>2427</v>
      </c>
      <c r="U401" s="3" t="s">
        <v>2428</v>
      </c>
      <c r="V401" s="3" t="s">
        <v>1341</v>
      </c>
      <c r="W401" s="3" t="s">
        <v>2429</v>
      </c>
      <c r="X401" s="2"/>
      <c r="Y401" s="2"/>
    </row>
    <row r="402" spans="1:25" x14ac:dyDescent="0.2">
      <c r="A402" s="3">
        <v>2311</v>
      </c>
      <c r="B402" s="4" t="s">
        <v>2430</v>
      </c>
      <c r="C402" s="3" t="s">
        <v>2431</v>
      </c>
      <c r="D402" s="3" t="str">
        <f>VLOOKUP(A402,Hebrew!A:C,3,0)</f>
        <v>פרשן ישראלי מדווח כי ישראל מפנה באופן שיטתי פלסטינים מצפון עזה כדי לפנות מקום להתיישבות יהודית.</v>
      </c>
      <c r="E402" s="3" t="s">
        <v>2432</v>
      </c>
      <c r="F402" s="3" t="str">
        <f>VLOOKUP($A402,Hebrew!$A:$S,4,0)</f>
        <v>צה"ל מגרש באופן שיטתי פלסטינים מצפון עזה ללא הצדקה מבצעית, הורס בתים וחוסם סיוע הומניטרי. דו"ח של "הארץ" מצביע על כך שהתושבים מפונים בכוח מהשכונה הצפונית של הרצועה, ומציין כי "הצבא החל בשלב טיהור בצפון עזה תוך הכנה לשליטה טריטוריאלית ארוכת טווח" - מה שמפנה את הדרך להתיישבות יהודית עתידית. שר האוצר בצלאל סמוטריץ' ושר הביטחון הלאומי איתמר בן גביר הביעו תמיכה מפורשת בהתיישבות יהודית בעזה בכנס שנערך ב-21 באוקטובר 2024, מבלי שראש הממשלה בנימין נתניהו יאתגר את דבריהם, מה שמחזק את המסקנה שהגירושים הללו משרתים מטרות פוליטיות ולא ביטחוניות. ההערות של הפרשן הישראלי כאן התרחשו במקביל לשינוי השיח הליברלי הישראלי לגבי פשעי מלחמה ישראלים באוקטובר-נובמבר 2024.</v>
      </c>
      <c r="G402" s="7">
        <v>45603</v>
      </c>
      <c r="H402" s="7">
        <v>45603</v>
      </c>
      <c r="I402" s="7">
        <v>45603</v>
      </c>
      <c r="J402" s="3" t="s">
        <v>393</v>
      </c>
      <c r="K402" s="3" t="s">
        <v>2426</v>
      </c>
      <c r="L402" s="3" t="str">
        <f>VLOOKUP($A402,Hebrew!$A:$S,9,0)</f>
        <v>תומר פרסיקו (@TomerPersico)</v>
      </c>
      <c r="M402" s="3" t="s">
        <v>36</v>
      </c>
      <c r="N402" s="4" t="s">
        <v>2433</v>
      </c>
      <c r="O402" s="3" t="s">
        <v>39</v>
      </c>
      <c r="P402" s="3" t="s">
        <v>212</v>
      </c>
      <c r="Q402" s="3" t="str">
        <f>VLOOKUP($A402,Hebrew!$A:$S,13,0)</f>
        <v>צפון רצועת עזה</v>
      </c>
      <c r="R402" s="3" t="s">
        <v>396</v>
      </c>
      <c r="S402" s="3" t="s">
        <v>397</v>
      </c>
      <c r="T402" s="3" t="s">
        <v>2434</v>
      </c>
      <c r="U402" s="3" t="s">
        <v>420</v>
      </c>
      <c r="V402" s="3" t="s">
        <v>212</v>
      </c>
      <c r="W402" s="3" t="s">
        <v>2435</v>
      </c>
      <c r="X402" s="2"/>
      <c r="Y402" s="2"/>
    </row>
    <row r="403" spans="1:25" x14ac:dyDescent="0.2">
      <c r="A403" s="3">
        <v>2312</v>
      </c>
      <c r="B403" s="4" t="s">
        <v>2436</v>
      </c>
      <c r="C403" s="3" t="s">
        <v>2437</v>
      </c>
      <c r="D403" s="3" t="str">
        <f>VLOOKUP(A403,Hebrew!A:C,3,0)</f>
        <v>פרשן ישראלי מדווח כי ישראל מגרשת בכוח תושבי עזה כדי לאפשר התיישבות יהודית, תוך חבלה מכוונת בעסקאות חטופים כדי להאריך את המלחמה.</v>
      </c>
      <c r="E403" s="3" t="s">
        <v>2438</v>
      </c>
      <c r="F403" s="3" t="str">
        <f>VLOOKUP($A403,Hebrew!$A:$S,4,0)</f>
        <v>ישראל מבצעת שני פשעים "עצומים" הקשורים זה בזה בעזה: גירוש שיטתי של פלסטינים מצפון עזה (אזור ג'בליה) כדי לפנות שטח להתנחלויות עתידיות, תוך כדי הקרבה מכוונת של 101 בני ערובה ישראלים על ידי חבלה בעסקאות שחרור פוטנציאליות. ראש הממשלה בנימין נתניהו ממשיך לחסום הסכמות לגבי בני ערובה - למרות התמיכה הציבורית והערכת שר הביטחון יואב גלנט ש'אין מה להשיג בעזה' - כדי להנציח את המלחמה ככיסוי לגירוש כפוי. השרים בצלאל סמוטריץ' ואיתמר בן גביר מקדמים אג'נדה של סיפוח דה פקטו באמצעות הרחבת ההתנחלויות, תוך הפרה בוטה של החוק הבינלאומי האוסר על העברת אוכלוסייה לשטחים הכבושים. חיילים מתבשרים: השירות שלכם מנוצל לביצוע פשעי מלחמה של טיהור אתני, בעוד בני ערובה נטושים הופכים לשחמט פוליטי. ההערות של המגיב הישראלי כאן התרחשו במקביל לשינוי בדיסקורס הליברלי הישראלי לגבי פשעי מלחמה ישראליים באוקטובר-נובמבר 2024.</v>
      </c>
      <c r="G403" s="3" t="s">
        <v>1410</v>
      </c>
      <c r="H403" s="2"/>
      <c r="I403" s="2"/>
      <c r="J403" s="3" t="s">
        <v>393</v>
      </c>
      <c r="K403" s="3" t="s">
        <v>2426</v>
      </c>
      <c r="L403" s="3" t="str">
        <f>VLOOKUP($A403,Hebrew!$A:$S,9,0)</f>
        <v>תומר פרסיקו (@TomerPersico)</v>
      </c>
      <c r="M403" s="3" t="s">
        <v>201</v>
      </c>
      <c r="N403" s="6" t="s">
        <v>2439</v>
      </c>
      <c r="O403" s="3" t="s">
        <v>39</v>
      </c>
      <c r="P403" s="3" t="s">
        <v>212</v>
      </c>
      <c r="Q403" s="3" t="str">
        <f>VLOOKUP($A403,Hebrew!$A:$S,13,0)</f>
        <v>צפון רצועת עזה</v>
      </c>
      <c r="R403" s="3" t="s">
        <v>396</v>
      </c>
      <c r="S403" s="3" t="s">
        <v>29</v>
      </c>
      <c r="T403" s="3" t="s">
        <v>2440</v>
      </c>
      <c r="U403" s="3" t="s">
        <v>420</v>
      </c>
      <c r="V403" s="3" t="s">
        <v>212</v>
      </c>
      <c r="W403" s="3" t="s">
        <v>2441</v>
      </c>
      <c r="X403" s="2"/>
      <c r="Y403" s="2"/>
    </row>
    <row r="404" spans="1:25" x14ac:dyDescent="0.2">
      <c r="A404" s="3">
        <v>2313</v>
      </c>
      <c r="B404" s="4" t="s">
        <v>2442</v>
      </c>
      <c r="C404" s="3" t="s">
        <v>2443</v>
      </c>
      <c r="D404" s="3" t="str">
        <f>VLOOKUP(A404,Hebrew!A:C,3,0)</f>
        <v>פרשן ישראלי מדווח כי שר האוצר סמוטריץ' הכריז שהמלחמה חשובה יותר מהצלת החטופים.</v>
      </c>
      <c r="E404" s="3" t="s">
        <v>2444</v>
      </c>
      <c r="F404" s="3" t="str">
        <f>VLOOKUP($A404,Hebrew!$A:$S,4,0)</f>
        <v>הצהרתו של שר האוצר בצלאל סמוטריץ' כי "לא אתמוך בעסקת שחרור בני ערובה שתסיים את המלחמה. אני מאמין שנכון להקים התנחלויות בעזה, ויהיו התנחלויות בעזה, אם כי זה לא בין מטרות המלחמה," חושפת מציאות מטרידה – ישראל דוחה עסקאות שחרור החטופים כדי להמשיך במלחמה שמטרתה האמיתית הפכה להרחבת ההתנחלויות בעזה. למרות שחמאס פורק ככוח שלטוני והפך לארגון גרילה בלבד, המבצעים הצבאיים נמשכים מעבר לצרכים אסטרטגיים. ישראל אינה מוכנה לאפשר לרשות הפלסטינית להיכנס לעזה אך בו זמנית אינה יכולה לשמור על שליטה צבאית מלאה בשל מגבלות כוח אדם ועלויות כלכליות. זה הוביל לטרנספר הדרגתי של פלסטינים מצפון עזה (מעל 70,000 פלסטינים כבר גורשו מג'בליה והאזורים הסובבים בזמן כתיבת פוסט זה) – פשע מלחמה שמאפשר שליטה בשטח ללא אחריות על תושביו תוך הכנת הקרקע להתנחלויות יהודיות, כפי שסמוטריץ' עצמו הצהיר בבירור. המלחמה הפכה אם כן לכלי המשרת את האג'נדה המשיחית של מיעוט פוליטי שאינו מייצג את הציבור הרחב, תוך הקרבת החטופים וחיילי צה"ל על מזבח הרחבת ההתנחלויות, למרות הצהרתו של שר הביטחון יואב גלנט כי צה"ל כבר השיג את מטרותיו הצבאיות בעזה. ההערות של הפרשן הישראלי כאן התרחשו במקביל לשינוי בשיח הליברלי הישראלי בנוגע לפשעי מלחמה ישראליים באוקטובר-נובמבר 2024.</v>
      </c>
      <c r="G404" s="3" t="s">
        <v>2445</v>
      </c>
      <c r="H404" s="2"/>
      <c r="I404" s="2"/>
      <c r="J404" s="3" t="s">
        <v>393</v>
      </c>
      <c r="K404" s="3" t="s">
        <v>2426</v>
      </c>
      <c r="L404" s="3" t="str">
        <f>VLOOKUP($A404,Hebrew!$A:$S,9,0)</f>
        <v>תומר פרסיקו (@TomerPersico)</v>
      </c>
      <c r="M404" s="3" t="s">
        <v>492</v>
      </c>
      <c r="N404" s="2"/>
      <c r="O404" s="3" t="s">
        <v>39</v>
      </c>
      <c r="P404" s="3" t="s">
        <v>212</v>
      </c>
      <c r="Q404" s="3" t="str">
        <f>VLOOKUP($A404,Hebrew!$A:$S,13,0)</f>
        <v>צפון רצועת עזה</v>
      </c>
      <c r="R404" s="3" t="s">
        <v>396</v>
      </c>
      <c r="S404" s="3" t="s">
        <v>397</v>
      </c>
      <c r="T404" s="3" t="s">
        <v>2446</v>
      </c>
      <c r="U404" s="3" t="s">
        <v>2447</v>
      </c>
      <c r="V404" s="3" t="s">
        <v>1341</v>
      </c>
      <c r="W404" s="3" t="s">
        <v>2448</v>
      </c>
      <c r="X404" s="2"/>
      <c r="Y404" s="2"/>
    </row>
    <row r="405" spans="1:25" x14ac:dyDescent="0.2">
      <c r="A405" s="3">
        <v>2314</v>
      </c>
      <c r="B405" s="4" t="s">
        <v>2449</v>
      </c>
      <c r="C405" s="3" t="s">
        <v>2450</v>
      </c>
      <c r="D405" s="3" t="str">
        <f>VLOOKUP(A405,Hebrew!A:C,3,0)</f>
        <v>ישראל מפנה אזרחים מהמחסה האחרון בצפון עזה</v>
      </c>
      <c r="E405" s="3" t="s">
        <v>2451</v>
      </c>
      <c r="F405" s="3" t="str">
        <f>VLOOKUP($A405,Hebrew!$A:$S,4,0)</f>
        <v>הפרשן הישראלי משתף כי ערוץ הטלגרם של העיתונאי הישראלי עמית סגל מדווח שהמחסה האחרון שנותר לאזרחים ברבע הצפוני ביותר של רצועת עזה פונה ('יציאה מבית לאהיה, בעקבות פינוי המחסה הפעיל האחרון בצפון עזה'). לא ניתן הסבר מדוע זה קורה, ולא אם אזרחים שהועברו יוכלו לחזור. אם הפינוי הזה חסר הצדקה צבאית ברורה—או אם התושבים מנועים מלחזור—זה מהווה גירוש כפוי בלתי חוקי. טיהור אתני. הגירוש הוא חלק מהמבצע הגדול בצפון עזה בסוף 2024.</v>
      </c>
      <c r="G405" s="3" t="s">
        <v>2452</v>
      </c>
      <c r="H405" s="3" t="s">
        <v>2453</v>
      </c>
      <c r="I405" s="3" t="s">
        <v>2453</v>
      </c>
      <c r="J405" s="3" t="s">
        <v>393</v>
      </c>
      <c r="K405" s="3" t="s">
        <v>2426</v>
      </c>
      <c r="L405" s="3" t="str">
        <f>VLOOKUP($A405,Hebrew!$A:$S,9,0)</f>
        <v>תומר פרסיקו (@TomerPersico)</v>
      </c>
      <c r="M405" s="3" t="s">
        <v>2454</v>
      </c>
      <c r="N405" s="2"/>
      <c r="O405" s="3" t="s">
        <v>39</v>
      </c>
      <c r="P405" s="3" t="s">
        <v>212</v>
      </c>
      <c r="Q405" s="3" t="str">
        <f>VLOOKUP($A405,Hebrew!$A:$S,13,0)</f>
        <v>צפון רצועת עזה</v>
      </c>
      <c r="R405" s="3" t="s">
        <v>396</v>
      </c>
      <c r="S405" s="3" t="s">
        <v>397</v>
      </c>
      <c r="T405" s="3" t="s">
        <v>2455</v>
      </c>
      <c r="U405" s="3" t="s">
        <v>420</v>
      </c>
      <c r="V405" s="3" t="s">
        <v>2111</v>
      </c>
      <c r="W405" s="3" t="s">
        <v>2456</v>
      </c>
      <c r="X405" s="2"/>
      <c r="Y405" s="2"/>
    </row>
    <row r="406" spans="1:25" x14ac:dyDescent="0.2">
      <c r="A406" s="3">
        <v>2315</v>
      </c>
      <c r="B406" s="4" t="s">
        <v>2457</v>
      </c>
      <c r="C406" s="3" t="s">
        <v>2458</v>
      </c>
      <c r="D406" s="3" t="str">
        <f>VLOOKUP(A406,Hebrew!A:C,3,0)</f>
        <v>פינוי חולים קריטיים מבית החולים קמאל אדואן</v>
      </c>
      <c r="E406" s="3" t="s">
        <v>2459</v>
      </c>
      <c r="F406" s="3" t="str">
        <f>VLOOKUP($A406,Hebrew!$A:$S,4,0)</f>
        <v>צוותי סיוע הומניטריים בראשות ארגון הבריאות העולמי מפנים 14 מטופלים מקמאל עדואן לבית החולים שיפא. צה"ל מונע סיוע קריטי, מזון, ציוד ותרופות.</v>
      </c>
      <c r="G406" s="3" t="s">
        <v>608</v>
      </c>
      <c r="H406" s="3" t="s">
        <v>1907</v>
      </c>
      <c r="I406" s="3" t="s">
        <v>2460</v>
      </c>
      <c r="J406" s="3" t="s">
        <v>393</v>
      </c>
      <c r="K406" s="3" t="s">
        <v>2461</v>
      </c>
      <c r="L406" s="3" t="str">
        <f>VLOOKUP($A406,Hebrew!$A:$S,9,0)</f>
        <v>סוכנות האומות המאוחדות לסיוע הומניטרי (UNOCHA)</v>
      </c>
      <c r="M406" s="3" t="s">
        <v>2462</v>
      </c>
      <c r="N406" s="2"/>
      <c r="O406" s="3" t="s">
        <v>26</v>
      </c>
      <c r="P406" s="3" t="s">
        <v>51</v>
      </c>
      <c r="Q406" s="3" t="str">
        <f>VLOOKUP($A406,Hebrew!$A:$S,13,0)</f>
        <v>בית החולים כמאל עדואן</v>
      </c>
      <c r="R406" s="3" t="s">
        <v>396</v>
      </c>
      <c r="S406" s="3" t="s">
        <v>413</v>
      </c>
      <c r="T406" s="3" t="s">
        <v>2463</v>
      </c>
      <c r="U406" s="3" t="s">
        <v>2464</v>
      </c>
      <c r="V406" s="3" t="s">
        <v>51</v>
      </c>
      <c r="W406" s="2"/>
      <c r="X406" s="2"/>
      <c r="Y406" s="2"/>
    </row>
    <row r="407" spans="1:25" x14ac:dyDescent="0.2">
      <c r="A407" s="3">
        <v>2317</v>
      </c>
      <c r="B407" s="4" t="s">
        <v>2465</v>
      </c>
      <c r="C407" s="3" t="s">
        <v>2466</v>
      </c>
      <c r="D407" s="3" t="str">
        <f>VLOOKUP(A407,Hebrew!A:C,3,0)</f>
        <v>צה"ל נשאר בג'באליה כדי למנוע את חזרת התושבים האזרחיים</v>
      </c>
      <c r="E407" s="3" t="s">
        <v>2467</v>
      </c>
      <c r="F407" s="3" t="str">
        <f>VLOOKUP($A407,Hebrew!$A:$S,4,0)</f>
        <v>יניב קובוביץ' מדווח בהארץ: "למרות שהושגו מטרות המלחמה, תחת לחץ פוליטי, צה"ל נשאר בג'בליה כדי למנוע מהתושבים לחזור."</v>
      </c>
      <c r="G407" s="3" t="s">
        <v>100</v>
      </c>
      <c r="H407" s="2"/>
      <c r="I407" s="2"/>
      <c r="J407" s="3" t="s">
        <v>393</v>
      </c>
      <c r="K407" s="3" t="s">
        <v>2468</v>
      </c>
      <c r="L407" s="3" t="str">
        <f>VLOOKUP($A407,Hebrew!$A:$S,9,0)</f>
        <v>Sof (@_selftitled_)</v>
      </c>
      <c r="M407" s="3" t="s">
        <v>36</v>
      </c>
      <c r="N407" s="6" t="s">
        <v>2469</v>
      </c>
      <c r="O407" s="3" t="s">
        <v>39</v>
      </c>
      <c r="P407" s="3" t="s">
        <v>461</v>
      </c>
      <c r="Q407" s="3" t="str">
        <f>VLOOKUP($A407,Hebrew!$A:$S,13,0)</f>
        <v>ג'באליה</v>
      </c>
      <c r="R407" s="3" t="s">
        <v>396</v>
      </c>
      <c r="S407" s="3" t="s">
        <v>397</v>
      </c>
      <c r="T407" s="3" t="s">
        <v>2470</v>
      </c>
      <c r="U407" s="3" t="s">
        <v>420</v>
      </c>
      <c r="V407" s="3" t="s">
        <v>461</v>
      </c>
      <c r="W407" s="2"/>
      <c r="X407" s="2"/>
      <c r="Y407" s="2"/>
    </row>
    <row r="408" spans="1:25" x14ac:dyDescent="0.2">
      <c r="A408" s="3">
        <v>2214</v>
      </c>
      <c r="B408" s="4" t="s">
        <v>2471</v>
      </c>
      <c r="C408" s="3" t="s">
        <v>2472</v>
      </c>
      <c r="D408" s="3" t="str">
        <f>VLOOKUP(A408,Hebrew!A:C,3,0)</f>
        <v>בית ספר עולה בלהבות בעקבות חדירת צה"ל</v>
      </c>
      <c r="E408" s="3" t="s">
        <v>2473</v>
      </c>
      <c r="F408" s="3" t="str">
        <f>VLOOKUP($A408,Hebrew!$A:$S,4,0)</f>
        <v>עיתונאי מעזה מדווח על הנזק לבית הספר מהדיה אל-שוואה בבת חנון, אשר נשרף בעקבות מבצע צבאי באזור. בית הספר, ששימש מחסה לאזרחים מפונים, פונה כאשר האזור הסובב עמד בפני הפגזות מוגברות ונזק מתמשך לתשתיות.</v>
      </c>
      <c r="G408" s="3" t="s">
        <v>1415</v>
      </c>
      <c r="H408" s="3" t="s">
        <v>1415</v>
      </c>
      <c r="I408" s="3" t="s">
        <v>1415</v>
      </c>
      <c r="J408" s="3" t="s">
        <v>393</v>
      </c>
      <c r="K408" s="3" t="s">
        <v>1258</v>
      </c>
      <c r="L408" s="3" t="str">
        <f>VLOOKUP($A408,Hebrew!$A:$S,9,0)</f>
        <v>Hossam Shabat (@HossamShabat)</v>
      </c>
      <c r="M408" s="2"/>
      <c r="N408" s="2"/>
      <c r="O408" s="3" t="s">
        <v>645</v>
      </c>
      <c r="P408" s="3" t="s">
        <v>1416</v>
      </c>
      <c r="Q408" s="3" t="str">
        <f>VLOOKUP($A408,Hebrew!$A:$S,13,0)</f>
        <v>בית חאנון</v>
      </c>
      <c r="R408" s="3" t="s">
        <v>396</v>
      </c>
      <c r="S408" s="3" t="s">
        <v>413</v>
      </c>
      <c r="T408" s="3" t="s">
        <v>2474</v>
      </c>
      <c r="U408" s="3" t="s">
        <v>43</v>
      </c>
      <c r="V408" s="3" t="s">
        <v>1416</v>
      </c>
      <c r="W408" s="2"/>
      <c r="X408" s="2"/>
      <c r="Y408" s="2"/>
    </row>
    <row r="409" spans="1:25" x14ac:dyDescent="0.2">
      <c r="A409" s="3">
        <v>2218</v>
      </c>
      <c r="B409" s="4" t="s">
        <v>2475</v>
      </c>
      <c r="C409" s="3" t="s">
        <v>2476</v>
      </c>
      <c r="D409" s="3" t="str">
        <f>VLOOKUP(A409,Hebrew!A:C,3,0)</f>
        <v>עיתונאי מעזה מדווח מבית ספר שהופצץ, ששימש מחסה למפונים</v>
      </c>
      <c r="E409" s="3" t="s">
        <v>2477</v>
      </c>
      <c r="F409" s="3" t="str">
        <f>VLOOKUP($A409,Hebrew!$A:$S,4,0)</f>
        <v>העיתונאי חוסאם שבת מדווח מבית ספר שהופצץ, ששימש מחסה למפונים. הוא מתאר את התנאים הבלתי נסבלים שבהם נתקלים אזרחים במהלך הפצצות יומיות מתמשכות ומפרט את הסצנות הנוראיות מההפצצות, כולל חלקי גוף מבותרים.</v>
      </c>
      <c r="G409" s="3" t="s">
        <v>2478</v>
      </c>
      <c r="H409" s="2"/>
      <c r="I409" s="2"/>
      <c r="J409" s="3" t="s">
        <v>393</v>
      </c>
      <c r="K409" s="3" t="s">
        <v>1258</v>
      </c>
      <c r="L409" s="3" t="str">
        <f>VLOOKUP($A409,Hebrew!$A:$S,9,0)</f>
        <v>Hossam Shabat (@HossamShabat)</v>
      </c>
      <c r="M409" s="2"/>
      <c r="N409" s="2"/>
      <c r="O409" s="3" t="s">
        <v>1011</v>
      </c>
      <c r="P409" s="3" t="s">
        <v>2479</v>
      </c>
      <c r="Q409" s="3" t="str">
        <f>VLOOKUP($A409,Hebrew!$A:$S,13,0)</f>
        <v>בית הספר אבו-אסי</v>
      </c>
      <c r="R409" s="3" t="s">
        <v>396</v>
      </c>
      <c r="S409" s="3" t="s">
        <v>405</v>
      </c>
      <c r="T409" s="3" t="s">
        <v>2480</v>
      </c>
      <c r="U409" s="3" t="s">
        <v>43</v>
      </c>
      <c r="V409" s="3" t="s">
        <v>2226</v>
      </c>
      <c r="W409" s="2"/>
      <c r="X409" s="2"/>
      <c r="Y409" s="2"/>
    </row>
    <row r="410" spans="1:25" x14ac:dyDescent="0.2">
      <c r="A410" s="3">
        <v>2220</v>
      </c>
      <c r="B410" s="4" t="s">
        <v>2481</v>
      </c>
      <c r="C410" s="3" t="s">
        <v>2482</v>
      </c>
      <c r="D410" s="3" t="str">
        <f>VLOOKUP(A410,Hebrew!A:C,3,0)</f>
        <v>תיעוד מהפצצה בבית ספר שבו שהו משפחות מפונים</v>
      </c>
      <c r="E410" s="3" t="s">
        <v>2483</v>
      </c>
      <c r="F410" s="3" t="str">
        <f>VLOOKUP($A410,Hebrew!$A:$S,4,0)</f>
        <v>וידאו ששיתף העיתונאי חוסאם שבאת מציג אזרחים פצועים והרוגים בעקבות הפצצת בניין בית ספר שבו חיפשו משפחות מפונים מקלט. בפוסט שלו, שבאת מאשים את הכוחות הישראלים ברצח עם ובטיהור אתני, וטוען ש-90% מבנייני עזה נהרסו, מה שמשאיר למשפחות שום ברירה אלא למצוא מקלט בבתי ספר - שהופכים למטרות.</v>
      </c>
      <c r="G410" s="3" t="s">
        <v>2478</v>
      </c>
      <c r="H410" s="2"/>
      <c r="I410" s="2"/>
      <c r="J410" s="3" t="s">
        <v>393</v>
      </c>
      <c r="K410" s="3" t="s">
        <v>1258</v>
      </c>
      <c r="L410" s="3" t="str">
        <f>VLOOKUP($A410,Hebrew!$A:$S,9,0)</f>
        <v>Hossam Shabat (@HossamShabat)</v>
      </c>
      <c r="M410" s="2"/>
      <c r="N410" s="2"/>
      <c r="O410" s="3" t="s">
        <v>1011</v>
      </c>
      <c r="P410" s="3" t="s">
        <v>2484</v>
      </c>
      <c r="Q410" s="3" t="str">
        <f>VLOOKUP($A410,Hebrew!$A:$S,13,0)</f>
        <v>בית ספר בעיר עזה</v>
      </c>
      <c r="R410" s="3" t="s">
        <v>396</v>
      </c>
      <c r="S410" s="3" t="s">
        <v>405</v>
      </c>
      <c r="T410" s="3" t="s">
        <v>2485</v>
      </c>
      <c r="U410" s="3" t="s">
        <v>43</v>
      </c>
      <c r="V410" s="3" t="s">
        <v>71</v>
      </c>
      <c r="W410" s="2"/>
      <c r="X410" s="2"/>
      <c r="Y410" s="2"/>
    </row>
    <row r="411" spans="1:25" x14ac:dyDescent="0.2">
      <c r="A411" s="3">
        <v>2221</v>
      </c>
      <c r="B411" s="4" t="s">
        <v>2486</v>
      </c>
      <c r="C411" s="3" t="s">
        <v>2487</v>
      </c>
      <c r="D411" s="3" t="str">
        <f>VLOOKUP(A411,Hebrew!A:C,3,0)</f>
        <v>התקפה אווירית על בית שהביאה למותם של כ-50 אזרחים, רובם נשים וילדים.</v>
      </c>
      <c r="E411" s="3" t="s">
        <v>2488</v>
      </c>
      <c r="F411" s="3" t="str">
        <f>VLOOKUP($A411,Hebrew!$A:$S,4,0)</f>
        <v>דיווח של העיתונאי חוסאם שבאת על תקיפה אווירית ממוקדת בבית בבת לאהיא, בה נהרגו כ-50 אזרחים, רובם נשים וילדים. הפוסט מבקר את הקהילה הבינלאומית על שתיקתה לנוכח הטבח המתמשך והמצור על רצועת עזה.</v>
      </c>
      <c r="G411" s="3" t="s">
        <v>2445</v>
      </c>
      <c r="H411" s="2"/>
      <c r="I411" s="2"/>
      <c r="J411" s="3" t="s">
        <v>393</v>
      </c>
      <c r="K411" s="3" t="s">
        <v>1258</v>
      </c>
      <c r="L411" s="3" t="str">
        <f>VLOOKUP($A411,Hebrew!$A:$S,9,0)</f>
        <v>Hossam Shabat (@HossamShabat)</v>
      </c>
      <c r="M411" s="2"/>
      <c r="N411" s="2"/>
      <c r="O411" s="3" t="s">
        <v>645</v>
      </c>
      <c r="P411" s="3" t="s">
        <v>105</v>
      </c>
      <c r="Q411" s="3" t="str">
        <f>VLOOKUP($A411,Hebrew!$A:$S,13,0)</f>
        <v>בית לאהיא</v>
      </c>
      <c r="R411" s="3" t="s">
        <v>396</v>
      </c>
      <c r="S411" s="3" t="s">
        <v>29</v>
      </c>
      <c r="T411" s="3" t="s">
        <v>2489</v>
      </c>
      <c r="U411" s="3" t="s">
        <v>43</v>
      </c>
      <c r="V411" s="3" t="s">
        <v>105</v>
      </c>
      <c r="W411" s="2"/>
      <c r="X411" s="2"/>
      <c r="Y411" s="2"/>
    </row>
    <row r="412" spans="1:25" x14ac:dyDescent="0.2">
      <c r="A412" s="3">
        <v>2226</v>
      </c>
      <c r="B412" s="4" t="s">
        <v>2490</v>
      </c>
      <c r="C412" s="3" t="s">
        <v>2491</v>
      </c>
      <c r="D412" s="3" t="str">
        <f>VLOOKUP(A412,Hebrew!A:C,3,0)</f>
        <v>עיתונאי מספר על כאב הניתוק משפחתו ועל תנאי חייהם הקשים בעיצומה של מלחמה</v>
      </c>
      <c r="E412" s="3" t="s">
        <v>2492</v>
      </c>
      <c r="F412" s="3" t="str">
        <f>VLOOKUP($A412,Hebrew!$A:$S,4,0)</f>
        <v>פוסט של העיתונאי חוסאם שבאת המתאר את הכאב של הפרידה ממשפחתו וואת תנאי חייהם הקשים במלחמה. לאחרונה הוא ערך שיחת וידאו עם בני משפחתו, שפונו מבתיהם וכעת חיים באוהל ישן ובהיעדר צרכים בסיסיים. הפוסט מדגיש את האתגרים שהם מתמודדים איתם ואת חוסר היכולת של העיתונאי לעזור להם בשל פציעה ונסיבות אחרות.</v>
      </c>
      <c r="G412" s="3" t="s">
        <v>199</v>
      </c>
      <c r="H412" s="2"/>
      <c r="I412" s="2"/>
      <c r="J412" s="3" t="s">
        <v>393</v>
      </c>
      <c r="K412" s="3" t="s">
        <v>1258</v>
      </c>
      <c r="L412" s="3" t="str">
        <f>VLOOKUP($A412,Hebrew!$A:$S,9,0)</f>
        <v>Hossam Shabat (@HossamShabat)</v>
      </c>
      <c r="M412" s="2"/>
      <c r="N412" s="2"/>
      <c r="O412" s="3" t="s">
        <v>645</v>
      </c>
      <c r="P412" s="3" t="s">
        <v>27</v>
      </c>
      <c r="Q412" s="3" t="str">
        <f>VLOOKUP($A412,Hebrew!$A:$S,13,0)</f>
        <v>רצועת עזה</v>
      </c>
      <c r="R412" s="3" t="s">
        <v>396</v>
      </c>
      <c r="S412" s="3" t="s">
        <v>29</v>
      </c>
      <c r="T412" s="3" t="s">
        <v>2493</v>
      </c>
      <c r="U412" s="2"/>
      <c r="V412" s="3" t="s">
        <v>27</v>
      </c>
      <c r="W412" s="3" t="s">
        <v>334</v>
      </c>
      <c r="X412" s="2"/>
      <c r="Y412" s="2"/>
    </row>
    <row r="413" spans="1:25" x14ac:dyDescent="0.2">
      <c r="A413" s="3">
        <v>823</v>
      </c>
      <c r="B413" s="4" t="s">
        <v>2494</v>
      </c>
      <c r="C413" s="3" t="s">
        <v>2495</v>
      </c>
      <c r="D413" s="3" t="str">
        <f>VLOOKUP(A413,Hebrew!A:C,3,0)</f>
        <v>חיילי צה"ל מצלמים בתוך ומסביב לבית משפחה</v>
      </c>
      <c r="E413" s="3" t="s">
        <v>2496</v>
      </c>
      <c r="F413" s="3" t="str">
        <f>VLOOKUP($A413,Hebrew!$A:$S,4,0)</f>
        <v>תמונות של חיילי צה"ל שצולמו בתוך בית ובבניינים השרופים וההרסניים שסביב. אחת התמונות מראה חיילים לועגים לתמונה שנמצאה בבית; אחרת מראה חייל מצטלם עם ספל שעליו שם ותמונה של ילד. הפוסט פונה לילד שעל הספל (סוהייב ג'סאן תומאן), ומודיע לו על התמונות ועל הפשיטה על ביתו.</v>
      </c>
      <c r="G413" s="3" t="s">
        <v>410</v>
      </c>
      <c r="H413" s="2"/>
      <c r="I413" s="2"/>
      <c r="J413" s="3" t="s">
        <v>393</v>
      </c>
      <c r="K413" s="3" t="s">
        <v>453</v>
      </c>
      <c r="L413" s="3" t="str">
        <f>VLOOKUP($A413,Hebrew!$A:$S,9,0)</f>
        <v>Younis Tirawi (@ytirawi)</v>
      </c>
      <c r="M413" s="2"/>
      <c r="N413" s="2"/>
      <c r="O413" s="3" t="s">
        <v>645</v>
      </c>
      <c r="P413" s="3" t="s">
        <v>395</v>
      </c>
      <c r="Q413" s="3" t="str">
        <f>VLOOKUP($A413,Hebrew!$A:$S,13,0)</f>
        <v>חאן יונס</v>
      </c>
      <c r="R413" s="3" t="s">
        <v>396</v>
      </c>
      <c r="S413" s="3" t="s">
        <v>455</v>
      </c>
      <c r="T413" s="3" t="s">
        <v>2497</v>
      </c>
      <c r="U413" s="3" t="s">
        <v>43</v>
      </c>
      <c r="V413" s="3" t="s">
        <v>395</v>
      </c>
      <c r="W413" s="2"/>
      <c r="X413" s="2"/>
      <c r="Y413" s="2"/>
    </row>
    <row r="414" spans="1:25" x14ac:dyDescent="0.2">
      <c r="A414" s="3">
        <v>279</v>
      </c>
      <c r="B414" s="4" t="s">
        <v>2498</v>
      </c>
      <c r="C414" s="3" t="s">
        <v>2499</v>
      </c>
      <c r="D414" s="3" t="str">
        <f>VLOOKUP(A414,Hebrew!A:C,3,0)</f>
        <v>קצין צה"ל מסיירת גבעתי כתב פוסטים מפורשים על רצח עם</v>
      </c>
      <c r="E414" s="3" t="s">
        <v>2500</v>
      </c>
      <c r="F414" s="3" t="str">
        <f>VLOOKUP($A414,Hebrew!$A:$S,4,0)</f>
        <v>קצין צה"ל מסיירת גבעתי, שלומי וורמסטין, כתב פוסטים מפורשים על רצח עם כדי למחוק את תושבי עזה מעל פני האדמה ולרוקן את עזה לאחר השמדת כל מה שיש בה.</v>
      </c>
      <c r="G414" s="3" t="s">
        <v>2501</v>
      </c>
      <c r="H414" s="3" t="s">
        <v>2502</v>
      </c>
      <c r="I414" s="3" t="s">
        <v>2503</v>
      </c>
      <c r="J414" s="3" t="s">
        <v>393</v>
      </c>
      <c r="K414" s="3" t="s">
        <v>453</v>
      </c>
      <c r="L414" s="3" t="str">
        <f>VLOOKUP($A414,Hebrew!$A:$S,9,0)</f>
        <v>Younis Tirawi (@ytirawi)</v>
      </c>
      <c r="M414" s="2"/>
      <c r="N414" s="2"/>
      <c r="O414" s="3" t="s">
        <v>426</v>
      </c>
      <c r="P414" s="3" t="s">
        <v>71</v>
      </c>
      <c r="Q414" s="3" t="str">
        <f>VLOOKUP($A414,Hebrew!$A:$S,13,0)</f>
        <v>עיר עזה</v>
      </c>
      <c r="R414" s="3" t="s">
        <v>396</v>
      </c>
      <c r="S414" s="3" t="s">
        <v>397</v>
      </c>
      <c r="T414" s="3" t="s">
        <v>2504</v>
      </c>
      <c r="U414" s="3" t="s">
        <v>43</v>
      </c>
      <c r="V414" s="3" t="s">
        <v>2505</v>
      </c>
      <c r="W414" s="2"/>
      <c r="X414" s="2"/>
      <c r="Y414" s="2"/>
    </row>
    <row r="415" spans="1:25" x14ac:dyDescent="0.2">
      <c r="A415" s="3">
        <v>280</v>
      </c>
      <c r="B415" s="4" t="s">
        <v>2506</v>
      </c>
      <c r="C415" s="3" t="s">
        <v>2507</v>
      </c>
      <c r="D415" s="3" t="str">
        <f>VLOOKUP(A415,Hebrew!A:C,3,0)</f>
        <v>רב-סמל בצה"ל מודה שהוא הורס בתים בעזה ללא סיבה.</v>
      </c>
      <c r="E415" s="3" t="s">
        <v>2508</v>
      </c>
      <c r="F415" s="3" t="str">
        <f>VLOOKUP($A415,Hebrew!$A:$S,4,0)</f>
        <v>רב-סמל ישראלי מעיד שהוא הורס בתים בעזה ללא סיבה ומפרסם סרטון על פעולות כאלה.</v>
      </c>
      <c r="G415" s="3" t="s">
        <v>979</v>
      </c>
      <c r="H415" s="3" t="s">
        <v>2503</v>
      </c>
      <c r="I415" s="3" t="s">
        <v>2503</v>
      </c>
      <c r="J415" s="3" t="s">
        <v>393</v>
      </c>
      <c r="K415" s="3" t="s">
        <v>453</v>
      </c>
      <c r="L415" s="3" t="str">
        <f>VLOOKUP($A415,Hebrew!$A:$S,9,0)</f>
        <v>Younis Tirawi (@ytirawi)</v>
      </c>
      <c r="M415" s="2"/>
      <c r="N415" s="2"/>
      <c r="O415" s="3" t="s">
        <v>426</v>
      </c>
      <c r="P415" s="3" t="s">
        <v>27</v>
      </c>
      <c r="Q415" s="3" t="str">
        <f>VLOOKUP($A415,Hebrew!$A:$S,13,0)</f>
        <v>רצועת עזה</v>
      </c>
      <c r="R415" s="3" t="s">
        <v>396</v>
      </c>
      <c r="S415" s="3" t="s">
        <v>1186</v>
      </c>
      <c r="T415" s="3" t="s">
        <v>2509</v>
      </c>
      <c r="U415" s="3" t="s">
        <v>43</v>
      </c>
      <c r="V415" s="3" t="s">
        <v>27</v>
      </c>
      <c r="W415" s="2"/>
      <c r="X415" s="2"/>
      <c r="Y415" s="2"/>
    </row>
    <row r="416" spans="1:25" x14ac:dyDescent="0.2">
      <c r="A416" s="3">
        <v>1186</v>
      </c>
      <c r="B416" s="4" t="s">
        <v>2510</v>
      </c>
      <c r="C416" s="3" t="s">
        <v>2511</v>
      </c>
      <c r="D416" s="3" t="str">
        <f>VLOOKUP(A416,Hebrew!A:C,3,0)</f>
        <v>קברי המונים התגלו בעקבות נסיגת צה"ל מאזורים שונים ברצועת עזה [אינפוגרפיקה]</v>
      </c>
      <c r="E416" s="3" t="s">
        <v>2512</v>
      </c>
      <c r="F416" s="3" t="str">
        <f>VLOOKUP($A416,Hebrew!$A:$S,4,0)</f>
        <v>אינפוגרפיקה על יותר מ-130 קברי המונים שנמצאו ברצועת עזה בעקבות נסיגת צה"ל מאזורים שונים.</v>
      </c>
      <c r="G416" s="3" t="s">
        <v>531</v>
      </c>
      <c r="H416" s="2"/>
      <c r="I416" s="2"/>
      <c r="J416" s="3" t="s">
        <v>393</v>
      </c>
      <c r="K416" s="3" t="s">
        <v>1360</v>
      </c>
      <c r="L416" s="3" t="str">
        <f>VLOOKUP($A416,Hebrew!$A:$S,9,0)</f>
        <v>Euro-Med Monitor (@EuroMedHR)</v>
      </c>
      <c r="M416" s="2"/>
      <c r="N416" s="4" t="s">
        <v>2513</v>
      </c>
      <c r="O416" s="3" t="s">
        <v>26</v>
      </c>
      <c r="P416" s="3" t="s">
        <v>27</v>
      </c>
      <c r="Q416" s="3" t="str">
        <f>VLOOKUP($A416,Hebrew!$A:$S,13,0)</f>
        <v>רצועת עזה</v>
      </c>
      <c r="R416" s="3" t="s">
        <v>396</v>
      </c>
      <c r="S416" s="3" t="s">
        <v>455</v>
      </c>
      <c r="T416" s="3" t="s">
        <v>2514</v>
      </c>
      <c r="U416" s="3" t="s">
        <v>43</v>
      </c>
      <c r="V416" s="3" t="s">
        <v>2515</v>
      </c>
      <c r="W416" s="2"/>
      <c r="X416" s="2"/>
      <c r="Y416" s="2"/>
    </row>
    <row r="417" spans="1:25" x14ac:dyDescent="0.2">
      <c r="A417" s="3">
        <v>1188</v>
      </c>
      <c r="B417" s="4" t="s">
        <v>2516</v>
      </c>
      <c r="C417" s="3" t="s">
        <v>2517</v>
      </c>
      <c r="D417" s="3" t="str">
        <f>VLOOKUP(A417,Hebrew!A:C,3,0)</f>
        <v>שמות ותמונות של 458 עובדי בריאות שנרצחו על ידי כוחות הכיבוש הישראלים בפלסטין מאז 7 באוקטובר 2023</v>
      </c>
      <c r="E417" s="3" t="s">
        <v>2518</v>
      </c>
      <c r="F417" s="3" t="str">
        <f>VLOOKUP($A417,Hebrew!$A:$S,4,0)</f>
        <v>שמות ותמונות של 458 עובדי בריאות שנהרגו על ידי כוחות צה"ל מאז 7 באוקטובר 2023, מהם 153 רופאים, 124 אחיות ו-181 עובדים נוספים בתחום הבריאות.</v>
      </c>
      <c r="G417" s="3" t="s">
        <v>2519</v>
      </c>
      <c r="H417" s="3" t="s">
        <v>67</v>
      </c>
      <c r="I417" s="3" t="s">
        <v>2520</v>
      </c>
      <c r="J417" s="3" t="s">
        <v>393</v>
      </c>
      <c r="K417" s="3" t="s">
        <v>2521</v>
      </c>
      <c r="L417" s="3" t="str">
        <f>VLOOKUP($A417,Hebrew!$A:$S,9,0)</f>
        <v>Healthcare Workers Watch – Palestine (@HCWWatch)</v>
      </c>
      <c r="M417" s="2"/>
      <c r="N417" s="2"/>
      <c r="O417" s="3" t="s">
        <v>26</v>
      </c>
      <c r="P417" s="3" t="s">
        <v>2522</v>
      </c>
      <c r="Q417" s="3" t="str">
        <f>VLOOKUP($A417,Hebrew!$A:$S,13,0)</f>
        <v>רצועת עזה, הגדה המערבית</v>
      </c>
      <c r="R417" s="3" t="s">
        <v>396</v>
      </c>
      <c r="S417" s="3" t="s">
        <v>455</v>
      </c>
      <c r="T417" s="3" t="s">
        <v>2523</v>
      </c>
      <c r="U417" s="3" t="s">
        <v>43</v>
      </c>
      <c r="V417" s="3" t="s">
        <v>27</v>
      </c>
      <c r="W417" s="2"/>
      <c r="X417" s="2"/>
      <c r="Y417" s="2"/>
    </row>
    <row r="418" spans="1:25" x14ac:dyDescent="0.2">
      <c r="A418" s="3">
        <v>1850</v>
      </c>
      <c r="B418" s="4" t="s">
        <v>2524</v>
      </c>
      <c r="C418" s="3" t="s">
        <v>2525</v>
      </c>
      <c r="D418" s="3" t="str">
        <f>VLOOKUP(A418,Hebrew!A:C,3,0)</f>
        <v>פקיד בכיר בארה"ב מאשר: "משלוח הנשק הוקפא כדי להעביר מסר של התנגדות לפעולה צבאית ברפיח"</v>
      </c>
      <c r="E418" s="3" t="s">
        <v>2526</v>
      </c>
      <c r="F418" s="3" t="str">
        <f>VLOOKUP($A418,Hebrew!$A:$S,4,0)</f>
        <v>פקיד בכיר בממשל ביידן אישר כי ארצות הברית דחתה משלוח נשק לישראל כדי להעביר מסר של התנגדות לפעולה צבאית ברפיח. ארצות הברית חוששת מהאופן שבו תשתמש בפצצות כבדות ברפיח, שם נמצאים מאות אלפי אנשים מפונים. המשלוח כלל פצצות במשקל 900 קילוגרם ו-225 קילוגרם.</v>
      </c>
      <c r="G418" s="3" t="s">
        <v>2527</v>
      </c>
      <c r="H418" s="3" t="s">
        <v>2528</v>
      </c>
      <c r="I418" s="3" t="s">
        <v>2527</v>
      </c>
      <c r="J418" s="3" t="s">
        <v>258</v>
      </c>
      <c r="K418" s="3" t="s">
        <v>2529</v>
      </c>
      <c r="L418" s="3" t="str">
        <f>VLOOKUP($A418,Hebrew!$A:$S,9,0)</f>
        <v>AP</v>
      </c>
      <c r="M418" s="2"/>
      <c r="N418" s="4" t="s">
        <v>2530</v>
      </c>
      <c r="O418" s="3" t="s">
        <v>39</v>
      </c>
      <c r="P418" s="3" t="s">
        <v>439</v>
      </c>
      <c r="Q418" s="3" t="str">
        <f>VLOOKUP($A418,Hebrew!$A:$S,13,0)</f>
        <v>רפיח</v>
      </c>
      <c r="R418" s="3" t="s">
        <v>1215</v>
      </c>
      <c r="S418" s="3" t="s">
        <v>413</v>
      </c>
      <c r="T418" s="3" t="s">
        <v>2531</v>
      </c>
      <c r="U418" s="3" t="s">
        <v>95</v>
      </c>
      <c r="V418" s="3" t="s">
        <v>2532</v>
      </c>
      <c r="W418" s="3" t="s">
        <v>2533</v>
      </c>
      <c r="X418" s="2"/>
      <c r="Y418" s="2"/>
    </row>
    <row r="419" spans="1:25" x14ac:dyDescent="0.2">
      <c r="A419" s="3">
        <v>1947</v>
      </c>
      <c r="B419" s="4" t="s">
        <v>2534</v>
      </c>
      <c r="C419" s="3" t="s">
        <v>2535</v>
      </c>
      <c r="D419" s="3" t="str">
        <f>VLOOKUP(A419,Hebrew!A:C,3,0)</f>
        <v>מחקר גילה שכמעט כל ההפגנות בקמפוסים בנושא עזה בארצות הברית לא היו אלימות.</v>
      </c>
      <c r="E419" s="3" t="s">
        <v>2536</v>
      </c>
      <c r="F419" s="3" t="str">
        <f>VLOOKUP($A419,Hebrew!$A:$S,4,0)</f>
        <v>ניתוח של 553 הפגנות בקמפוסים בכל רחבי ארצות הברית בין 18 באפריל ל-3 במאי 2024 מצא שפחות מ-20 מהן הובילו לסוג כלשהו של אלימות בין-אישית חמורה או נזק לרכוש, לפי סטטיסטיקות מפרויקט נתוני מיקום ואירועים של סכסוכים מזוינים (Acled). במהלך אותו פרק זמן, Acled תיעד לפחות 70 מקרים של התערבות כוחנית של המשטרה נגד הפגנות בקמפוסים בארצות הברית.</v>
      </c>
      <c r="G419" s="3" t="s">
        <v>2501</v>
      </c>
      <c r="H419" s="3" t="s">
        <v>677</v>
      </c>
      <c r="I419" s="3" t="s">
        <v>2537</v>
      </c>
      <c r="J419" s="3" t="s">
        <v>110</v>
      </c>
      <c r="K419" s="3" t="s">
        <v>2538</v>
      </c>
      <c r="L419" s="3" t="str">
        <f>VLOOKUP($A419,Hebrew!$A:$S,9,0)</f>
        <v>Lois Beckett</v>
      </c>
      <c r="M419" s="3" t="s">
        <v>2539</v>
      </c>
      <c r="N419" s="6" t="s">
        <v>2540</v>
      </c>
      <c r="O419" s="3" t="s">
        <v>26</v>
      </c>
      <c r="P419" s="3" t="s">
        <v>95</v>
      </c>
      <c r="Q419" s="3" t="str">
        <f>VLOOKUP($A419,Hebrew!$A:$S,13,0)</f>
        <v>ארה"ב</v>
      </c>
      <c r="R419" s="3" t="s">
        <v>1215</v>
      </c>
      <c r="S419" s="3" t="s">
        <v>397</v>
      </c>
      <c r="T419" s="3" t="s">
        <v>2541</v>
      </c>
      <c r="U419" s="3" t="s">
        <v>95</v>
      </c>
      <c r="V419" s="3" t="s">
        <v>357</v>
      </c>
      <c r="W419" s="3" t="s">
        <v>2533</v>
      </c>
      <c r="X419" s="2"/>
      <c r="Y419" s="2"/>
    </row>
    <row r="420" spans="1:25" x14ac:dyDescent="0.2">
      <c r="A420" s="3">
        <v>710</v>
      </c>
      <c r="B420" s="6" t="s">
        <v>2542</v>
      </c>
      <c r="C420" s="3" t="s">
        <v>2543</v>
      </c>
      <c r="D420" s="3" t="str">
        <f>VLOOKUP(A420,Hebrew!A:C,3,0)</f>
        <v>יותר מ-95% מהאסירים בבתי חולים בישראל אזוקים במהלך טיפול רפואי</v>
      </c>
      <c r="E420" s="3" t="s">
        <v>2544</v>
      </c>
      <c r="F420" s="3" t="str">
        <f>VLOOKUP($A420,Hebrew!$A:$S,4,0)</f>
        <v>מחקר מגלה שיותר מ-95% מהאסירים בבתי חולים בישראל אזוקים במהלך טיפול רפואי, מה שמעורר חששות אתיים לגבי הטיפול בהם.</v>
      </c>
      <c r="G420" s="3" t="s">
        <v>2545</v>
      </c>
      <c r="H420" s="2"/>
      <c r="I420" s="2"/>
      <c r="J420" s="3" t="s">
        <v>348</v>
      </c>
      <c r="K420" s="3" t="s">
        <v>2546</v>
      </c>
      <c r="L420" s="3" t="str">
        <f>VLOOKUP($A420,Hebrew!$A:$S,9,0)</f>
        <v>מיטל יסור בית-אור</v>
      </c>
      <c r="M420" s="3" t="s">
        <v>2547</v>
      </c>
      <c r="N420" s="2"/>
      <c r="O420" s="3" t="s">
        <v>39</v>
      </c>
      <c r="P420" s="3" t="s">
        <v>60</v>
      </c>
      <c r="Q420" s="3" t="str">
        <f>VLOOKUP($A420,Hebrew!$A:$S,13,0)</f>
        <v>ישראל</v>
      </c>
      <c r="R420" s="3" t="s">
        <v>72</v>
      </c>
      <c r="S420" s="3" t="s">
        <v>413</v>
      </c>
      <c r="T420" s="3" t="s">
        <v>2548</v>
      </c>
      <c r="U420" s="3" t="s">
        <v>2549</v>
      </c>
      <c r="V420" s="3" t="s">
        <v>60</v>
      </c>
      <c r="W420" s="2"/>
      <c r="X420" s="2"/>
      <c r="Y420" s="2"/>
    </row>
    <row r="421" spans="1:25" x14ac:dyDescent="0.2">
      <c r="A421" s="3">
        <v>224</v>
      </c>
      <c r="B421" s="4" t="s">
        <v>2550</v>
      </c>
      <c r="C421" s="3" t="s">
        <v>2551</v>
      </c>
      <c r="D421" s="3" t="str">
        <f>VLOOKUP(A421,Hebrew!A:C,3,0)</f>
        <v>סקר: ניגוד בין העמדות של הישראלים לממשלת ארצות הברית</v>
      </c>
      <c r="E421" s="3" t="s">
        <v>2552</v>
      </c>
      <c r="F421" s="3" t="str">
        <f>VLOOKUP($A421,Hebrew!$A:$S,4,0)</f>
        <v>סקר המדד החודשי של החברה הישראלית של המכון למדיניות העם היהודי (JPPI) חושף חוסר הסכמה משמעותי בין דעת הקהל הישראלית לבין הממשל האמריקאי בנוגע למדיניות בנושא עזה וחיזבאללה. רק 5% מהישראלים היהודים מסכימים עם ההצעה האמריקאית: שליטת הרשות הפלסטינית בעזה יחד עם אחרים. 44% מהציבור הישראלי מאמינים שישראל צריכה לפתוח חזית שנייה נגד חיזבאללה בהקדם האפשרי. 36% מהיהודים בישראל מאמינים שיש להקים שליטה ישראלית על כל רצועת עזה, ו-26% תומכים בשיקום ההתנחלויות בגוש קטיף.</v>
      </c>
      <c r="G421" s="3" t="s">
        <v>1069</v>
      </c>
      <c r="H421" s="2"/>
      <c r="I421" s="2"/>
      <c r="J421" s="3" t="s">
        <v>2553</v>
      </c>
      <c r="K421" s="3" t="s">
        <v>2554</v>
      </c>
      <c r="L421" s="3" t="str">
        <f>VLOOKUP($A421,Hebrew!$A:$S,9,0)</f>
        <v>המכון למדיניות העם היהודי (JPPI)</v>
      </c>
      <c r="M421" s="2"/>
      <c r="N421" s="2"/>
      <c r="O421" s="3" t="s">
        <v>26</v>
      </c>
      <c r="P421" s="3" t="s">
        <v>60</v>
      </c>
      <c r="Q421" s="3" t="str">
        <f>VLOOKUP($A421,Hebrew!$A:$S,13,0)</f>
        <v>ישראל</v>
      </c>
      <c r="R421" s="3" t="s">
        <v>28</v>
      </c>
      <c r="S421" s="3" t="s">
        <v>397</v>
      </c>
      <c r="T421" s="3" t="s">
        <v>2555</v>
      </c>
      <c r="U421" s="3" t="s">
        <v>2556</v>
      </c>
      <c r="V421" s="3" t="s">
        <v>2557</v>
      </c>
      <c r="W421" s="2"/>
      <c r="X421" s="2"/>
      <c r="Y421" s="2"/>
    </row>
    <row r="422" spans="1:25" x14ac:dyDescent="0.2">
      <c r="A422" s="3">
        <v>908</v>
      </c>
      <c r="B422" s="4" t="s">
        <v>2558</v>
      </c>
      <c r="C422" s="3" t="s">
        <v>2559</v>
      </c>
      <c r="D422" s="3" t="str">
        <f>VLOOKUP(A422,Hebrew!A:C,3,0)</f>
        <v>רוב הציבור הישראלי תומך בפעולה צבאית ברפיח</v>
      </c>
      <c r="E422" s="3" t="s">
        <v>2560</v>
      </c>
      <c r="F422" s="3" t="str">
        <f>VLOOKUP($A422,Hebrew!$A:$S,4,0)</f>
        <v>סקר שנערך על ידי "גלובס" מגלה כי רוב הציבור הישראלי תומך בפעולה צבאית ברפיח, למרות ההתנגדות האמריקאית. בנוסף, כמעט 2/3 מהציבור הישראלי סבורים כי ישראל עושה כל מה שהיא יכולה כדי למנוע פגיעה באזרחים בעזה. 44% מהציבור הישראלי חושבים שישראל צריכה לאפשר סיוע הומניטרי לעזה רק בתנאי שישוחררו החטופים.</v>
      </c>
      <c r="G422" s="3" t="s">
        <v>2561</v>
      </c>
      <c r="H422" s="2"/>
      <c r="I422" s="2"/>
      <c r="J422" s="3" t="s">
        <v>2562</v>
      </c>
      <c r="K422" s="3" t="s">
        <v>2562</v>
      </c>
      <c r="L422" s="3" t="str">
        <f>VLOOKUP($A422,Hebrew!$A:$S,9,0)</f>
        <v>גלובוס</v>
      </c>
      <c r="M422" s="2"/>
      <c r="N422" s="2"/>
      <c r="O422" s="3" t="s">
        <v>39</v>
      </c>
      <c r="P422" s="3" t="s">
        <v>60</v>
      </c>
      <c r="Q422" s="3" t="str">
        <f>VLOOKUP($A422,Hebrew!$A:$S,13,0)</f>
        <v>ישראל</v>
      </c>
      <c r="R422" s="3" t="s">
        <v>2563</v>
      </c>
      <c r="S422" s="3" t="s">
        <v>29</v>
      </c>
      <c r="T422" s="3" t="s">
        <v>2564</v>
      </c>
      <c r="U422" s="3" t="s">
        <v>2565</v>
      </c>
      <c r="V422" s="3" t="s">
        <v>2532</v>
      </c>
      <c r="W422" s="2"/>
      <c r="X422" s="2"/>
      <c r="Y422" s="2"/>
    </row>
    <row r="423" spans="1:25" x14ac:dyDescent="0.2">
      <c r="A423" s="3">
        <v>944</v>
      </c>
      <c r="B423" s="6" t="s">
        <v>2566</v>
      </c>
      <c r="C423" s="3" t="s">
        <v>2567</v>
      </c>
      <c r="D423" s="3" t="str">
        <f>VLOOKUP(A423,Hebrew!A:C,3,0)</f>
        <v>רוב הישראלים תומכים בהסכם עם חמאס</v>
      </c>
      <c r="E423" s="3" t="s">
        <v>2568</v>
      </c>
      <c r="F423" s="3" t="str">
        <f>VLOOKUP($A423,Hebrew!$A:$S,4,0)</f>
        <v>סקר שנערך על ידי המכון הישראלי לדמוקרטיה מגלה כי רוב הישראלים תומכים בהסכם עם חמאס, עם רמות שונות של אופטימיות לגבי ביטחון לאומי בין קבוצות דמוגרפיות שונות.</v>
      </c>
      <c r="G423" s="3" t="s">
        <v>2569</v>
      </c>
      <c r="H423" s="3" t="s">
        <v>2570</v>
      </c>
      <c r="I423" s="3" t="s">
        <v>2571</v>
      </c>
      <c r="J423" s="3" t="s">
        <v>57</v>
      </c>
      <c r="K423" s="3" t="s">
        <v>2572</v>
      </c>
      <c r="L423" s="3" t="str">
        <f>VLOOKUP($A423,Hebrew!$A:$S,9,0)</f>
        <v>תמר הרמן, ליאור יוחנני, ירון קפלן, איננה אורלי ספוגניקוב</v>
      </c>
      <c r="M423" s="3" t="s">
        <v>57</v>
      </c>
      <c r="N423" s="2"/>
      <c r="O423" s="3" t="s">
        <v>39</v>
      </c>
      <c r="P423" s="3" t="s">
        <v>60</v>
      </c>
      <c r="Q423" s="3" t="str">
        <f>VLOOKUP($A423,Hebrew!$A:$S,13,0)</f>
        <v>ישראל</v>
      </c>
      <c r="R423" s="3" t="s">
        <v>2563</v>
      </c>
      <c r="S423" s="3" t="s">
        <v>29</v>
      </c>
      <c r="T423" s="3" t="s">
        <v>2573</v>
      </c>
      <c r="U423" s="3" t="s">
        <v>2574</v>
      </c>
      <c r="V423" s="3" t="s">
        <v>1459</v>
      </c>
      <c r="W423" s="3" t="s">
        <v>1356</v>
      </c>
      <c r="X423" s="2"/>
      <c r="Y423" s="2"/>
    </row>
    <row r="424" spans="1:25" x14ac:dyDescent="0.2">
      <c r="A424" s="3">
        <v>941</v>
      </c>
      <c r="B424" s="4" t="s">
        <v>2575</v>
      </c>
      <c r="C424" s="3" t="s">
        <v>2576</v>
      </c>
      <c r="D424" s="3" t="str">
        <f>VLOOKUP(A424,Hebrew!A:C,3,0)</f>
        <v>רוב המשיבים היהודים פסימיים לגבי הגעה להסכם לשחרור החטופים.</v>
      </c>
      <c r="E424" s="3" t="s">
        <v>2577</v>
      </c>
      <c r="F424" s="3" t="str">
        <f>VLOOKUP($A424,Hebrew!$A:$S,4,0)</f>
        <v>סקר שנערך באוגוסט 2024 מגלה כי רוב המשיבים היהודים פסימיים לגבי הגעה להסכם לשחרור החטופים, עם דעות שונות בין המפלגות הפוליטיות לגבי פעולות צבאיות ומניעים פוליטיים. רוב המצביעים מהשמאל סבורים כי שליטה במעבר פילדלפי היא תנאי שמשמש כדי למנוע הסכם לשחרור חטופים בשל האינטרסים הפוליטיים של נתניהו. רוב המצביעים מהימין סבורים כי שליטה במעבר פילדלפי היא צורך צבאי.</v>
      </c>
      <c r="G424" s="3" t="s">
        <v>2578</v>
      </c>
      <c r="H424" s="3" t="s">
        <v>2579</v>
      </c>
      <c r="I424" s="3" t="s">
        <v>2580</v>
      </c>
      <c r="J424" s="3" t="s">
        <v>57</v>
      </c>
      <c r="K424" s="3" t="s">
        <v>2581</v>
      </c>
      <c r="L424" s="3" t="str">
        <f>VLOOKUP($A424,Hebrew!$A:$S,9,0)</f>
        <v>תמר הרמן, ליאור יוחנני, ירון קפלן</v>
      </c>
      <c r="M424" s="3" t="s">
        <v>57</v>
      </c>
      <c r="N424" s="2"/>
      <c r="O424" s="3" t="s">
        <v>39</v>
      </c>
      <c r="P424" s="3" t="s">
        <v>60</v>
      </c>
      <c r="Q424" s="3" t="str">
        <f>VLOOKUP($A424,Hebrew!$A:$S,13,0)</f>
        <v>ישראל</v>
      </c>
      <c r="R424" s="3" t="s">
        <v>2563</v>
      </c>
      <c r="S424" s="3" t="s">
        <v>29</v>
      </c>
      <c r="T424" s="3" t="s">
        <v>2582</v>
      </c>
      <c r="U424" s="3" t="s">
        <v>2583</v>
      </c>
      <c r="V424" s="3" t="s">
        <v>2584</v>
      </c>
      <c r="W424" s="2"/>
      <c r="X424" s="2"/>
      <c r="Y424" s="2"/>
    </row>
    <row r="425" spans="1:25" x14ac:dyDescent="0.2">
      <c r="A425" s="3">
        <v>960</v>
      </c>
      <c r="B425" s="4" t="s">
        <v>2585</v>
      </c>
      <c r="C425" s="3" t="s">
        <v>2586</v>
      </c>
      <c r="D425" s="3" t="str">
        <f>VLOOKUP(A425,Hebrew!A:C,3,0)</f>
        <v>ישראל יכולה לנטר כל שיחת טלפון בגדה המערבית ובעזה, אומר מקור מודיעיני</v>
      </c>
      <c r="E425" s="3" t="s">
        <v>2587</v>
      </c>
      <c r="F425" s="3" t="str">
        <f>VLOOKUP($A425,Hebrew!$A:$S,4,0)</f>
        <v>חבר לשעבר ביחידת 8200 חושף כי ישראל יכולה לעקוב אחרי כל שיחת טלפון בגדה המערבית וברצועת עזה, ומדגיש את טקטיקות המעקב הנרחבות המופעלות נגד הפלסטינים.</v>
      </c>
      <c r="G425" s="3" t="s">
        <v>2588</v>
      </c>
      <c r="H425" s="2"/>
      <c r="I425" s="2"/>
      <c r="J425" s="3" t="s">
        <v>2589</v>
      </c>
      <c r="K425" s="3" t="s">
        <v>2590</v>
      </c>
      <c r="L425" s="3" t="str">
        <f>VLOOKUP($A425,Hebrew!$A:$S,9,0)</f>
        <v>לובנה מסראווה</v>
      </c>
      <c r="M425" s="2"/>
      <c r="N425" s="2"/>
      <c r="O425" s="3" t="s">
        <v>26</v>
      </c>
      <c r="P425" s="2"/>
      <c r="Q425" s="3">
        <f>VLOOKUP($A425,Hebrew!$A:$S,13,0)</f>
        <v>0</v>
      </c>
      <c r="R425" s="3" t="s">
        <v>1215</v>
      </c>
      <c r="S425" s="3" t="s">
        <v>29</v>
      </c>
      <c r="T425" s="3" t="s">
        <v>2591</v>
      </c>
      <c r="U425" s="3" t="s">
        <v>2592</v>
      </c>
      <c r="V425" s="3" t="s">
        <v>2593</v>
      </c>
      <c r="W425" s="2"/>
      <c r="X425" s="2"/>
      <c r="Y425" s="2"/>
    </row>
    <row r="426" spans="1:25" x14ac:dyDescent="0.2">
      <c r="A426" s="3">
        <v>1821</v>
      </c>
      <c r="B426" s="4" t="s">
        <v>2594</v>
      </c>
      <c r="C426" s="3" t="s">
        <v>2595</v>
      </c>
      <c r="D426" s="3" t="str">
        <f>VLOOKUP(A426,Hebrew!A:C,3,0)</f>
        <v>מחלקת המדינה של ארצות הברית זייפה דוח שפוטר את ישראל מאשמה בעניין הסיוע ההומניטרי לעזה</v>
      </c>
      <c r="E426" s="3" t="s">
        <v>2596</v>
      </c>
      <c r="F426" s="3" t="str">
        <f>VLOOKUP($A426,Hebrew!$A:$S,4,0)</f>
        <v>פקידה בכירה לשעבר בממשלת ארה"ב, סטייסי גילברט, התפטרה מתפקידה בטענה כי מחלקת המדינה זייפה דוח כדי לפטור את ישראל מאחריות על חסימת סיוע הומניטרי לעזה, בניגוד לדעות של המומחים שלה.</v>
      </c>
      <c r="G426" s="3" t="s">
        <v>77</v>
      </c>
      <c r="H426" s="3" t="s">
        <v>2501</v>
      </c>
      <c r="I426" s="3" t="s">
        <v>2501</v>
      </c>
      <c r="J426" s="3" t="s">
        <v>110</v>
      </c>
      <c r="K426" s="3" t="s">
        <v>2597</v>
      </c>
      <c r="L426" s="3" t="str">
        <f>VLOOKUP($A426,Hebrew!$A:$S,9,0)</f>
        <v>ג'וליאן בורגר</v>
      </c>
      <c r="M426" s="2"/>
      <c r="N426" s="2"/>
      <c r="O426" s="3" t="s">
        <v>26</v>
      </c>
      <c r="P426" s="3" t="s">
        <v>95</v>
      </c>
      <c r="Q426" s="3" t="str">
        <f>VLOOKUP($A426,Hebrew!$A:$S,13,0)</f>
        <v>ארה"ב</v>
      </c>
      <c r="R426" s="3" t="s">
        <v>1215</v>
      </c>
      <c r="S426" s="3" t="s">
        <v>29</v>
      </c>
      <c r="T426" s="3" t="s">
        <v>2598</v>
      </c>
      <c r="U426" s="3" t="s">
        <v>2599</v>
      </c>
      <c r="V426" s="3" t="s">
        <v>357</v>
      </c>
      <c r="W426" s="2"/>
      <c r="X426" s="2"/>
      <c r="Y426" s="2"/>
    </row>
    <row r="427" spans="1:25" x14ac:dyDescent="0.2">
      <c r="A427" s="3">
        <v>2102</v>
      </c>
      <c r="B427" s="4" t="s">
        <v>2600</v>
      </c>
      <c r="C427" s="3" t="s">
        <v>2601</v>
      </c>
      <c r="D427" s="3" t="str">
        <f>VLOOKUP(A427,Hebrew!A:C,3,0)</f>
        <v>תוכנית הגנרלים של עשרות קציני מילואים בכירים: 'מצור על החלק הצפוני של רצועת עזה'</v>
      </c>
      <c r="E427" s="3" t="s">
        <v>2602</v>
      </c>
      <c r="F427" s="3" t="str">
        <f>VLOOKUP($A427,Hebrew!$A:$S,4,0)</f>
        <v>פורום קציני מילואים מציג תוכנית להטיל מצור צבאי על צפון עזה, בטענה שהמבצעים הנוכחיים אינם מספיקים כדי להביס את חמאס ולהשיג את שחרורם החטופים.</v>
      </c>
      <c r="G427" s="3" t="s">
        <v>2578</v>
      </c>
      <c r="H427" s="2"/>
      <c r="I427" s="2"/>
      <c r="J427" s="3" t="s">
        <v>258</v>
      </c>
      <c r="K427" s="3" t="s">
        <v>2603</v>
      </c>
      <c r="L427" s="3" t="str">
        <f>VLOOKUP($A427,Hebrew!$A:$S,9,0)</f>
        <v>איתמר איחנר</v>
      </c>
      <c r="M427" s="2"/>
      <c r="N427" s="2"/>
      <c r="O427" s="3" t="s">
        <v>39</v>
      </c>
      <c r="P427" s="3" t="s">
        <v>27</v>
      </c>
      <c r="Q427" s="3" t="str">
        <f>VLOOKUP($A427,Hebrew!$A:$S,13,0)</f>
        <v>רצועת עזה</v>
      </c>
      <c r="R427" s="3" t="s">
        <v>1215</v>
      </c>
      <c r="S427" s="3" t="s">
        <v>29</v>
      </c>
      <c r="T427" s="3" t="s">
        <v>2604</v>
      </c>
      <c r="U427" s="3" t="s">
        <v>314</v>
      </c>
      <c r="V427" s="3" t="s">
        <v>27</v>
      </c>
      <c r="W427" s="2"/>
      <c r="X427" s="2"/>
      <c r="Y427" s="2"/>
    </row>
    <row r="428" spans="1:25" x14ac:dyDescent="0.2">
      <c r="A428" s="3">
        <v>336</v>
      </c>
      <c r="B428" s="4" t="s">
        <v>2605</v>
      </c>
      <c r="C428" s="3" t="s">
        <v>2606</v>
      </c>
      <c r="D428" s="3" t="str">
        <f>VLOOKUP(A428,Hebrew!A:C,3,0)</f>
        <v>איך המלחמה הרסה את השכונות בעזה – חקירה חזותית</v>
      </c>
      <c r="E428" s="3" t="s">
        <v>2607</v>
      </c>
      <c r="F428" s="3" t="str">
        <f>VLOOKUP($A428,Hebrew!$A:$S,4,0)</f>
        <v>חקירה של הגארדיאן מפרטת את ההרס ההמוני של בניינים ואדמות בשכונות עזה בעקבות הסכסוך המתמשך, ומדגישה את ההשפעה על האזרחים ואת המושג 'domicide'.</v>
      </c>
      <c r="G428" s="3" t="s">
        <v>467</v>
      </c>
      <c r="H428" s="3" t="s">
        <v>2608</v>
      </c>
      <c r="I428" s="3" t="s">
        <v>2609</v>
      </c>
      <c r="J428" s="3" t="s">
        <v>110</v>
      </c>
      <c r="K428" s="3" t="s">
        <v>2610</v>
      </c>
      <c r="L428" s="3" t="str">
        <f>VLOOKUP($A428,Hebrew!$A:$S,9,0)</f>
        <v>נילס דה הוג, אנטוניו ווצ'ה, אלנה מורסי, מנישה גנגלי, אשלי קירק</v>
      </c>
      <c r="M428" s="2"/>
      <c r="N428" s="2"/>
      <c r="O428" s="3" t="s">
        <v>26</v>
      </c>
      <c r="P428" s="3" t="s">
        <v>27</v>
      </c>
      <c r="Q428" s="3" t="str">
        <f>VLOOKUP($A428,Hebrew!$A:$S,13,0)</f>
        <v>רצועת עזה</v>
      </c>
      <c r="R428" s="3" t="s">
        <v>1215</v>
      </c>
      <c r="S428" s="3" t="s">
        <v>2611</v>
      </c>
      <c r="T428" s="3" t="s">
        <v>2612</v>
      </c>
      <c r="U428" s="3" t="s">
        <v>314</v>
      </c>
      <c r="V428" s="3" t="s">
        <v>2613</v>
      </c>
      <c r="W428" s="2"/>
      <c r="X428" s="2"/>
      <c r="Y428" s="2"/>
    </row>
    <row r="429" spans="1:25" x14ac:dyDescent="0.2">
      <c r="A429" s="3">
        <v>939</v>
      </c>
      <c r="B429" s="4" t="s">
        <v>2614</v>
      </c>
      <c r="C429" s="3" t="s">
        <v>2615</v>
      </c>
      <c r="D429" s="3" t="str">
        <f>VLOOKUP(A429,Hebrew!A:C,3,0)</f>
        <v>סקר יוני 2024: כמעט 80% מהציבור היהודי, כולל רוב מצביעי הליכוד, תומכים בגיוס כללי או מדורג של חרדים</v>
      </c>
      <c r="E429" s="3" t="s">
        <v>2616</v>
      </c>
      <c r="F429" s="3" t="str">
        <f>VLOOKUP($A429,Hebrew!$A:$S,4,0)</f>
        <v>סקר שנערך ביוני 2024 מגלה שכמעט 80% מהציבור היהודי, כולל רוב מצביעי הליכוד, תומכים בגיוס כללי או מדורג של חרדים בישראל.</v>
      </c>
      <c r="G429" s="3" t="s">
        <v>2617</v>
      </c>
      <c r="H429" s="3" t="s">
        <v>2618</v>
      </c>
      <c r="I429" s="3" t="s">
        <v>2619</v>
      </c>
      <c r="J429" s="3" t="s">
        <v>57</v>
      </c>
      <c r="K429" s="3" t="s">
        <v>2581</v>
      </c>
      <c r="L429" s="3" t="str">
        <f>VLOOKUP($A429,Hebrew!$A:$S,9,0)</f>
        <v>תמר הרמן, ליאור יוחנני, ירון קפלן</v>
      </c>
      <c r="M429" s="3" t="s">
        <v>57</v>
      </c>
      <c r="N429" s="2"/>
      <c r="O429" s="3" t="s">
        <v>39</v>
      </c>
      <c r="P429" s="3" t="s">
        <v>60</v>
      </c>
      <c r="Q429" s="3" t="str">
        <f>VLOOKUP($A429,Hebrew!$A:$S,13,0)</f>
        <v>ישראל</v>
      </c>
      <c r="R429" s="3" t="s">
        <v>2563</v>
      </c>
      <c r="S429" s="3" t="s">
        <v>29</v>
      </c>
      <c r="T429" s="3" t="s">
        <v>2620</v>
      </c>
      <c r="U429" s="3" t="s">
        <v>43</v>
      </c>
      <c r="V429" s="3" t="s">
        <v>60</v>
      </c>
      <c r="W429" s="2"/>
      <c r="X429" s="2"/>
      <c r="Y429" s="2"/>
    </row>
    <row r="430" spans="1:25" x14ac:dyDescent="0.2">
      <c r="A430" s="3">
        <v>1506</v>
      </c>
      <c r="B430" s="4" t="s">
        <v>2621</v>
      </c>
      <c r="C430" s="3" t="s">
        <v>2622</v>
      </c>
      <c r="D430" s="3" t="str">
        <f>VLOOKUP(A430,Hebrew!A:C,3,0)</f>
        <v>סגן אלוף סיפר לערוץ 14 על רצח תינוקות וניצולת שואה בבארי — אירועים שמעולם לא התרחשו.</v>
      </c>
      <c r="E430" s="3" t="s">
        <v>2623</v>
      </c>
      <c r="F430" s="3" t="str">
        <f>VLOOKUP($A430,Hebrew!$A:$S,4,0)</f>
        <v>סגן אלוף שהתראיין לערוץ 14 טען כי היה עד לרצח של שמונה תינוקות ולרצח של ניצולת שואה בקיבוץ בארי, אירועים שהוא הצהיר מאוחר יותר שלא התרחשו בפועל.</v>
      </c>
      <c r="G430" s="3" t="s">
        <v>2213</v>
      </c>
      <c r="H430" s="3" t="s">
        <v>2608</v>
      </c>
      <c r="I430" s="2"/>
      <c r="J430" s="3" t="s">
        <v>36</v>
      </c>
      <c r="K430" s="3" t="s">
        <v>2624</v>
      </c>
      <c r="L430" s="3" t="str">
        <f>VLOOKUP($A430,Hebrew!$A:$S,9,0)</f>
        <v>ליזה רוזובסקי, ג'וש בריינר</v>
      </c>
      <c r="M430" s="2"/>
      <c r="N430" s="2"/>
      <c r="O430" s="3" t="s">
        <v>39</v>
      </c>
      <c r="P430" s="3" t="s">
        <v>60</v>
      </c>
      <c r="Q430" s="3" t="str">
        <f>VLOOKUP($A430,Hebrew!$A:$S,13,0)</f>
        <v>ישראל</v>
      </c>
      <c r="R430" s="3" t="s">
        <v>1215</v>
      </c>
      <c r="S430" s="3" t="s">
        <v>29</v>
      </c>
      <c r="T430" s="3" t="s">
        <v>2625</v>
      </c>
      <c r="U430" s="3" t="s">
        <v>43</v>
      </c>
      <c r="V430" s="3" t="s">
        <v>60</v>
      </c>
      <c r="W430" s="3" t="s">
        <v>2626</v>
      </c>
      <c r="X430" s="2"/>
      <c r="Y430" s="2"/>
    </row>
    <row r="431" spans="1:25" x14ac:dyDescent="0.2">
      <c r="A431" s="3">
        <v>1691</v>
      </c>
      <c r="B431" s="4" t="s">
        <v>2627</v>
      </c>
      <c r="C431" s="3" t="s">
        <v>2628</v>
      </c>
      <c r="D431" s="3" t="str">
        <f>VLOOKUP(A431,Hebrew!A:C,3,0)</f>
        <v>רוב האמריקאים כעת מתנגדים לפעולה הישראלית בעזה</v>
      </c>
      <c r="E431" s="3" t="s">
        <v>2629</v>
      </c>
      <c r="F431" s="3" t="str">
        <f>VLOOKUP($A431,Hebrew!$A:$S,4,0)</f>
        <v>רוב האמריקאים כיום מתנגדים לפעולות הצבאיות של ישראל בעזה, מה שמשקף שינוי משמעותי בדעת הקהל מאז נובמבר 2023, כאשר שיעור התמיכה ירד מ-50% ל-36% במרץ 2024.</v>
      </c>
      <c r="G431" s="3" t="s">
        <v>2369</v>
      </c>
      <c r="H431" s="3" t="s">
        <v>1727</v>
      </c>
      <c r="I431" s="3" t="s">
        <v>1955</v>
      </c>
      <c r="J431" s="3" t="s">
        <v>2630</v>
      </c>
      <c r="K431" s="3" t="s">
        <v>2631</v>
      </c>
      <c r="L431" s="3" t="str">
        <f>VLOOKUP($A431,Hebrew!$A:$S,9,0)</f>
        <v>ג'פרי מ. ג'ונס</v>
      </c>
      <c r="M431" s="3" t="s">
        <v>2630</v>
      </c>
      <c r="N431" s="2"/>
      <c r="O431" s="3" t="s">
        <v>26</v>
      </c>
      <c r="P431" s="3" t="s">
        <v>95</v>
      </c>
      <c r="Q431" s="3" t="str">
        <f>VLOOKUP($A431,Hebrew!$A:$S,13,0)</f>
        <v>ארה"ב</v>
      </c>
      <c r="R431" s="3" t="s">
        <v>2563</v>
      </c>
      <c r="S431" s="3" t="s">
        <v>29</v>
      </c>
      <c r="T431" s="3" t="s">
        <v>2632</v>
      </c>
      <c r="U431" s="2"/>
      <c r="V431" s="3" t="s">
        <v>357</v>
      </c>
      <c r="W431" s="2"/>
      <c r="X431" s="2"/>
      <c r="Y431" s="2"/>
    </row>
    <row r="432" spans="1:25" x14ac:dyDescent="0.2">
      <c r="A432" s="3">
        <v>1858</v>
      </c>
      <c r="B432" s="4" t="s">
        <v>2633</v>
      </c>
      <c r="C432" s="3" t="s">
        <v>2634</v>
      </c>
      <c r="D432" s="3" t="str">
        <f>VLOOKUP(A432,Hebrew!A:C,3,0)</f>
        <v>רוב המצביעים הדמוקרטיים בארצות הברית מאמינים שישראל מבצעת רצח עם</v>
      </c>
      <c r="E432" s="3" t="s">
        <v>2635</v>
      </c>
      <c r="F432" s="3" t="str">
        <f>VLOOKUP($A432,Hebrew!$A:$S,4,0)</f>
        <v>רוב המצביעים הדמוקרטים בארצות הברית מאמינים שישראל מבצעת רצח עם נגד הפלסטינים בעזה, לפי סקר חדש. זאת למרות הכחשות של מנהיגות המפלגה הדמוקרטית. בנוסף, דעת הקהל הולכת ונעשית ביקורתית יותר כלפי המימון האמריקאי של הסיוע צבאי לישראל.</v>
      </c>
      <c r="G432" s="3" t="s">
        <v>2527</v>
      </c>
      <c r="H432" s="3" t="s">
        <v>531</v>
      </c>
      <c r="I432" s="3" t="s">
        <v>2327</v>
      </c>
      <c r="J432" s="3" t="s">
        <v>84</v>
      </c>
      <c r="K432" s="3" t="s">
        <v>2636</v>
      </c>
      <c r="L432" s="3" t="str">
        <f>VLOOKUP($A432,Hebrew!$A:$S,9,0)</f>
        <v>מהדי חסן</v>
      </c>
      <c r="M432" s="2"/>
      <c r="N432" s="2"/>
      <c r="O432" s="3" t="s">
        <v>26</v>
      </c>
      <c r="P432" s="3" t="s">
        <v>95</v>
      </c>
      <c r="Q432" s="3" t="str">
        <f>VLOOKUP($A432,Hebrew!$A:$S,13,0)</f>
        <v>ארה"ב</v>
      </c>
      <c r="R432" s="3" t="s">
        <v>1215</v>
      </c>
      <c r="S432" s="3" t="s">
        <v>29</v>
      </c>
      <c r="T432" s="3" t="s">
        <v>2637</v>
      </c>
      <c r="U432" s="3" t="s">
        <v>43</v>
      </c>
      <c r="V432" s="3" t="s">
        <v>357</v>
      </c>
      <c r="W432" s="3" t="s">
        <v>1348</v>
      </c>
      <c r="X432" s="2"/>
      <c r="Y432" s="2"/>
    </row>
    <row r="433" spans="1:25" x14ac:dyDescent="0.2">
      <c r="A433" s="3">
        <v>1530</v>
      </c>
      <c r="B433" s="4" t="s">
        <v>2638</v>
      </c>
      <c r="C433" s="3" t="s">
        <v>2639</v>
      </c>
      <c r="D433" s="3" t="str">
        <f>VLOOKUP(A433,Hebrew!A:C,3,0)</f>
        <v>סקר מאי 2024: הערכה כללית נמוכה של ביצועי הממשלה מאז 7.10 בניהול הלחימה בצפון ובדרום, ביחסי ציבור ובטיפול במפונים</v>
      </c>
      <c r="E433" s="3" t="s">
        <v>2640</v>
      </c>
      <c r="F433" s="3" t="str">
        <f>VLOOKUP($A433,Hebrew!$A:$S,4,0)</f>
        <v>סקר מאי 2024 חושף אמון ציבורי נמוך בביצועי הממשלה הישראלית בנוגע לניהול הלחימה ולטיפול במפונים מאז ה-7 באוקטובר. 80% מהציבור מאמינים שאין לממשלת ישראל תוכניות ליום שאחרי המלחמה. רוב המצביעים היהודים בישראל סבורים כי צווי המעצר של בית הדין הפלילי הבינלאומי נגד בנימין נתניהו ויואב גלנט נובעים מהטיה נגד ישראל. רק 10 אחוז מהיהודים הישראלים מאמינים שצווי המעצר קשורים להתנהלות ישראל בזמן המלחמה.</v>
      </c>
      <c r="G433" s="3" t="s">
        <v>2641</v>
      </c>
      <c r="H433" s="3" t="s">
        <v>1498</v>
      </c>
      <c r="I433" s="3" t="s">
        <v>2642</v>
      </c>
      <c r="J433" s="3" t="s">
        <v>57</v>
      </c>
      <c r="K433" s="3" t="s">
        <v>2581</v>
      </c>
      <c r="L433" s="3" t="str">
        <f>VLOOKUP($A433,Hebrew!$A:$S,9,0)</f>
        <v>תמר הרמן, ליאור יוחנני, ירון קפלן</v>
      </c>
      <c r="M433" s="2"/>
      <c r="N433" s="2"/>
      <c r="O433" s="3" t="s">
        <v>39</v>
      </c>
      <c r="P433" s="3" t="s">
        <v>60</v>
      </c>
      <c r="Q433" s="3" t="str">
        <f>VLOOKUP($A433,Hebrew!$A:$S,13,0)</f>
        <v>ישראל</v>
      </c>
      <c r="R433" s="3" t="s">
        <v>28</v>
      </c>
      <c r="S433" s="3" t="s">
        <v>29</v>
      </c>
      <c r="T433" s="3" t="s">
        <v>2643</v>
      </c>
      <c r="U433" s="3" t="s">
        <v>2644</v>
      </c>
      <c r="V433" s="3" t="s">
        <v>60</v>
      </c>
      <c r="W433" s="3" t="s">
        <v>219</v>
      </c>
      <c r="X433" s="2"/>
      <c r="Y433" s="2"/>
    </row>
    <row r="434" spans="1:25" x14ac:dyDescent="0.2">
      <c r="A434" s="3">
        <v>1276</v>
      </c>
      <c r="B434" s="4" t="s">
        <v>2645</v>
      </c>
      <c r="C434" s="3" t="s">
        <v>2646</v>
      </c>
      <c r="D434" s="3" t="str">
        <f>VLOOKUP(A434,Hebrew!A:C,3,0)</f>
        <v>סקר דצמבר 2023: רק 15% מהציבור חושבים שנתניהו הוא ראש הממשלה המתאים ביותר לתפקיד לאחר סיום המלחמה</v>
      </c>
      <c r="E434" s="3" t="s">
        <v>2647</v>
      </c>
      <c r="F434" s="3" t="str">
        <f>VLOOKUP($A434,Hebrew!$A:$S,4,0)</f>
        <v>סקר מדצמבר 2023 מגלה שרק 15% מהציבור מאמינים שנתניהו הוא האדם המתאים ביותר לתפקיד ראש הממשלה לאחר סיום המלחמה, עם חששות משמעותיים לגבי יציבות הקואליציה. חצי מהציבור תומך בפתיחת חזית נגד חיזבאללה בצפון. 56% סבורים שהמשך הלחימה העצימה הוא הדרך הטובה ביותר לשחרור בני ערובה. 66% מהאוכלוסייה מתנגדים למעבר לשלב חדש במלחמה, בהתאם לדרישות וושינגטון, שיכלול הפצצות פחות כבדות על ריכוזי אוכלוסייה אזרחית. 75% מהיהודים מתנגדים לשינוי זה, בעוד ש-56% מהאזרחים הפלסטינים בישראל תומכים במעבר לשלב החדש.</v>
      </c>
      <c r="G434" s="3" t="s">
        <v>2648</v>
      </c>
      <c r="H434" s="3" t="s">
        <v>2649</v>
      </c>
      <c r="I434" s="3" t="s">
        <v>823</v>
      </c>
      <c r="J434" s="3" t="s">
        <v>57</v>
      </c>
      <c r="K434" s="3" t="s">
        <v>2650</v>
      </c>
      <c r="L434" s="3" t="str">
        <f>VLOOKUP($A434,Hebrew!$A:$S,9,0)</f>
        <v>תמר הרמן, אור ענבי</v>
      </c>
      <c r="M434" s="2"/>
      <c r="N434" s="2"/>
      <c r="O434" s="3" t="s">
        <v>39</v>
      </c>
      <c r="P434" s="3" t="s">
        <v>60</v>
      </c>
      <c r="Q434" s="3" t="str">
        <f>VLOOKUP($A434,Hebrew!$A:$S,13,0)</f>
        <v>ישראל</v>
      </c>
      <c r="R434" s="3" t="s">
        <v>28</v>
      </c>
      <c r="S434" s="3" t="s">
        <v>29</v>
      </c>
      <c r="T434" s="3" t="s">
        <v>2651</v>
      </c>
      <c r="U434" s="3" t="s">
        <v>2652</v>
      </c>
      <c r="V434" s="3" t="s">
        <v>60</v>
      </c>
      <c r="W434" s="3" t="s">
        <v>2653</v>
      </c>
      <c r="X434" s="2"/>
      <c r="Y434" s="2"/>
    </row>
    <row r="435" spans="1:25" x14ac:dyDescent="0.2">
      <c r="A435" s="3">
        <v>1281</v>
      </c>
      <c r="B435" s="4" t="s">
        <v>2654</v>
      </c>
      <c r="C435" s="3" t="s">
        <v>2655</v>
      </c>
      <c r="D435" s="3" t="str">
        <f>VLOOKUP(A435,Hebrew!A:C,3,0)</f>
        <v>הוא לא הבין, הוא היה מפוחד: גבר פלסטיני עם מוגבלות נורה למוות על ידי צה"ל בבית חולים בעזה</v>
      </c>
      <c r="E435" s="3" t="s">
        <v>2656</v>
      </c>
      <c r="F435" s="3" t="str">
        <f>VLOOKUP($A435,Hebrew!$A:$S,4,0)</f>
        <v>גבר פלסטיני עם מוגבלות נורה ב"יריית ישירה לצוואר" בעודו מוחזק בבית חולים על ידי חיילי צה"ל ברצועת עזה, כך נודע ל-ITV News. הגבר בן ה-39, שסבל מקשיי למידה חמורים, ברח לבית החולים אל-ח'יר הסמוך עם הוריו ואחיו לאחר שהבניין שבו גרו נפגע מהפגזה. זיינב אמרה שכמה אנשים ניסו להסביר לחיילים הישראלים שאחיה סובל ממוגבלות ושאין לו יכולת להבין את ההוראות שניתנות לו, טענה שהושמעה גם על ידי עדי ראייה שדיברו עם ITV News.</v>
      </c>
      <c r="G435" s="3" t="s">
        <v>1727</v>
      </c>
      <c r="H435" s="3" t="s">
        <v>658</v>
      </c>
      <c r="I435" s="3" t="s">
        <v>658</v>
      </c>
      <c r="J435" s="3" t="s">
        <v>660</v>
      </c>
      <c r="K435" s="3" t="s">
        <v>2657</v>
      </c>
      <c r="L435" s="3" t="str">
        <f>VLOOKUP($A435,Hebrew!$A:$S,9,0)</f>
        <v>רוהיט קצ'רו, דן האוולס, לוטי קילריין</v>
      </c>
      <c r="M435" s="2"/>
      <c r="N435" s="2"/>
      <c r="O435" s="3" t="s">
        <v>26</v>
      </c>
      <c r="P435" s="3" t="s">
        <v>2658</v>
      </c>
      <c r="Q435" s="3" t="str">
        <f>VLOOKUP($A435,Hebrew!$A:$S,13,0)</f>
        <v>בית חולים אל-ח'יר</v>
      </c>
      <c r="R435" s="3" t="s">
        <v>1215</v>
      </c>
      <c r="S435" s="3" t="s">
        <v>2314</v>
      </c>
      <c r="T435" s="3" t="s">
        <v>2659</v>
      </c>
      <c r="U435" s="3" t="s">
        <v>43</v>
      </c>
      <c r="V435" s="3" t="s">
        <v>2660</v>
      </c>
      <c r="W435" s="2"/>
      <c r="X435" s="2"/>
      <c r="Y435" s="2"/>
    </row>
    <row r="436" spans="1:25" x14ac:dyDescent="0.2">
      <c r="A436" s="3">
        <v>2104</v>
      </c>
      <c r="B436" s="4" t="s">
        <v>2661</v>
      </c>
      <c r="C436" s="3" t="s">
        <v>2662</v>
      </c>
      <c r="D436" s="3" t="str">
        <f>VLOOKUP(A436,Hebrew!A:C,3,0)</f>
        <v>‘הוא ילד, בחתיכות!’: הסרטון המטריד מעזה שהצית זעם</v>
      </c>
      <c r="E436" s="3" t="s">
        <v>2663</v>
      </c>
      <c r="F436" s="3" t="str">
        <f>VLOOKUP($A436,Hebrew!$A:$S,4,0)</f>
        <v>וידאו מטריד מעזה מראה ילד פצוע במהלך תקיפה אווירית ישראלית. כאשר עוברי אורח מתקרבים אליו כדי לעזור, פצצה שנייה פוגעת באותו אזור.</v>
      </c>
      <c r="G436" s="3" t="s">
        <v>608</v>
      </c>
      <c r="H436" s="3" t="s">
        <v>1655</v>
      </c>
      <c r="I436" s="3" t="s">
        <v>1655</v>
      </c>
      <c r="J436" s="3" t="s">
        <v>258</v>
      </c>
      <c r="K436" s="3" t="s">
        <v>258</v>
      </c>
      <c r="L436" s="3" t="str">
        <f>VLOOKUP($A436,Hebrew!$A:$S,9,0)</f>
        <v>ynet</v>
      </c>
      <c r="M436" s="2"/>
      <c r="N436" s="6" t="s">
        <v>2664</v>
      </c>
      <c r="O436" s="3" t="s">
        <v>39</v>
      </c>
      <c r="P436" s="3" t="s">
        <v>461</v>
      </c>
      <c r="Q436" s="3" t="str">
        <f>VLOOKUP($A436,Hebrew!$A:$S,13,0)</f>
        <v>ג'באליה</v>
      </c>
      <c r="R436" s="3" t="s">
        <v>1215</v>
      </c>
      <c r="S436" s="3" t="s">
        <v>413</v>
      </c>
      <c r="T436" s="3" t="s">
        <v>2665</v>
      </c>
      <c r="U436" s="3" t="s">
        <v>43</v>
      </c>
      <c r="V436" s="3" t="s">
        <v>461</v>
      </c>
      <c r="W436" s="2"/>
      <c r="X436" s="2"/>
      <c r="Y436" s="2"/>
    </row>
    <row r="437" spans="1:25" x14ac:dyDescent="0.2">
      <c r="A437" s="3">
        <v>689</v>
      </c>
      <c r="B437" s="4" t="s">
        <v>2666</v>
      </c>
      <c r="C437" s="3" t="s">
        <v>2667</v>
      </c>
      <c r="D437" s="3" t="str">
        <f>VLOOKUP(A437,Hebrew!A:C,3,0)</f>
        <v>רופא במתקן המעצר שדה תימן לשרים וליועצת המשפטית לממשלה: "כולנו הופכים לשותפים להפרת החוק"</v>
      </c>
      <c r="E437" s="3" t="s">
        <v>2668</v>
      </c>
      <c r="F437" s="3" t="str">
        <f>VLOOKUP($A437,Hebrew!$A:$S,4,0)</f>
        <v>רופא במתקן שדה תימן מתאר את התנאים המסוכנים שבהם נתונים העזתים הכלואים, ומזהיר כי הם מפרים את הסטנדרטים החוקיים ומסכנים הן את בריאות העצורים והן את המעמד החוקי של המדינה. מאמר זה היה אחד מהסימנים המוקדמים בתקשורת הישראלית על ההתעללות הנרחבת בשדה תימן.</v>
      </c>
      <c r="G437" s="3" t="s">
        <v>2669</v>
      </c>
      <c r="H437" s="2"/>
      <c r="I437" s="2"/>
      <c r="J437" s="3" t="s">
        <v>36</v>
      </c>
      <c r="K437" s="3" t="s">
        <v>2670</v>
      </c>
      <c r="L437" s="3" t="str">
        <f>VLOOKUP($A437,Hebrew!$A:$S,9,0)</f>
        <v>מיכאל האוסר טוב, הגר שזף</v>
      </c>
      <c r="M437" s="2"/>
      <c r="N437" s="2"/>
      <c r="O437" s="3" t="s">
        <v>39</v>
      </c>
      <c r="P437" s="3" t="s">
        <v>2671</v>
      </c>
      <c r="Q437" s="3" t="str">
        <f>VLOOKUP($A437,Hebrew!$A:$S,13,0)</f>
        <v>שדה תימן, ישראל</v>
      </c>
      <c r="R437" s="3" t="s">
        <v>1215</v>
      </c>
      <c r="S437" s="3" t="s">
        <v>29</v>
      </c>
      <c r="T437" s="3" t="s">
        <v>2672</v>
      </c>
      <c r="U437" s="2"/>
      <c r="V437" s="3" t="s">
        <v>2673</v>
      </c>
      <c r="W437" s="2"/>
      <c r="X437" s="2"/>
      <c r="Y437" s="2"/>
    </row>
    <row r="438" spans="1:25" x14ac:dyDescent="0.2">
      <c r="A438" s="3">
        <v>1164</v>
      </c>
      <c r="B438" s="4" t="s">
        <v>2674</v>
      </c>
      <c r="C438" s="3" t="s">
        <v>2675</v>
      </c>
      <c r="D438" s="3" t="str">
        <f>VLOOKUP(A438,Hebrew!A:C,3,0)</f>
        <v>דו"ח חדש: הריגת פלסטינים מורעבים, פגיעה במשאיות סיוע היא מדיניות ישראלית מכוונת להשלטת תנאי הרעב ברצועת עזה</v>
      </c>
      <c r="E438" s="3" t="s">
        <v>2676</v>
      </c>
      <c r="F438" s="3" t="str">
        <f>VLOOKUP($A438,Hebrew!$A:$S,4,0)</f>
        <v>דו"ח של מוניטור זכויות האדם האירופאי-מזרח תיכוני (24 עמודים) מפרט את המדיניות המכוונת של ישראל המובילה לרעב של פלסטינים ברצועת עזה, ומדגיש את הרג האזרחים ואת הפגיעה בסיוע הומניטרי.</v>
      </c>
      <c r="G438" s="3" t="s">
        <v>2677</v>
      </c>
      <c r="H438" s="2"/>
      <c r="I438" s="2"/>
      <c r="J438" s="3" t="s">
        <v>2678</v>
      </c>
      <c r="K438" s="3" t="s">
        <v>2678</v>
      </c>
      <c r="L438" s="3" t="str">
        <f>VLOOKUP($A438,Hebrew!$A:$S,9,0)</f>
        <v>מנטר זכויות האדם אירו-מד</v>
      </c>
      <c r="M438" s="2"/>
      <c r="N438" s="6" t="s">
        <v>2674</v>
      </c>
      <c r="O438" s="3" t="s">
        <v>26</v>
      </c>
      <c r="P438" s="3" t="s">
        <v>27</v>
      </c>
      <c r="Q438" s="3" t="str">
        <f>VLOOKUP($A438,Hebrew!$A:$S,13,0)</f>
        <v>רצועת עזה</v>
      </c>
      <c r="R438" s="3" t="s">
        <v>28</v>
      </c>
      <c r="S438" s="3" t="s">
        <v>29</v>
      </c>
      <c r="T438" s="3" t="s">
        <v>2679</v>
      </c>
      <c r="U438" s="3" t="s">
        <v>43</v>
      </c>
      <c r="V438" s="3" t="s">
        <v>27</v>
      </c>
      <c r="W438" s="2"/>
      <c r="X438" s="2"/>
      <c r="Y438" s="2"/>
    </row>
    <row r="439" spans="1:25" x14ac:dyDescent="0.2">
      <c r="A439" s="3">
        <v>1277</v>
      </c>
      <c r="B439" s="4" t="s">
        <v>2680</v>
      </c>
      <c r="C439" s="3" t="s">
        <v>2681</v>
      </c>
      <c r="D439" s="3" t="str">
        <f>VLOOKUP(A439,Hebrew!A:C,3,0)</f>
        <v>סקר פברואר 2024: 70% מהיהודים תומכים בשינוי הפטור לחרדים בחוק הגיוס החדש</v>
      </c>
      <c r="E439" s="3" t="s">
        <v>2682</v>
      </c>
      <c r="F439" s="3" t="str">
        <f>VLOOKUP($A439,Hebrew!$A:$S,4,0)</f>
        <v>סקר שנערך בפברואר 2024 מגלה ש-70% מהיהודים תומכים בשינוי הפטור לחרדים בחוק הגיוס החדש, לצד תובנות שונות לגבי התחושות הלאומיות והתפיסות הביטחוניות בקרב ציבורים שונים בישראל. בין השאר, רוב היהודים הישראלים (74-12) רוצים להרחיב את המבצע הצבאי לרפיח, ורוב הישראלים מאמינים שהם יכולים לסמוך על ארצות הברית שתמשיך לתמוך בהם (39-20).</v>
      </c>
      <c r="G439" s="3" t="s">
        <v>445</v>
      </c>
      <c r="H439" s="3" t="s">
        <v>1997</v>
      </c>
      <c r="I439" s="3" t="s">
        <v>2683</v>
      </c>
      <c r="J439" s="3" t="s">
        <v>57</v>
      </c>
      <c r="K439" s="3" t="s">
        <v>2684</v>
      </c>
      <c r="L439" s="3" t="str">
        <f>VLOOKUP($A439,Hebrew!$A:$S,9,0)</f>
        <v>תמר הרמן, ירון קפלן</v>
      </c>
      <c r="M439" s="2"/>
      <c r="N439" s="2"/>
      <c r="O439" s="3" t="s">
        <v>39</v>
      </c>
      <c r="P439" s="3" t="s">
        <v>60</v>
      </c>
      <c r="Q439" s="3" t="str">
        <f>VLOOKUP($A439,Hebrew!$A:$S,13,0)</f>
        <v>ישראל</v>
      </c>
      <c r="R439" s="3" t="s">
        <v>2563</v>
      </c>
      <c r="S439" s="3" t="s">
        <v>29</v>
      </c>
      <c r="T439" s="3" t="s">
        <v>2685</v>
      </c>
      <c r="U439" s="3" t="s">
        <v>253</v>
      </c>
      <c r="V439" s="3" t="s">
        <v>60</v>
      </c>
      <c r="W439" s="2"/>
      <c r="X439" s="2"/>
      <c r="Y439" s="2"/>
    </row>
    <row r="440" spans="1:25" x14ac:dyDescent="0.2">
      <c r="A440" s="3">
        <v>992</v>
      </c>
      <c r="B440" s="4" t="s">
        <v>2686</v>
      </c>
      <c r="C440" s="3" t="s">
        <v>2687</v>
      </c>
      <c r="D440" s="3" t="str">
        <f>VLOOKUP(A440,Hebrew!A:C,3,0)</f>
        <v>בית משפט אמריקאי קובע כי 'סביר' שהלחימה בעזה נחשבת לרצח עם</v>
      </c>
      <c r="E440" s="3" t="s">
        <v>2688</v>
      </c>
      <c r="F440" s="3" t="str">
        <f>VLOOKUP($A440,Hebrew!$A:$S,4,0)</f>
        <v>בית משפט פדרלי בקליפורניה קבע שהקמפיין הצבאי של ישראל בעזה "עשוי להיות" ג'נוסייד, תוך דחיית תביעה שנועדה לעצור את התמיכה הצבאית של ארה"ב בישראל בשל בעיות סמכות שיפוט.</v>
      </c>
      <c r="G440" s="3" t="s">
        <v>2689</v>
      </c>
      <c r="H440" s="3" t="s">
        <v>1280</v>
      </c>
      <c r="I440" s="3" t="s">
        <v>1280</v>
      </c>
      <c r="J440" s="3" t="s">
        <v>110</v>
      </c>
      <c r="K440" s="3" t="s">
        <v>2597</v>
      </c>
      <c r="L440" s="3" t="str">
        <f>VLOOKUP($A440,Hebrew!$A:$S,9,0)</f>
        <v>ג'וליאן בורגר</v>
      </c>
      <c r="M440" s="2"/>
      <c r="N440" s="6" t="s">
        <v>2690</v>
      </c>
      <c r="O440" s="3" t="s">
        <v>26</v>
      </c>
      <c r="P440" s="3" t="s">
        <v>2691</v>
      </c>
      <c r="Q440" s="3" t="str">
        <f>VLOOKUP($A440,Hebrew!$A:$S,13,0)</f>
        <v>קליפורניה</v>
      </c>
      <c r="R440" s="3" t="s">
        <v>1215</v>
      </c>
      <c r="S440" s="3" t="s">
        <v>29</v>
      </c>
      <c r="T440" s="3" t="s">
        <v>2692</v>
      </c>
      <c r="U440" s="3" t="s">
        <v>2693</v>
      </c>
      <c r="V440" s="3" t="s">
        <v>357</v>
      </c>
      <c r="W440" s="2"/>
      <c r="X440" s="2"/>
      <c r="Y440" s="2"/>
    </row>
    <row r="441" spans="1:25" x14ac:dyDescent="0.2">
      <c r="A441" s="3">
        <v>940</v>
      </c>
      <c r="B441" s="4" t="s">
        <v>2694</v>
      </c>
      <c r="C441" s="3" t="s">
        <v>2695</v>
      </c>
      <c r="D441" s="3" t="str">
        <f>VLOOKUP(A441,Hebrew!A:C,3,0)</f>
        <v>סקר יולי 2024: שיא של שני שלישים מהישראלים מגדירים את המצב הכללי כרע או רע מאוד</v>
      </c>
      <c r="E441" s="3" t="s">
        <v>2696</v>
      </c>
      <c r="F441" s="3" t="str">
        <f>VLOOKUP($A441,Hebrew!$A:$S,4,0)</f>
        <v>סקר שנערך ביולי 2024 מגלה ששני שלישים מהציבור בישראל רואים את המצב הכללי כרע או רע מאוד, עם חוסר שביעות רצון ניכר כלפי הממשלה חוצה מחנות פוליטיים. הסקר כולל שאלות לגבי עמדות כלפי הממשלה, תנועת המחאה, עסקת חטופים פוטנציאלית, לבנון ונתניהו.</v>
      </c>
      <c r="G441" s="3" t="s">
        <v>2697</v>
      </c>
      <c r="H441" s="3" t="s">
        <v>2698</v>
      </c>
      <c r="I441" s="3" t="s">
        <v>2699</v>
      </c>
      <c r="J441" s="3" t="s">
        <v>57</v>
      </c>
      <c r="K441" s="3" t="s">
        <v>2581</v>
      </c>
      <c r="L441" s="3" t="str">
        <f>VLOOKUP($A441,Hebrew!$A:$S,9,0)</f>
        <v>תמר הרמן, ליאור יוחנני, ירון קפלן</v>
      </c>
      <c r="M441" s="2"/>
      <c r="N441" s="2"/>
      <c r="O441" s="3" t="s">
        <v>39</v>
      </c>
      <c r="P441" s="3" t="s">
        <v>60</v>
      </c>
      <c r="Q441" s="3" t="str">
        <f>VLOOKUP($A441,Hebrew!$A:$S,13,0)</f>
        <v>ישראל</v>
      </c>
      <c r="R441" s="3" t="s">
        <v>2563</v>
      </c>
      <c r="S441" s="3" t="s">
        <v>29</v>
      </c>
      <c r="T441" s="3" t="s">
        <v>2700</v>
      </c>
      <c r="U441" s="3" t="s">
        <v>253</v>
      </c>
      <c r="V441" s="3" t="s">
        <v>2701</v>
      </c>
      <c r="W441" s="2"/>
      <c r="X441" s="2"/>
      <c r="Y441" s="2"/>
    </row>
    <row r="442" spans="1:25" x14ac:dyDescent="0.2">
      <c r="A442" s="3">
        <v>894</v>
      </c>
      <c r="B442" s="4" t="s">
        <v>2702</v>
      </c>
      <c r="C442" s="3" t="s">
        <v>2703</v>
      </c>
      <c r="D442" s="3" t="str">
        <f>VLOOKUP(A442,Hebrew!A:C,3,0)</f>
        <v>פסימיות בנוגע ל'יום שאחרי' מלחמת עזה נפוצה בקרב חוקרי המזרח התיכון</v>
      </c>
      <c r="E442" s="3" t="s">
        <v>2704</v>
      </c>
      <c r="F442" s="3" t="str">
        <f>VLOOKUP($A442,Hebrew!$A:$S,4,0)</f>
        <v>סקר של מעל 750 חוקרי המזרח התיכון חושף פסימיות נרחבת לגבי הסיכויים לפתרון שתי המדינות לאחר מלחמת עזה, כאשר רבים מאמינים שהלחימה תוביל לעקירה המונית של פלסטינים. 57% מאמינים שהמטרה העיקרית של ישראל היא להפוך את עזה לבלתי ניתנת למגורים ו-75% הגדירו את פעולות ישראל כ"רצח עם" או "פשעי מלחמה חמורים הדומים לרצח עם".</v>
      </c>
      <c r="G442" s="3" t="s">
        <v>2705</v>
      </c>
      <c r="H442" s="3" t="s">
        <v>431</v>
      </c>
      <c r="I442" s="3" t="s">
        <v>2706</v>
      </c>
      <c r="J442" s="3" t="s">
        <v>2707</v>
      </c>
      <c r="K442" s="3" t="s">
        <v>2708</v>
      </c>
      <c r="L442" s="3" t="str">
        <f>VLOOKUP($A442,Hebrew!$A:$S,9,0)</f>
        <v>מרק לינץ', שיבלי תלחמי</v>
      </c>
      <c r="M442" s="2"/>
      <c r="N442" s="6" t="s">
        <v>2709</v>
      </c>
      <c r="O442" s="3" t="s">
        <v>26</v>
      </c>
      <c r="P442" s="3" t="s">
        <v>357</v>
      </c>
      <c r="Q442" s="3" t="str">
        <f>VLOOKUP($A442,Hebrew!$A:$S,13,0)</f>
        <v>ארה"ב</v>
      </c>
      <c r="R442" s="3" t="s">
        <v>2563</v>
      </c>
      <c r="S442" s="3" t="s">
        <v>29</v>
      </c>
      <c r="T442" s="3" t="s">
        <v>2710</v>
      </c>
      <c r="U442" s="3" t="s">
        <v>1374</v>
      </c>
      <c r="V442" s="3" t="s">
        <v>357</v>
      </c>
      <c r="W442" s="3" t="s">
        <v>2533</v>
      </c>
      <c r="X442" s="2"/>
      <c r="Y442" s="2"/>
    </row>
    <row r="443" spans="1:25" x14ac:dyDescent="0.2">
      <c r="A443" s="3">
        <v>218</v>
      </c>
      <c r="B443" s="4" t="s">
        <v>2711</v>
      </c>
      <c r="C443" s="3" t="s">
        <v>2712</v>
      </c>
      <c r="D443" s="3" t="str">
        <f>VLOOKUP(A443,Hebrew!A:C,3,0)</f>
        <v>ישראלים אומרים שהגיע הזמן שהאחראים על ה-7 באוקטובר יתפטרו.</v>
      </c>
      <c r="E443" s="3" t="s">
        <v>2713</v>
      </c>
      <c r="F443" s="3" t="str">
        <f>VLOOKUP($A443,Hebrew!$A:$S,4,0)</f>
        <v>סקר מגלה כי רוב משמעותי של ישראלים יהודים וערבים מאמין כי מי שאחראי לכישלון של 7 באוקטובר צריך להתפטר בעקבות המלחמה המתמשכת בעזה. הסקר גם מגלה כי 64% מהיהודים הישראלים ראו מעט או לא ראו תמונות או סרטונים על ההרס הנרחב בעזה. שאלות נוספות בסקר מתמקדות בביטחון אישי, ההשלכות של ההתקפה האיראנית על ישראל, הערכה של מלחמת עזה ושאלת העתיד של רצועת עזה.</v>
      </c>
      <c r="G443" s="3" t="s">
        <v>705</v>
      </c>
      <c r="H443" s="3" t="s">
        <v>2714</v>
      </c>
      <c r="I443" s="3" t="s">
        <v>1031</v>
      </c>
      <c r="J443" s="3" t="s">
        <v>57</v>
      </c>
      <c r="K443" s="3" t="s">
        <v>2581</v>
      </c>
      <c r="L443" s="3" t="str">
        <f>VLOOKUP($A443,Hebrew!$A:$S,9,0)</f>
        <v>תמר הרמן, ליאור יוחנני, ירון קפלן</v>
      </c>
      <c r="M443" s="2"/>
      <c r="N443" s="2"/>
      <c r="O443" s="3" t="s">
        <v>26</v>
      </c>
      <c r="P443" s="3" t="s">
        <v>60</v>
      </c>
      <c r="Q443" s="3" t="str">
        <f>VLOOKUP($A443,Hebrew!$A:$S,13,0)</f>
        <v>ישראל</v>
      </c>
      <c r="R443" s="3" t="s">
        <v>2563</v>
      </c>
      <c r="S443" s="3" t="s">
        <v>29</v>
      </c>
      <c r="T443" s="3" t="s">
        <v>2715</v>
      </c>
      <c r="U443" s="3" t="s">
        <v>2716</v>
      </c>
      <c r="V443" s="3" t="s">
        <v>1459</v>
      </c>
      <c r="W443" s="2"/>
      <c r="X443" s="2"/>
      <c r="Y443" s="2"/>
    </row>
    <row r="444" spans="1:25" x14ac:dyDescent="0.2">
      <c r="A444" s="3">
        <v>123</v>
      </c>
      <c r="B444" s="4" t="s">
        <v>2717</v>
      </c>
      <c r="C444" s="3" t="s">
        <v>2718</v>
      </c>
      <c r="D444" s="3" t="str">
        <f>VLOOKUP(A444,Hebrew!A:C,3,0)</f>
        <v>סקר: חצי מהציבור הישראלי רואה סיכוי נמוך לניצחון מוחלט על חמאס</v>
      </c>
      <c r="E444" s="3" t="s">
        <v>2719</v>
      </c>
      <c r="F444" s="3" t="str">
        <f>VLOOKUP($A444,Hebrew!$A:$S,4,0)</f>
        <v>הסקר מגלה שיותר מחצי מהציבור רואה סיכויים נמוכים ל"ניצחון מוחלט" במלחמה, עם הבדל ניכר בדעות בקרב משיבים יהודים לערבים לגבי סיוע הומניטרי לעזה. כ-68% מהישראלים היהודים מתנגדים לאפשר סיוע הומניטרי לעזה. שאלות נוספות כוללות את הסיכויים ל"ניצחון מוחלט" במלחמה, הסיכוי למדינה פלסטינית, דירוג האשראי של ישראל והמחאות הפנימיות בתוך ישראל.</v>
      </c>
      <c r="G444" s="3" t="s">
        <v>1212</v>
      </c>
      <c r="H444" s="3" t="s">
        <v>1275</v>
      </c>
      <c r="I444" s="3" t="s">
        <v>2168</v>
      </c>
      <c r="J444" s="3" t="s">
        <v>57</v>
      </c>
      <c r="K444" s="3" t="s">
        <v>2684</v>
      </c>
      <c r="L444" s="3" t="str">
        <f>VLOOKUP($A444,Hebrew!$A:$S,9,0)</f>
        <v>תמר הרמן, ירון קפלן</v>
      </c>
      <c r="M444" s="2"/>
      <c r="N444" s="2"/>
      <c r="O444" s="3" t="s">
        <v>39</v>
      </c>
      <c r="P444" s="3" t="s">
        <v>60</v>
      </c>
      <c r="Q444" s="3" t="str">
        <f>VLOOKUP($A444,Hebrew!$A:$S,13,0)</f>
        <v>ישראל</v>
      </c>
      <c r="R444" s="3" t="s">
        <v>2563</v>
      </c>
      <c r="S444" s="3" t="s">
        <v>397</v>
      </c>
      <c r="T444" s="3" t="s">
        <v>2720</v>
      </c>
      <c r="U444" s="3" t="s">
        <v>2721</v>
      </c>
      <c r="V444" s="3" t="s">
        <v>60</v>
      </c>
      <c r="W444" s="3" t="s">
        <v>1460</v>
      </c>
      <c r="X444" s="2"/>
      <c r="Y444" s="2"/>
    </row>
    <row r="445" spans="1:25" x14ac:dyDescent="0.2">
      <c r="A445" s="3">
        <v>195</v>
      </c>
      <c r="B445" s="4" t="s">
        <v>2722</v>
      </c>
      <c r="C445" s="3" t="s">
        <v>2723</v>
      </c>
      <c r="D445" s="3" t="str">
        <f>VLOOKUP(A445,Hebrew!A:C,3,0)</f>
        <v>רעב? המחקר שקובע: זמינות מזון בעזה – 3,374 קלוריות לאדם</v>
      </c>
      <c r="E445" s="3" t="s">
        <v>2724</v>
      </c>
      <c r="F445" s="3" t="str">
        <f>VLOOKUP($A445,Hebrew!$A:$S,4,0)</f>
        <v>מחקר חדש של חוקרים מאוניברסיטת ירושלים ומאוניברסיטת בן גוריון מצביע על כך שזמינות המזון בעזה בין ינואר לאפריל 2024 עומדת בסטנדרטים הבינלאומיים, ואף עולה עליהם. וזאת, בניגוד לטענות על משבר הומניטרי.</v>
      </c>
      <c r="G445" s="3" t="s">
        <v>2706</v>
      </c>
      <c r="H445" s="3" t="s">
        <v>2725</v>
      </c>
      <c r="I445" s="3" t="s">
        <v>683</v>
      </c>
      <c r="J445" s="3" t="s">
        <v>258</v>
      </c>
      <c r="K445" s="3" t="s">
        <v>2603</v>
      </c>
      <c r="L445" s="3" t="str">
        <f>VLOOKUP($A445,Hebrew!$A:$S,9,0)</f>
        <v>איתמר אייכנר</v>
      </c>
      <c r="M445" s="2"/>
      <c r="N445" s="4" t="s">
        <v>2726</v>
      </c>
      <c r="O445" s="3" t="s">
        <v>39</v>
      </c>
      <c r="P445" s="3" t="s">
        <v>27</v>
      </c>
      <c r="Q445" s="3" t="str">
        <f>VLOOKUP($A445,Hebrew!$A:$S,13,0)</f>
        <v>רצועת עזה</v>
      </c>
      <c r="R445" s="3" t="s">
        <v>72</v>
      </c>
      <c r="S445" s="3" t="s">
        <v>29</v>
      </c>
      <c r="T445" s="3" t="s">
        <v>2727</v>
      </c>
      <c r="U445" s="3" t="s">
        <v>1973</v>
      </c>
      <c r="V445" s="3" t="s">
        <v>27</v>
      </c>
      <c r="W445" s="2"/>
      <c r="X445" s="2"/>
      <c r="Y445" s="2"/>
    </row>
    <row r="446" spans="1:25" x14ac:dyDescent="0.2">
      <c r="A446" s="3">
        <v>41</v>
      </c>
      <c r="B446" s="4" t="s">
        <v>2728</v>
      </c>
      <c r="C446" s="3" t="s">
        <v>2729</v>
      </c>
      <c r="D446" s="3" t="str">
        <f>VLOOKUP(A446,Hebrew!A:C,3,0)</f>
        <v>הרציחות השקטות בעזה: חורבן מערכת הבריאות ברפיח [דו"ח]</v>
      </c>
      <c r="E446" s="3" t="s">
        <v>2730</v>
      </c>
      <c r="F446" s="3" t="str">
        <f>VLOOKUP($A446,Hebrew!$A:$S,4,0)</f>
        <v>הדו"ח של רופאים ללא גבולות מדגיש את ההידרדרות החמורה במערכת הבריאות של עזה, שמובילה לעלייה במקרי המוות שניתן היה למנוע, ולתת תזונה בקרב ילדים ברפיח, על רקע הסכסוך המתמשך.</v>
      </c>
      <c r="G446" s="3" t="s">
        <v>2327</v>
      </c>
      <c r="H446" s="3" t="s">
        <v>2731</v>
      </c>
      <c r="I446" s="3" t="s">
        <v>810</v>
      </c>
      <c r="J446" s="3" t="s">
        <v>48</v>
      </c>
      <c r="K446" s="3" t="s">
        <v>2732</v>
      </c>
      <c r="L446" s="3" t="str">
        <f>VLOOKUP($A446,Hebrew!$A:$S,9,0)</f>
        <v>רופאים ללא גבולות</v>
      </c>
      <c r="M446" s="2"/>
      <c r="N446" s="6" t="s">
        <v>2733</v>
      </c>
      <c r="O446" s="3" t="s">
        <v>26</v>
      </c>
      <c r="P446" s="3" t="s">
        <v>27</v>
      </c>
      <c r="Q446" s="3" t="str">
        <f>VLOOKUP($A446,Hebrew!$A:$S,13,0)</f>
        <v>רצועת עזה</v>
      </c>
      <c r="R446" s="3" t="s">
        <v>28</v>
      </c>
      <c r="S446" s="3" t="s">
        <v>29</v>
      </c>
      <c r="T446" s="3" t="s">
        <v>2734</v>
      </c>
      <c r="U446" s="3" t="s">
        <v>612</v>
      </c>
      <c r="V446" s="3" t="s">
        <v>2735</v>
      </c>
      <c r="W446" s="3" t="s">
        <v>1160</v>
      </c>
      <c r="X446" s="2"/>
      <c r="Y446" s="2"/>
    </row>
    <row r="447" spans="1:25" x14ac:dyDescent="0.2">
      <c r="A447" s="3">
        <v>27</v>
      </c>
      <c r="B447" s="4" t="s">
        <v>2736</v>
      </c>
      <c r="C447" s="3" t="s">
        <v>2737</v>
      </c>
      <c r="D447" s="3" t="str">
        <f>VLOOKUP(A447,Hebrew!A:C,3,0)</f>
        <v>זמן רעב</v>
      </c>
      <c r="E447" s="3" t="s">
        <v>2738</v>
      </c>
      <c r="F447" s="3" t="str">
        <f>VLOOKUP($A447,Hebrew!$A:$S,4,0)</f>
        <v>המאמר טוען כי בעיות המזון והרעב ממחישות בבירור שעזה אינה טריטוריה פוליטית אלא כלוב המוני, אליו מוכנס מזון. הוא מבקר את מדידות הקלוריות.</v>
      </c>
      <c r="G447" s="3" t="s">
        <v>677</v>
      </c>
      <c r="H447" s="2"/>
      <c r="I447" s="2"/>
      <c r="J447" s="3" t="s">
        <v>2739</v>
      </c>
      <c r="K447" s="3" t="s">
        <v>2740</v>
      </c>
      <c r="L447" s="3" t="str">
        <f>VLOOKUP($A447,Hebrew!$A:$S,9,0)</f>
        <v>עלמה איגרא</v>
      </c>
      <c r="M447" s="2"/>
      <c r="N447" s="2"/>
      <c r="O447" s="3" t="s">
        <v>39</v>
      </c>
      <c r="P447" s="3" t="s">
        <v>27</v>
      </c>
      <c r="Q447" s="3" t="str">
        <f>VLOOKUP($A447,Hebrew!$A:$S,13,0)</f>
        <v>רצועת עזה</v>
      </c>
      <c r="R447" s="3" t="s">
        <v>61</v>
      </c>
      <c r="S447" s="3" t="s">
        <v>29</v>
      </c>
      <c r="T447" s="3" t="s">
        <v>2741</v>
      </c>
      <c r="U447" s="3" t="s">
        <v>2742</v>
      </c>
      <c r="V447" s="3" t="s">
        <v>27</v>
      </c>
      <c r="W447" s="2"/>
      <c r="X447" s="2"/>
      <c r="Y447" s="2"/>
    </row>
    <row r="448" spans="1:25" x14ac:dyDescent="0.2">
      <c r="A448" s="3">
        <v>33</v>
      </c>
      <c r="B448" s="4" t="s">
        <v>2743</v>
      </c>
      <c r="C448" s="3" t="s">
        <v>2744</v>
      </c>
      <c r="D448" s="3" t="str">
        <f>VLOOKUP(A448,Hebrew!A:C,3,0)</f>
        <v>תכנון השיקום וההתאוששות של עזה לאחר המלחמה</v>
      </c>
      <c r="E448" s="3" t="s">
        <v>2745</v>
      </c>
      <c r="F448" s="3" t="str">
        <f>VLOOKUP($A448,Hebrew!$A:$S,4,0)</f>
        <v>המאמר דן במאמצי השיקום וההתאוששות לאחר המלחמה בעזה בעקבות ההרס הנרחב. ההערכות כוללות מחירים ולוח זמנים לשיקום עזה.</v>
      </c>
      <c r="G448" s="3" t="s">
        <v>2746</v>
      </c>
      <c r="H448" s="3" t="s">
        <v>2608</v>
      </c>
      <c r="I448" s="2"/>
      <c r="J448" s="3" t="s">
        <v>275</v>
      </c>
      <c r="K448" s="3" t="s">
        <v>2747</v>
      </c>
      <c r="L448" s="3" t="str">
        <f>VLOOKUP($A448,Hebrew!$A:$S,9,0)</f>
        <v>@UN_News_Centre</v>
      </c>
      <c r="M448" s="2"/>
      <c r="N448" s="2"/>
      <c r="O448" s="3" t="s">
        <v>26</v>
      </c>
      <c r="P448" s="3" t="s">
        <v>27</v>
      </c>
      <c r="Q448" s="3" t="str">
        <f>VLOOKUP($A448,Hebrew!$A:$S,13,0)</f>
        <v>רצועת עזה</v>
      </c>
      <c r="R448" s="3" t="s">
        <v>1215</v>
      </c>
      <c r="S448" s="3" t="s">
        <v>29</v>
      </c>
      <c r="T448" s="3" t="s">
        <v>2748</v>
      </c>
      <c r="U448" s="3" t="s">
        <v>275</v>
      </c>
      <c r="V448" s="3" t="s">
        <v>27</v>
      </c>
      <c r="W448" s="2"/>
      <c r="X448" s="2"/>
      <c r="Y448" s="2"/>
    </row>
    <row r="449" spans="1:25" x14ac:dyDescent="0.2">
      <c r="A449" s="3">
        <v>31</v>
      </c>
      <c r="B449" s="4" t="s">
        <v>2749</v>
      </c>
      <c r="C449" s="3" t="s">
        <v>2750</v>
      </c>
      <c r="D449" s="3" t="str">
        <f>VLOOKUP(A449,Hebrew!A:C,3,0)</f>
        <v>5,500 נשים בעזה עומדות ללדת 'במרוץ נגד המוות'</v>
      </c>
      <c r="E449" s="3" t="s">
        <v>2751</v>
      </c>
      <c r="F449" s="3" t="str">
        <f>VLOOKUP($A449,Hebrew!$A:$S,4,0)</f>
        <v>ראיון עם גורם רשמי בקרן האו"ם לאוכלוסייה, הדן במצבן הקשה של 5,500 נשים בהריון בעזה. הן מתמודדות עם אתגרים רפואיים חמורים על רקע הסכסוך המתמשך. המאמר מדגיש את הצורך הדחוף בסיוע הומניטרי ובהפסקת אש.</v>
      </c>
      <c r="G449" s="3" t="s">
        <v>2752</v>
      </c>
      <c r="H449" s="3" t="s">
        <v>2608</v>
      </c>
      <c r="I449" s="3" t="s">
        <v>2753</v>
      </c>
      <c r="J449" s="3" t="s">
        <v>275</v>
      </c>
      <c r="K449" s="3" t="s">
        <v>2747</v>
      </c>
      <c r="L449" s="3" t="str">
        <f>VLOOKUP($A449,Hebrew!$A:$S,9,0)</f>
        <v>@UN_News_Centre</v>
      </c>
      <c r="M449" s="2"/>
      <c r="N449" s="2"/>
      <c r="O449" s="3" t="s">
        <v>26</v>
      </c>
      <c r="P449" s="3" t="s">
        <v>27</v>
      </c>
      <c r="Q449" s="3" t="str">
        <f>VLOOKUP($A449,Hebrew!$A:$S,13,0)</f>
        <v>רצועת עזה</v>
      </c>
      <c r="R449" s="3" t="s">
        <v>1215</v>
      </c>
      <c r="S449" s="3" t="s">
        <v>29</v>
      </c>
      <c r="T449" s="3" t="s">
        <v>2754</v>
      </c>
      <c r="U449" s="3" t="s">
        <v>2755</v>
      </c>
      <c r="V449" s="3" t="s">
        <v>27</v>
      </c>
      <c r="W449" s="2"/>
      <c r="X449" s="2"/>
      <c r="Y449" s="2"/>
    </row>
    <row r="450" spans="1:25" x14ac:dyDescent="0.2">
      <c r="A450" s="3">
        <v>1008</v>
      </c>
      <c r="B450" s="4" t="s">
        <v>19</v>
      </c>
      <c r="C450" s="3" t="s">
        <v>2756</v>
      </c>
      <c r="D450" s="3" t="str">
        <f>VLOOKUP(A450,Hebrew!A:C,3,0)</f>
        <v>דו"ח חדש של האו"ם: השפעות המלחמה החזירו את ההתפתחות בעזה בלא פחות מ-69 שנים לאחור</v>
      </c>
      <c r="E450" s="3" t="s">
        <v>2757</v>
      </c>
      <c r="F450" s="3" t="str">
        <f>VLOOKUP($A450,Hebrew!$A:$S,4,0)</f>
        <v>דו"ח חדש של תוכנית הפיתוח של האומות המאוחדות (UNDP) והוועדה הכלכלית והחברתית של האומות המאוחדות למערב אסיה (UNESCWA) מעריך כי ההשפעות של המלחמה החזירו את ההתפתחות בעזה לאחור בלא פחות מ-69 שנים, עם תחזיות לעלייה בעוני ולצמצום כלכלי משמעותי. ההערכה מצביעה על כך, שגם אם סיוע הומניטרי יינתן בכל שנה, הכלכלה עשויה שלא לשוב לרמתה שלפני המשבר במשך עשור או יותר. הדו"ח כולל תרחישים שונים לתוכניות התאוששות מוקדמות, ומחשב את קצב ההתפתחות תחת כל תרחיש.</v>
      </c>
      <c r="G450" s="3" t="s">
        <v>22</v>
      </c>
      <c r="H450" s="2"/>
      <c r="I450" s="2"/>
      <c r="J450" s="3" t="s">
        <v>23</v>
      </c>
      <c r="K450" s="3" t="s">
        <v>2758</v>
      </c>
      <c r="L450" s="3" t="str">
        <f>VLOOKUP($A450,Hebrew!$A:$S,9,0)</f>
        <v>United Nations Development Programme, UN Economic and Social Commission for Western Asia</v>
      </c>
      <c r="M450" s="2"/>
      <c r="N450" s="2"/>
      <c r="O450" s="3" t="s">
        <v>26</v>
      </c>
      <c r="P450" s="3" t="s">
        <v>27</v>
      </c>
      <c r="Q450" s="3" t="str">
        <f>VLOOKUP($A450,Hebrew!$A:$S,13,0)</f>
        <v>רצועת עזה</v>
      </c>
      <c r="R450" s="3" t="s">
        <v>28</v>
      </c>
      <c r="S450" s="3" t="s">
        <v>29</v>
      </c>
      <c r="T450" s="3" t="s">
        <v>2759</v>
      </c>
      <c r="U450" s="3" t="s">
        <v>275</v>
      </c>
      <c r="V450" s="3" t="s">
        <v>27</v>
      </c>
      <c r="W450" s="2"/>
      <c r="X450" s="2"/>
      <c r="Y450" s="2"/>
    </row>
    <row r="451" spans="1:25" x14ac:dyDescent="0.2">
      <c r="A451" s="3">
        <v>1042</v>
      </c>
      <c r="B451" s="4" t="s">
        <v>2760</v>
      </c>
      <c r="C451" s="3" t="s">
        <v>2761</v>
      </c>
      <c r="D451" s="3" t="str">
        <f>VLOOKUP(A451,Hebrew!A:C,3,0)</f>
        <v>פלסטיני נהרג במהלך מהומות מתנחלים ישראלים בגדה המערבית, אחרים נפצעו במהלך הפרעות.</v>
      </c>
      <c r="E451" s="3" t="s">
        <v>2762</v>
      </c>
      <c r="F451" s="3" t="str">
        <f>VLOOKUP($A451,Hebrew!$A:$S,4,0)</f>
        <v>גבר פלסטיני נהרג ו-25 אחרים נפצעו בכפר בגדה המערבית, במהלך מהומות אלימות של מתנחלים ישראלים, לאחר היעלמותו של נער בן 14 מהתנחלות. גורמי בריאות פלסטיניים אומרים שיותר מ-460 פלסטינים נהרגו בגד המערבית מירי ישראלי מאז פרוץ המלחמה באוקטובר.</v>
      </c>
      <c r="G451" s="3" t="s">
        <v>2763</v>
      </c>
      <c r="H451" s="3" t="s">
        <v>1222</v>
      </c>
      <c r="I451" s="3" t="s">
        <v>2763</v>
      </c>
      <c r="J451" s="3" t="s">
        <v>1684</v>
      </c>
      <c r="K451" s="3" t="s">
        <v>2764</v>
      </c>
      <c r="L451" s="3" t="str">
        <f>VLOOKUP($A451,Hebrew!$A:$S,9,0)</f>
        <v>Jack Jeffery and Julia Frankel</v>
      </c>
      <c r="M451" s="2"/>
      <c r="N451" s="2"/>
      <c r="O451" s="3" t="s">
        <v>26</v>
      </c>
      <c r="P451" s="3" t="s">
        <v>2765</v>
      </c>
      <c r="Q451" s="3" t="str">
        <f>VLOOKUP($A451,Hebrew!$A:$S,13,0)</f>
        <v>אל-מועייר, נפת רמאללה</v>
      </c>
      <c r="R451" s="3" t="s">
        <v>1215</v>
      </c>
      <c r="S451" s="3" t="s">
        <v>29</v>
      </c>
      <c r="T451" s="3" t="s">
        <v>2766</v>
      </c>
      <c r="U451" s="2"/>
      <c r="V451" s="3" t="s">
        <v>245</v>
      </c>
      <c r="W451" s="2"/>
      <c r="X451" s="2"/>
      <c r="Y451" s="2"/>
    </row>
    <row r="452" spans="1:25" x14ac:dyDescent="0.2">
      <c r="A452" s="3">
        <v>708</v>
      </c>
      <c r="B452" s="4" t="s">
        <v>2767</v>
      </c>
      <c r="C452" s="3" t="s">
        <v>2768</v>
      </c>
      <c r="D452" s="3" t="str">
        <f>VLOOKUP(A452,Hebrew!A:C,3,0)</f>
        <v>אישה פלסטינית גילתה שהחיילים הישראלים חרטו בסכין מגן דוד על גבו של בעלה לאחר שעינו אותו.</v>
      </c>
      <c r="E452" s="3" t="s">
        <v>2769</v>
      </c>
      <c r="F452" s="3" t="str">
        <f>VLOOKUP($A452,Hebrew!$A:$S,4,0)</f>
        <v>אישה פלסטינית גילתה שחיילים ישראלים חרטו בסכין מגן דוד על גבו של בעלה, לאחר שעינו אותו.</v>
      </c>
      <c r="G452" s="3" t="s">
        <v>523</v>
      </c>
      <c r="H452" s="3" t="s">
        <v>523</v>
      </c>
      <c r="I452" s="2"/>
      <c r="J452" s="3" t="s">
        <v>2087</v>
      </c>
      <c r="K452" s="3" t="s">
        <v>2770</v>
      </c>
      <c r="L452" s="3" t="str">
        <f>VLOOKUP($A452,Hebrew!$A:$S,9,0)</f>
        <v>landpalestine, grassrootslaw , zeenaqel and lowkeyonline</v>
      </c>
      <c r="M452" s="2"/>
      <c r="N452" s="2"/>
      <c r="O452" s="3" t="s">
        <v>26</v>
      </c>
      <c r="P452" s="3" t="s">
        <v>2771</v>
      </c>
      <c r="Q452" s="3" t="str">
        <f>VLOOKUP($A452,Hebrew!$A:$S,13,0)</f>
        <v>דרום רצועת עזה</v>
      </c>
      <c r="R452" s="3" t="s">
        <v>396</v>
      </c>
      <c r="S452" s="3" t="s">
        <v>700</v>
      </c>
      <c r="T452" s="3" t="s">
        <v>2772</v>
      </c>
      <c r="U452" s="3" t="s">
        <v>43</v>
      </c>
      <c r="V452" s="3" t="s">
        <v>2771</v>
      </c>
      <c r="W452" s="2"/>
      <c r="X452" s="2"/>
      <c r="Y452" s="2"/>
    </row>
    <row r="453" spans="1:25" x14ac:dyDescent="0.2">
      <c r="A453" s="3">
        <v>230</v>
      </c>
      <c r="B453" s="4" t="s">
        <v>2773</v>
      </c>
      <c r="C453" s="3" t="s">
        <v>2774</v>
      </c>
      <c r="D453" s="3" t="str">
        <f>VLOOKUP(A453,Hebrew!A:C,3,0)</f>
        <v>איך אני שורד את הג'נוסייד נגד עמי</v>
      </c>
      <c r="E453" s="3" t="s">
        <v>2775</v>
      </c>
      <c r="F453" s="3" t="str">
        <f>VLOOKUP($A453,Hebrew!$A:$S,4,0)</f>
        <v>עדות אישית המתארת את החוויה הקשה של משפחה במהלך תקיפה אווירית בעזה, מדגישה את הטראומה והכאוס של חיים תחת איום של רצח עם וחוויית פגיעות מרובות.</v>
      </c>
      <c r="G453" s="3" t="s">
        <v>2369</v>
      </c>
      <c r="H453" s="3" t="s">
        <v>2776</v>
      </c>
      <c r="I453" s="2"/>
      <c r="J453" s="6" t="s">
        <v>2777</v>
      </c>
      <c r="K453" s="3" t="s">
        <v>2778</v>
      </c>
      <c r="L453" s="3" t="str">
        <f>VLOOKUP($A453,Hebrew!$A:$S,9,0)</f>
        <v>Heba Almaqadma</v>
      </c>
      <c r="M453" s="2"/>
      <c r="N453" s="2"/>
      <c r="O453" s="3" t="s">
        <v>26</v>
      </c>
      <c r="P453" s="3" t="s">
        <v>2779</v>
      </c>
      <c r="Q453" s="3" t="str">
        <f>VLOOKUP($A453,Hebrew!$A:$S,13,0)</f>
        <v>שכונת א-תוואם בצפון עזה</v>
      </c>
      <c r="R453" s="3" t="s">
        <v>1225</v>
      </c>
      <c r="S453" s="3" t="s">
        <v>29</v>
      </c>
      <c r="T453" s="3" t="s">
        <v>2780</v>
      </c>
      <c r="U453" s="3" t="s">
        <v>43</v>
      </c>
      <c r="V453" s="3" t="s">
        <v>2781</v>
      </c>
      <c r="W453" s="2"/>
      <c r="X453" s="2"/>
      <c r="Y453" s="2"/>
    </row>
    <row r="454" spans="1:25" x14ac:dyDescent="0.2">
      <c r="A454" s="3">
        <v>1812</v>
      </c>
      <c r="B454" s="4" t="s">
        <v>2782</v>
      </c>
      <c r="C454" s="3" t="s">
        <v>2783</v>
      </c>
      <c r="D454" s="3" t="str">
        <f>VLOOKUP(A454,Hebrew!A:C,3,0)</f>
        <v>סקר מראה כי יותר משליש מהאמריקאים מאמינים שישראל מבצעת רצח עם</v>
      </c>
      <c r="E454" s="3" t="s">
        <v>2784</v>
      </c>
      <c r="F454" s="3" t="str">
        <f>VLOOKUP($A454,Hebrew!$A:$S,4,0)</f>
        <v>סקר מגלה שיותר משליש מהאמריקאים מאמינים שישראל מבצעת רצח עם נגד הפלסטינים, מה שמדגיש פערים פוליטיים ודוריים משמעותיים בדעות. כמעט חצי מהנשאלים בגיל 18-29, 49%, אומרים שישראל מבצעת רצח עם. המספרים דומים באופן כללי לדמוקרטים רשומים. הסקר מתפרסם לפני ההחלטה הזמנית של בית הדין הבינלאומי לצדק, בתיק של רצח עם, אשר הוגש נגד ישראל על ידי דרום אפריקה.</v>
      </c>
      <c r="G454" s="3" t="s">
        <v>657</v>
      </c>
      <c r="H454" s="3" t="s">
        <v>2213</v>
      </c>
      <c r="I454" s="3" t="s">
        <v>1087</v>
      </c>
      <c r="J454" s="3" t="s">
        <v>110</v>
      </c>
      <c r="K454" s="3" t="s">
        <v>2785</v>
      </c>
      <c r="L454" s="3" t="str">
        <f>VLOOKUP($A454,Hebrew!$A:$S,9,0)</f>
        <v>Richard Luscombe</v>
      </c>
      <c r="M454" s="2"/>
      <c r="N454" s="4" t="s">
        <v>2786</v>
      </c>
      <c r="O454" s="3" t="s">
        <v>26</v>
      </c>
      <c r="P454" s="3" t="s">
        <v>95</v>
      </c>
      <c r="Q454" s="3" t="str">
        <f>VLOOKUP($A454,Hebrew!$A:$S,13,0)</f>
        <v>ארה"ב</v>
      </c>
      <c r="R454" s="3" t="s">
        <v>2563</v>
      </c>
      <c r="S454" s="3" t="s">
        <v>29</v>
      </c>
      <c r="T454" s="3" t="s">
        <v>2787</v>
      </c>
      <c r="U454" s="3" t="s">
        <v>2788</v>
      </c>
      <c r="V454" s="3" t="s">
        <v>1459</v>
      </c>
      <c r="W454" s="2"/>
      <c r="X454" s="2"/>
      <c r="Y454" s="2"/>
    </row>
    <row r="455" spans="1:25" x14ac:dyDescent="0.2">
      <c r="A455" s="3">
        <v>942</v>
      </c>
      <c r="B455" s="4" t="s">
        <v>2789</v>
      </c>
      <c r="C455" s="3" t="s">
        <v>2790</v>
      </c>
      <c r="D455" s="3" t="str">
        <f>VLOOKUP(A455,Hebrew!A:C,3,0)</f>
        <v>סקר ספטמבר 2024: יום השנה הראשון לאירועים של 7 באוקטובר ולמלחמה בעזה</v>
      </c>
      <c r="E455" s="3" t="s">
        <v>2791</v>
      </c>
      <c r="F455" s="3" t="str">
        <f>VLOOKUP($A455,Hebrew!$A:$S,4,0)</f>
        <v>סקר דעת קהל שנערך על ידי מכון הדמוקרטיה הישראלי חושף שינויים משמעותיים בתחושת הביטחון האישי ובתנאים הכלכליים של הציבור הישראלי שנה לאחר אירועי 7 באוקטובר ומלחמת "חרבות ברזל". 53% מהנשאלים סבורים שהגיע הזמן לסיים את המלחמה, בעיקר משום שהמלחמה מסכנת את החטופים. רוב היהודים הישראלים השמאלנים והמרכזיים ורוב אזרחי ישראל הפלסטינים סבורים שיש לסיים את המלחמה, בניגוד ל-27% בלבד מהיהודים הישראלים הימניים. רוב מוחלט של היהודים הישראלים מאמין שהצבא הישראלי התנהג באופן מוסרי במהלך המלחמה. רוב משמעותי של פלסטינים בעלי אזרחות ישראלית מאמין שהוא לא. הדעות לגבי החובה לחקור דיווחים על עינויים והתעללות במעוכבים פלסטינים מקיימות נטייה דומה.</v>
      </c>
      <c r="G455" s="3" t="s">
        <v>2792</v>
      </c>
      <c r="H455" s="3" t="s">
        <v>2793</v>
      </c>
      <c r="I455" s="3" t="s">
        <v>2794</v>
      </c>
      <c r="J455" s="3" t="s">
        <v>57</v>
      </c>
      <c r="K455" s="3" t="s">
        <v>2581</v>
      </c>
      <c r="L455" s="3" t="str">
        <f>VLOOKUP($A455,Hebrew!$A:$S,9,0)</f>
        <v>תמר הרמן, ליאור יוחנני, ירון קפלן</v>
      </c>
      <c r="M455" s="2"/>
      <c r="N455" s="2"/>
      <c r="O455" s="3" t="s">
        <v>39</v>
      </c>
      <c r="P455" s="3" t="s">
        <v>60</v>
      </c>
      <c r="Q455" s="3" t="str">
        <f>VLOOKUP($A455,Hebrew!$A:$S,13,0)</f>
        <v>ישראל</v>
      </c>
      <c r="R455" s="3" t="s">
        <v>28</v>
      </c>
      <c r="S455" s="3" t="s">
        <v>29</v>
      </c>
      <c r="T455" s="3" t="s">
        <v>2795</v>
      </c>
      <c r="U455" s="2"/>
      <c r="V455" s="3" t="s">
        <v>60</v>
      </c>
      <c r="W455" s="2"/>
      <c r="X455" s="2"/>
      <c r="Y455" s="2"/>
    </row>
    <row r="456" spans="1:25" x14ac:dyDescent="0.2">
      <c r="A456" s="3">
        <v>943</v>
      </c>
      <c r="B456" s="4" t="s">
        <v>2796</v>
      </c>
      <c r="C456" s="3" t="s">
        <v>2797</v>
      </c>
      <c r="D456" s="3" t="str">
        <f>VLOOKUP(A456,Hebrew!A:C,3,0)</f>
        <v>סקר מהיר: מבצע "חיצי הצפון" - ממצאים עיקריים</v>
      </c>
      <c r="E456" s="3" t="s">
        <v>2798</v>
      </c>
      <c r="F456" s="3" t="str">
        <f>VLOOKUP($A456,Hebrew!$A:$S,4,0)</f>
        <v>סקר דעת קהל שנערך על ידי מכון הדמוקרטיה הישראלי חושף תמיכה משמעותית בקרב הישראלים בפעולה צבאית נגד חיזבאללה על רקע הסכסוכים המתמשכים. המשיבים היהודים הישראלים הראו העדפה ברורה להעניק ביטחון ליישוב הצפוני של המדינה על ידי השמדת היכולות הצבאיות של חיזבאללה. לעומת זאת, פלסטינים בעלי אזרחות ישראלית תמכו באופן נחרץ בפתרון פוליטי המתווך על ידי הקהילה הבינלאומית, אשר יסיר את חיזבאללה מהגבול.</v>
      </c>
      <c r="G456" s="3" t="s">
        <v>2799</v>
      </c>
      <c r="H456" s="3" t="s">
        <v>2800</v>
      </c>
      <c r="I456" s="3" t="s">
        <v>156</v>
      </c>
      <c r="J456" s="3" t="s">
        <v>57</v>
      </c>
      <c r="K456" s="3" t="s">
        <v>2581</v>
      </c>
      <c r="L456" s="3" t="str">
        <f>VLOOKUP($A456,Hebrew!$A:$S,9,0)</f>
        <v>תמר הרמן, ליאור יוחנני, ירון קפלן</v>
      </c>
      <c r="M456" s="2"/>
      <c r="N456" s="2"/>
      <c r="O456" s="3" t="s">
        <v>39</v>
      </c>
      <c r="P456" s="3" t="s">
        <v>60</v>
      </c>
      <c r="Q456" s="3" t="str">
        <f>VLOOKUP($A456,Hebrew!$A:$S,13,0)</f>
        <v>ישראל</v>
      </c>
      <c r="R456" s="3" t="s">
        <v>28</v>
      </c>
      <c r="S456" s="3" t="s">
        <v>29</v>
      </c>
      <c r="T456" s="3" t="s">
        <v>2801</v>
      </c>
      <c r="U456" s="3" t="s">
        <v>2802</v>
      </c>
      <c r="V456" s="3" t="s">
        <v>2803</v>
      </c>
      <c r="W456" s="3" t="s">
        <v>1160</v>
      </c>
      <c r="X456" s="2"/>
      <c r="Y456" s="2"/>
    </row>
    <row r="457" spans="1:25" x14ac:dyDescent="0.2">
      <c r="A457" s="3">
        <v>1685</v>
      </c>
      <c r="B457" s="4" t="s">
        <v>2804</v>
      </c>
      <c r="C457" s="3" t="s">
        <v>2805</v>
      </c>
      <c r="D457" s="3" t="str">
        <f>VLOOKUP(A457,Hebrew!A:C,3,0)</f>
        <v>סקר: רוב האמריקאים אומרים שביידן צריך להפסיק את משלוחי הנשק לישראל</v>
      </c>
      <c r="E457" s="3" t="s">
        <v>2806</v>
      </c>
      <c r="F457" s="3" t="str">
        <f>VLOOKUP($A457,Hebrew!$A:$S,4,0)</f>
        <v>סקר עדכני של YouGov CEPR מצביע על כך שרוב האמריקאים מאמינים שעל הנשיא ביידן להפסיק את משלוחי הנשק לישראל עד שהיא תפסיק את ההתקפות על עזה, מה שמדגיש פער משמעותי בדעות בין המפלגות. פער רחב בין המפלגות, כאשר תומכי ביידן תומכים בחסימת משלוחי הנשק ברוב חזק של 62%–14%; תומכי טראמפ מתנגדים ברוב של 55%–30%.</v>
      </c>
      <c r="G457" s="3" t="s">
        <v>2163</v>
      </c>
      <c r="H457" s="3" t="s">
        <v>1002</v>
      </c>
      <c r="I457" s="3" t="s">
        <v>1727</v>
      </c>
      <c r="J457" s="3" t="s">
        <v>2807</v>
      </c>
      <c r="K457" s="3" t="s">
        <v>2807</v>
      </c>
      <c r="L457" s="3" t="str">
        <f>VLOOKUP($A457,Hebrew!$A:$S,9,0)</f>
        <v>מרכז למחקר כלכלי ומדיניות</v>
      </c>
      <c r="M457" s="2"/>
      <c r="N457" s="2"/>
      <c r="O457" s="3" t="s">
        <v>26</v>
      </c>
      <c r="P457" s="3" t="s">
        <v>357</v>
      </c>
      <c r="Q457" s="3" t="str">
        <f>VLOOKUP($A457,Hebrew!$A:$S,13,0)</f>
        <v>ארה"ב</v>
      </c>
      <c r="R457" s="3" t="s">
        <v>1694</v>
      </c>
      <c r="S457" s="3" t="s">
        <v>29</v>
      </c>
      <c r="T457" s="3" t="s">
        <v>2808</v>
      </c>
      <c r="U457" s="3" t="s">
        <v>95</v>
      </c>
      <c r="V457" s="3" t="s">
        <v>27</v>
      </c>
      <c r="W457" s="3" t="s">
        <v>2533</v>
      </c>
      <c r="X457" s="2"/>
      <c r="Y457" s="2"/>
    </row>
    <row r="458" spans="1:25" x14ac:dyDescent="0.2">
      <c r="A458" s="3">
        <v>911</v>
      </c>
      <c r="B458" s="4" t="s">
        <v>2809</v>
      </c>
      <c r="C458" s="3" t="s">
        <v>2810</v>
      </c>
      <c r="D458" s="3" t="str">
        <f>VLOOKUP(A458,Hebrew!A:C,3,0)</f>
        <v>דו"ח וועדה של מועצת זכויות האדם של האומות המאוחדות מאשים את ישראל וחמאס בפשעי מלחמה</v>
      </c>
      <c r="E458" s="3" t="s">
        <v>2811</v>
      </c>
      <c r="F458" s="3" t="str">
        <f>VLOOKUP($A458,Hebrew!$A:$S,4,0)</f>
        <v>דו"ח של ועדת מועצת זכויות האדם של האומות המאוחדות מאשים את ישראל ואת חמאס בפשעי מלחמה ופשעים נגד האנושות במהלך הסכסוך שהחל ב-7 באוקטובר. הדו"ח קובע כי ישראל מכוונת נגד אזרחים, עושה שימוש באלימות מינית ומשמידה במכוון תשתיות במטרה לרוקן את רצועת עזה מאוכלוסייתה. הדו"ח מאשים גם את חמאס בביצוע פשעי מלחמה, כולל אלימות מינית, ב-7 באוקטובר. ישראל מאשימה את מחבר הדו"ח באנטישמיות.</v>
      </c>
      <c r="G458" s="3" t="s">
        <v>1512</v>
      </c>
      <c r="H458" s="2"/>
      <c r="I458" s="2"/>
      <c r="J458" s="3" t="s">
        <v>36</v>
      </c>
      <c r="K458" s="3" t="s">
        <v>2812</v>
      </c>
      <c r="L458" s="3" t="str">
        <f>VLOOKUP($A458,Hebrew!$A:$S,9,0)</f>
        <v>אמיר טיבון</v>
      </c>
      <c r="M458" s="3" t="s">
        <v>2813</v>
      </c>
      <c r="N458" s="6" t="s">
        <v>2814</v>
      </c>
      <c r="O458" s="3" t="s">
        <v>39</v>
      </c>
      <c r="P458" s="3" t="s">
        <v>27</v>
      </c>
      <c r="Q458" s="3" t="str">
        <f>VLOOKUP($A458,Hebrew!$A:$S,13,0)</f>
        <v>רצועת עזה</v>
      </c>
      <c r="R458" s="3" t="s">
        <v>28</v>
      </c>
      <c r="S458" s="3" t="s">
        <v>29</v>
      </c>
      <c r="T458" s="3" t="s">
        <v>2815</v>
      </c>
      <c r="U458" s="3" t="s">
        <v>2816</v>
      </c>
      <c r="V458" s="3" t="s">
        <v>1459</v>
      </c>
      <c r="W458" s="2"/>
      <c r="X458" s="2"/>
      <c r="Y458" s="2"/>
    </row>
    <row r="459" spans="1:25" x14ac:dyDescent="0.2">
      <c r="A459" s="3">
        <v>324</v>
      </c>
      <c r="B459" s="4" t="s">
        <v>2817</v>
      </c>
      <c r="C459" s="3" t="s">
        <v>2818</v>
      </c>
      <c r="D459" s="3" t="str">
        <f>VLOOKUP(A459,Hebrew!A:C,3,0)</f>
        <v>יותר מ-100 אתרי מורשת בעזה נפגעו או נהרסו על ידי התקפות ישראליות</v>
      </c>
      <c r="E459" s="3" t="s">
        <v>2819</v>
      </c>
      <c r="F459" s="3" t="str">
        <f>VLOOKUP($A459,Hebrew!$A:$S,4,0)</f>
        <v>דו"ח מפרט את ההרס והנזק ליותר מ-100 אתרי תרבות בעזה בעקבות התקיפות האוויריות הישראליות מאז שהסכסוך התגבר ב-7 באוקטובר 2023. בין האתרים: מסגד עומר הגדול, אחד המסגדים החשובים והעתיקים ביותר בפלסטין ההיסטורית; כנסיית סנט פורפיריוס, שנחשבת לכנסייה השלישית העתיקה ביותר בעולם; בית קברות רומאי בן 2,000 שנה בצפון עזה, שנחפר רק בשנה שעברה; ומוזיאון רפיח, מקום בדרום עזה שהוקדש ללימוד על המורשת הארוכה והרב-שכבתית של האזור.</v>
      </c>
      <c r="G459" s="3" t="s">
        <v>2820</v>
      </c>
      <c r="H459" s="3" t="s">
        <v>2608</v>
      </c>
      <c r="I459" s="2"/>
      <c r="J459" s="3" t="s">
        <v>2821</v>
      </c>
      <c r="K459" s="3" t="s">
        <v>2822</v>
      </c>
      <c r="L459" s="3" t="str">
        <f>VLOOKUP($A459,Hebrew!$A:$S,9,0)</f>
        <v>קלואי ולטמן</v>
      </c>
      <c r="M459" s="3" t="s">
        <v>2823</v>
      </c>
      <c r="N459" s="4" t="s">
        <v>2824</v>
      </c>
      <c r="O459" s="3" t="s">
        <v>26</v>
      </c>
      <c r="P459" s="3" t="s">
        <v>27</v>
      </c>
      <c r="Q459" s="3" t="str">
        <f>VLOOKUP($A459,Hebrew!$A:$S,13,0)</f>
        <v>רצועת עזה</v>
      </c>
      <c r="R459" s="3" t="s">
        <v>1215</v>
      </c>
      <c r="S459" s="3" t="s">
        <v>397</v>
      </c>
      <c r="T459" s="3" t="s">
        <v>2825</v>
      </c>
      <c r="U459" s="3" t="s">
        <v>43</v>
      </c>
      <c r="V459" s="3" t="s">
        <v>27</v>
      </c>
      <c r="W459" s="2"/>
      <c r="X459" s="2"/>
      <c r="Y459" s="2"/>
    </row>
    <row r="460" spans="1:25" x14ac:dyDescent="0.2">
      <c r="A460" s="3">
        <v>1637</v>
      </c>
      <c r="B460" s="4" t="s">
        <v>2826</v>
      </c>
      <c r="C460" s="3" t="s">
        <v>2827</v>
      </c>
      <c r="D460" s="3" t="str">
        <f>VLOOKUP(A460,Hebrew!A:C,3,0)</f>
        <v>דו"ח אומר כי ישראל לא סיפקה ראיות למיליטנטיות נרחבת בקרב עובדי אונר"א</v>
      </c>
      <c r="E460" s="3" t="s">
        <v>2828</v>
      </c>
      <c r="F460" s="3" t="str">
        <f>VLOOKUP($A460,Hebrew!$A:$S,4,0)</f>
        <v>דו"ח מצביע על כך שישראל לא הצליחה להוכיח טענות על פעילות מיליטנטית נרחבת בקרב עובדי אונר"א, תוך קריאה לשיפור תהליכי בדיקה ורפורמות בתוך הסוכנות.</v>
      </c>
      <c r="G460" s="3" t="s">
        <v>2829</v>
      </c>
      <c r="H460" s="3" t="s">
        <v>2830</v>
      </c>
      <c r="I460" s="2"/>
      <c r="J460" s="3" t="s">
        <v>2831</v>
      </c>
      <c r="K460" s="3" t="s">
        <v>2832</v>
      </c>
      <c r="L460" s="3" t="str">
        <f>VLOOKUP($A460,Hebrew!$A:$S,9,0)</f>
        <v>קלייר פרקר</v>
      </c>
      <c r="M460" s="3" t="s">
        <v>2833</v>
      </c>
      <c r="N460" s="4" t="s">
        <v>2834</v>
      </c>
      <c r="O460" s="3" t="s">
        <v>26</v>
      </c>
      <c r="P460" s="3" t="s">
        <v>27</v>
      </c>
      <c r="Q460" s="3" t="str">
        <f>VLOOKUP($A460,Hebrew!$A:$S,13,0)</f>
        <v>רצועת עזה</v>
      </c>
      <c r="R460" s="3" t="s">
        <v>1215</v>
      </c>
      <c r="S460" s="3" t="s">
        <v>29</v>
      </c>
      <c r="T460" s="3" t="s">
        <v>2835</v>
      </c>
      <c r="U460" s="3" t="s">
        <v>2836</v>
      </c>
      <c r="V460" s="3" t="s">
        <v>1459</v>
      </c>
      <c r="W460" s="3" t="s">
        <v>2837</v>
      </c>
      <c r="X460" s="2"/>
      <c r="Y460" s="2"/>
    </row>
    <row r="461" spans="1:25" x14ac:dyDescent="0.2">
      <c r="A461" s="3">
        <v>138</v>
      </c>
      <c r="B461" s="4" t="s">
        <v>2838</v>
      </c>
      <c r="C461" s="3" t="s">
        <v>2839</v>
      </c>
      <c r="D461" s="3" t="str">
        <f>VLOOKUP(A461,Hebrew!A:C,3,0)</f>
        <v>הקמפיין הצבאי של ישראל הותיר את מערכת הבריאות בעזה קרובה לקריסה.</v>
      </c>
      <c r="E461" s="3" t="s">
        <v>2840</v>
      </c>
      <c r="F461" s="3" t="str">
        <f>VLOOKUP($A461,Hebrew!$A:$S,4,0)</f>
        <v>הקמפיין הצבאי של ישראל בעזה השפיע קשות על מערכת הבריאות באזור, והביא את שירותי הבריאות לסף קריסה תוך כדי הסכסוך המתמשך. עד סוף מרץ, רק 10 מתוך 36 בתי החולים בעזה היו "פונקציונליים במינימום".</v>
      </c>
      <c r="G461" s="3" t="s">
        <v>531</v>
      </c>
      <c r="H461" s="3" t="s">
        <v>2608</v>
      </c>
      <c r="I461" s="3" t="s">
        <v>531</v>
      </c>
      <c r="J461" s="3" t="s">
        <v>173</v>
      </c>
      <c r="K461" s="3" t="s">
        <v>2841</v>
      </c>
      <c r="L461" s="3" t="str">
        <f>VLOOKUP($A461,Hebrew!$A:$S,9,0)</f>
        <v>ווויון נריים, אבו בכר בשיר</v>
      </c>
      <c r="M461" s="2"/>
      <c r="N461" s="2"/>
      <c r="O461" s="3" t="s">
        <v>26</v>
      </c>
      <c r="P461" s="3" t="s">
        <v>27</v>
      </c>
      <c r="Q461" s="3" t="str">
        <f>VLOOKUP($A461,Hebrew!$A:$S,13,0)</f>
        <v>רצועת עזה</v>
      </c>
      <c r="R461" s="3" t="s">
        <v>1215</v>
      </c>
      <c r="S461" s="3" t="s">
        <v>29</v>
      </c>
      <c r="T461" s="3" t="s">
        <v>2842</v>
      </c>
      <c r="U461" s="3" t="s">
        <v>43</v>
      </c>
      <c r="V461" s="3" t="s">
        <v>2843</v>
      </c>
      <c r="W461" s="2"/>
      <c r="X461" s="2"/>
      <c r="Y461" s="2"/>
    </row>
    <row r="462" spans="1:25" x14ac:dyDescent="0.2">
      <c r="A462" s="3">
        <v>136</v>
      </c>
      <c r="B462" s="4" t="s">
        <v>2844</v>
      </c>
      <c r="C462" s="3" t="s">
        <v>2845</v>
      </c>
      <c r="D462" s="3" t="str">
        <f>VLOOKUP(A462,Hebrew!A:C,3,0)</f>
        <v>רעב מתקרב בעזה מראה על חזרת המצור האזרחי במלחמות</v>
      </c>
      <c r="E462" s="3" t="s">
        <v>2846</v>
      </c>
      <c r="F462" s="3" t="str">
        <f>VLOOKUP($A462,Hebrew!$A:$S,4,0)</f>
        <v>קיים סיכון מיידי לרעב בעזה בשל הסכסוך המתמשך, שמדגיש שזהו החלק הגדול ביותר מאוכלוסייה בסיכון לרעב, בהיסטוריה האחרונה. המאמר כולל את דחיית ישראל את ההאשמה שהיא מונעת עזרה.</v>
      </c>
      <c r="G462" s="3" t="s">
        <v>2847</v>
      </c>
      <c r="H462" s="2"/>
      <c r="I462" s="2"/>
      <c r="J462" s="3" t="s">
        <v>173</v>
      </c>
      <c r="K462" s="3" t="s">
        <v>2848</v>
      </c>
      <c r="L462" s="3" t="str">
        <f>VLOOKUP($A462,Hebrew!$A:$S,9,0)</f>
        <v>סטפני נולן</v>
      </c>
      <c r="M462" s="2"/>
      <c r="N462" s="2"/>
      <c r="O462" s="3" t="s">
        <v>26</v>
      </c>
      <c r="P462" s="3" t="s">
        <v>27</v>
      </c>
      <c r="Q462" s="3" t="str">
        <f>VLOOKUP($A462,Hebrew!$A:$S,13,0)</f>
        <v>רצועת עזה</v>
      </c>
      <c r="R462" s="3" t="s">
        <v>1215</v>
      </c>
      <c r="S462" s="3" t="s">
        <v>29</v>
      </c>
      <c r="T462" s="3" t="s">
        <v>2849</v>
      </c>
      <c r="U462" s="3" t="s">
        <v>2850</v>
      </c>
      <c r="V462" s="3" t="s">
        <v>27</v>
      </c>
      <c r="W462" s="2"/>
      <c r="X462" s="2"/>
      <c r="Y462" s="2"/>
    </row>
    <row r="463" spans="1:25" x14ac:dyDescent="0.2">
      <c r="A463" s="3">
        <v>938</v>
      </c>
      <c r="B463" s="4" t="s">
        <v>2851</v>
      </c>
      <c r="C463" s="3" t="s">
        <v>2852</v>
      </c>
      <c r="D463" s="3" t="str">
        <f>VLOOKUP(A463,Hebrew!A:C,3,0)</f>
        <v>רוב הישראלים נותנים דירוגים נמוכים לראש הממשלה נתניהו; דירוגים גבוהים לרמטכ"ל צה"ל, הלוי</v>
      </c>
      <c r="E463" s="3" t="s">
        <v>2853</v>
      </c>
      <c r="F463" s="3" t="str">
        <f>VLOOKUP($A463,Hebrew!$A:$S,4,0)</f>
        <v>סקר מהיר חושף את הדעות הציבוריות על ביצועי המנהיגים הישראלים במהלך הסכסוך הנוכחי, ומדגיש הבדלים משמעותיים בתפיסות בין משיבים יהודים לערבים. בין המשיבים היהודים, ראש הממשלה נתניהו קיבל דירוג חיובי מ-32% מהמדגם, הרמטכ"ל, הלוי, קיבל את הדירוג הגבוה ביותר - 55% מהמשיבים היהודים מעריכים אותו בחיוב. שר האוצר, סמוטריץ', קיבל את הדירוג הנמוך ביותר, 21.5% העריכו אותו בחיוב.</v>
      </c>
      <c r="G463" s="3" t="s">
        <v>1631</v>
      </c>
      <c r="H463" s="3" t="s">
        <v>523</v>
      </c>
      <c r="I463" s="3" t="s">
        <v>927</v>
      </c>
      <c r="J463" s="3" t="s">
        <v>57</v>
      </c>
      <c r="K463" s="3" t="s">
        <v>2581</v>
      </c>
      <c r="L463" s="3" t="str">
        <f>VLOOKUP($A463,Hebrew!$A:$S,9,0)</f>
        <v>תמר הרמן, ליאור יוחנני, ירון קפלן</v>
      </c>
      <c r="M463" s="2"/>
      <c r="N463" s="2"/>
      <c r="O463" s="3" t="s">
        <v>39</v>
      </c>
      <c r="P463" s="3" t="s">
        <v>60</v>
      </c>
      <c r="Q463" s="3" t="str">
        <f>VLOOKUP($A463,Hebrew!$A:$S,13,0)</f>
        <v>ישראל</v>
      </c>
      <c r="R463" s="3" t="s">
        <v>2563</v>
      </c>
      <c r="S463" s="3" t="s">
        <v>29</v>
      </c>
      <c r="T463" s="3" t="s">
        <v>2854</v>
      </c>
      <c r="U463" s="3" t="s">
        <v>420</v>
      </c>
      <c r="V463" s="3" t="s">
        <v>60</v>
      </c>
      <c r="W463" s="3" t="s">
        <v>2855</v>
      </c>
      <c r="X463" s="2"/>
      <c r="Y463" s="2"/>
    </row>
    <row r="464" spans="1:25" x14ac:dyDescent="0.2">
      <c r="A464" s="3">
        <v>313</v>
      </c>
      <c r="B464" s="6" t="s">
        <v>2856</v>
      </c>
      <c r="C464" s="3" t="s">
        <v>2857</v>
      </c>
      <c r="D464" s="3" t="str">
        <f>VLOOKUP(A464,Hebrew!A:C,3,0)</f>
        <v>הסקר של יום אחרי: 44% מהציבור רוצים ליישב מחדש את עזה. 58% תומכים בבחירות חדשות.</v>
      </c>
      <c r="E464" s="3" t="s">
        <v>2858</v>
      </c>
      <c r="F464" s="3" t="str">
        <f>VLOOKUP($A464,Hebrew!$A:$S,4,0)</f>
        <v>סקר עדכני מגלה ש-44% מהציבור הישראלי תומכים בחידוש ההתיישבות היהודית בעזה לאחר הסכסוך הנוכחי (39% מתנגדים), בעוד שהדעות משתנות באופן משמעותי לפי הזדהות פוליטית. 36% עברו ימינה מאז תחילת המלחמה ורק 6% עברו שמאלה.</v>
      </c>
      <c r="G464" s="3" t="s">
        <v>2859</v>
      </c>
      <c r="H464" s="3" t="s">
        <v>2860</v>
      </c>
      <c r="I464" s="3" t="s">
        <v>2860</v>
      </c>
      <c r="J464" s="3" t="s">
        <v>1193</v>
      </c>
      <c r="K464" s="3" t="s">
        <v>2861</v>
      </c>
      <c r="L464" s="3" t="str">
        <f>VLOOKUP($A464,Hebrew!$A:$S,9,0)</f>
        <v>עמית סגל, בן כספית</v>
      </c>
      <c r="M464" s="3" t="s">
        <v>2862</v>
      </c>
      <c r="N464" s="2"/>
      <c r="O464" s="3" t="s">
        <v>39</v>
      </c>
      <c r="P464" s="3" t="s">
        <v>60</v>
      </c>
      <c r="Q464" s="3" t="str">
        <f>VLOOKUP($A464,Hebrew!$A:$S,13,0)</f>
        <v>ישראל</v>
      </c>
      <c r="R464" s="3" t="s">
        <v>2563</v>
      </c>
      <c r="S464" s="3" t="s">
        <v>29</v>
      </c>
      <c r="T464" s="3" t="s">
        <v>2863</v>
      </c>
      <c r="U464" s="2"/>
      <c r="V464" s="3" t="s">
        <v>60</v>
      </c>
      <c r="W464" s="2"/>
      <c r="X464" s="2"/>
      <c r="Y464" s="2"/>
    </row>
    <row r="465" spans="1:25" x14ac:dyDescent="0.2">
      <c r="A465" s="3">
        <v>238</v>
      </c>
      <c r="B465" s="4" t="s">
        <v>2864</v>
      </c>
      <c r="C465" s="3" t="s">
        <v>2865</v>
      </c>
      <c r="D465" s="3" t="str">
        <f>VLOOKUP(A465,Hebrew!A:C,3,0)</f>
        <v>צה"ל הופך בית ספר בעזה לבסיס צבאי</v>
      </c>
      <c r="E465" s="3" t="s">
        <v>2866</v>
      </c>
      <c r="F465" s="3" t="str">
        <f>VLOOKUP($A465,Hebrew!$A:$S,4,0)</f>
        <v>העיתונאי הישראלי אמיר בוחבוט חושף בטעות כי דיוויזיה 162 הייתה מוצבת בתוך חצר בית ספר ומפרה את החוק ההומניטרי הבינלאומי, במיוחד את אמנת ג'נבה הרביעית. המעשה נחשב לפשע מלחמה.</v>
      </c>
      <c r="G465" s="3" t="s">
        <v>2867</v>
      </c>
      <c r="H465" s="2"/>
      <c r="I465" s="2"/>
      <c r="J465" s="3" t="s">
        <v>393</v>
      </c>
      <c r="K465" s="3" t="s">
        <v>411</v>
      </c>
      <c r="L465" s="3" t="str">
        <f>VLOOKUP($A465,Hebrew!$A:$S,9,0)</f>
        <v>Khaled Yousry (@KhaledYousry22)</v>
      </c>
      <c r="M465" s="2"/>
      <c r="N465" s="2"/>
      <c r="O465" s="3" t="s">
        <v>26</v>
      </c>
      <c r="P465" s="3" t="s">
        <v>27</v>
      </c>
      <c r="Q465" s="3" t="str">
        <f>VLOOKUP($A465,Hebrew!$A:$S,13,0)</f>
        <v>רצועת עזה</v>
      </c>
      <c r="R465" s="3" t="s">
        <v>396</v>
      </c>
      <c r="S465" s="3" t="s">
        <v>413</v>
      </c>
      <c r="T465" s="3" t="s">
        <v>2868</v>
      </c>
      <c r="U465" s="3" t="s">
        <v>43</v>
      </c>
      <c r="V465" s="3" t="s">
        <v>27</v>
      </c>
      <c r="W465" s="2"/>
      <c r="X465" s="2"/>
      <c r="Y465" s="2"/>
    </row>
    <row r="466" spans="1:25" x14ac:dyDescent="0.2">
      <c r="A466" s="3">
        <v>239</v>
      </c>
      <c r="B466" s="4" t="s">
        <v>2869</v>
      </c>
      <c r="C466" s="3" t="s">
        <v>2870</v>
      </c>
      <c r="D466" s="3" t="str">
        <f>VLOOKUP(A466,Hebrew!A:C,3,0)</f>
        <v>חיילי צה"ל מקיימים טקס הכנסת ספר תורה לבית נטוש כלשהו ברצועת עזה.</v>
      </c>
      <c r="E466" s="3" t="s">
        <v>2871</v>
      </c>
      <c r="F466" s="3" t="str">
        <f>VLOOKUP($A466,Hebrew!$A:$S,4,0)</f>
        <v>חיילי צה"ל עורכים טקס הקדשה של ספר תורה בבית נטוש ברצועת עזה תוך כדי שירה, ריקוד ותיפוף.</v>
      </c>
      <c r="G466" s="3" t="s">
        <v>1127</v>
      </c>
      <c r="H466" s="2"/>
      <c r="I466" s="2"/>
      <c r="J466" s="3" t="s">
        <v>393</v>
      </c>
      <c r="K466" s="3" t="s">
        <v>802</v>
      </c>
      <c r="L466" s="3" t="str">
        <f>VLOOKUP($A466,Hebrew!$A:$S,9,0)</f>
        <v>Asslan Khalil (@KhalilAsslan)</v>
      </c>
      <c r="M466" s="2"/>
      <c r="N466" s="2"/>
      <c r="O466" s="3" t="s">
        <v>39</v>
      </c>
      <c r="P466" s="3" t="s">
        <v>27</v>
      </c>
      <c r="Q466" s="3" t="str">
        <f>VLOOKUP($A466,Hebrew!$A:$S,13,0)</f>
        <v>רצועת עזה</v>
      </c>
      <c r="R466" s="3" t="s">
        <v>396</v>
      </c>
      <c r="S466" s="3" t="s">
        <v>413</v>
      </c>
      <c r="T466" s="3" t="s">
        <v>2872</v>
      </c>
      <c r="U466" s="3" t="s">
        <v>43</v>
      </c>
      <c r="V466" s="3" t="s">
        <v>27</v>
      </c>
      <c r="W466" s="2"/>
      <c r="X466" s="2"/>
      <c r="Y466" s="2"/>
    </row>
    <row r="467" spans="1:25" x14ac:dyDescent="0.2">
      <c r="A467" s="3">
        <v>240</v>
      </c>
      <c r="B467" s="4" t="s">
        <v>2873</v>
      </c>
      <c r="C467" s="3" t="s">
        <v>2874</v>
      </c>
      <c r="D467" s="3" t="str">
        <f>VLOOKUP(A467,Hebrew!A:C,3,0)</f>
        <v>חיילי צה"ל במדים מצהירים שהמשימה שלהם היא לכבוש, לפנות ולהתיישב בעזה</v>
      </c>
      <c r="E467" s="3" t="s">
        <v>2875</v>
      </c>
      <c r="F467" s="3" t="str">
        <f>VLOOKUP($A467,Hebrew!$A:$S,4,0)</f>
        <v>ארבעה חיילי צה"ל במדים בעזה מצלמים מסר לביבי, בעוד הם עומדים מול בניין הרוס בבית חנון. הם מצהירים שהם מסיימים את המשימה שלהם על ידי כיבוש, פינוי והתיישבות.</v>
      </c>
      <c r="G467" s="3" t="s">
        <v>1069</v>
      </c>
      <c r="H467" s="2"/>
      <c r="I467" s="2"/>
      <c r="J467" s="3" t="s">
        <v>393</v>
      </c>
      <c r="K467" s="3" t="s">
        <v>2876</v>
      </c>
      <c r="L467" s="3" t="str">
        <f>VLOOKUP($A467,Hebrew!$A:$S,9,0)</f>
        <v>מסתכלים על המקצוע בעיניים (@Mistaclim)</v>
      </c>
      <c r="M467" s="2"/>
      <c r="N467" s="2"/>
      <c r="O467" s="3" t="s">
        <v>39</v>
      </c>
      <c r="P467" s="3" t="s">
        <v>27</v>
      </c>
      <c r="Q467" s="3" t="str">
        <f>VLOOKUP($A467,Hebrew!$A:$S,13,0)</f>
        <v>רצועת עזה</v>
      </c>
      <c r="R467" s="3" t="s">
        <v>396</v>
      </c>
      <c r="S467" s="3" t="s">
        <v>413</v>
      </c>
      <c r="T467" s="3" t="s">
        <v>2877</v>
      </c>
      <c r="U467" s="3" t="s">
        <v>43</v>
      </c>
      <c r="V467" s="3" t="s">
        <v>2878</v>
      </c>
      <c r="W467" s="2"/>
      <c r="X467" s="2"/>
      <c r="Y467" s="2"/>
    </row>
    <row r="468" spans="1:25" x14ac:dyDescent="0.2">
      <c r="A468" s="3">
        <v>241</v>
      </c>
      <c r="B468" s="4" t="s">
        <v>2879</v>
      </c>
      <c r="C468" s="3" t="s">
        <v>2880</v>
      </c>
      <c r="D468" s="3" t="str">
        <f>VLOOKUP(A468,Hebrew!A:C,3,0)</f>
        <v>חבר הכנסת מדבר על יישוב מחדש בעזה</v>
      </c>
      <c r="E468" s="3" t="s">
        <v>2881</v>
      </c>
      <c r="F468" s="3" t="str">
        <f>VLOOKUP($A468,Hebrew!$A:$S,4,0)</f>
        <v>חברת הכנסת, לימור סון-הרמלך, מתראיינת בערוץ הכנסת. היא מתארת את החזון שלה להתיישבות בעזה, ומציגה אותו כפתרון לטרור. הסרטון מציג רחוב הרוס בעזה.</v>
      </c>
      <c r="G468" s="3" t="s">
        <v>2882</v>
      </c>
      <c r="H468" s="2"/>
      <c r="I468" s="2"/>
      <c r="J468" s="3" t="s">
        <v>393</v>
      </c>
      <c r="K468" s="3" t="s">
        <v>2876</v>
      </c>
      <c r="L468" s="3" t="str">
        <f>VLOOKUP($A468,Hebrew!$A:$S,9,0)</f>
        <v>מסתכלים על המקצוע בעיניים (@Mistaclim)</v>
      </c>
      <c r="M468" s="2"/>
      <c r="N468" s="2"/>
      <c r="O468" s="3" t="s">
        <v>39</v>
      </c>
      <c r="P468" s="3" t="s">
        <v>60</v>
      </c>
      <c r="Q468" s="3" t="str">
        <f>VLOOKUP($A468,Hebrew!$A:$S,13,0)</f>
        <v>ישראל</v>
      </c>
      <c r="R468" s="3" t="s">
        <v>396</v>
      </c>
      <c r="S468" s="3" t="s">
        <v>413</v>
      </c>
      <c r="T468" s="3" t="s">
        <v>2883</v>
      </c>
      <c r="U468" s="2"/>
      <c r="V468" s="3" t="s">
        <v>27</v>
      </c>
      <c r="W468" s="2"/>
      <c r="X468" s="2"/>
      <c r="Y468" s="2"/>
    </row>
    <row r="469" spans="1:25" x14ac:dyDescent="0.2">
      <c r="A469" s="3">
        <v>2013</v>
      </c>
      <c r="B469" s="4" t="s">
        <v>2884</v>
      </c>
      <c r="C469" s="3" t="s">
        <v>2885</v>
      </c>
      <c r="D469" s="3" t="str">
        <f>VLOOKUP(A469,Hebrew!A:C,3,0)</f>
        <v>כל האוכלוסייה בצפון עזה בסיכון למות': פקיד סיוע של האומות המאוחדות</v>
      </c>
      <c r="E469" s="3" t="s">
        <v>2886</v>
      </c>
      <c r="F469" s="3" t="str">
        <f>VLOOKUP($A469,Hebrew!$A:$S,4,0)</f>
        <v>פקיד סיוע של האומות המאוחדות מזהיר כי כל אוכלוסיית צפון עזה בסיכון למות בשל ההתקפות הישראליות המתמשכות, ומדגיש משברים הומניטריים חמורים והפרות של החוק הבינלאומי. לפי הפקיד, "התעלמות כה בוטה מהאנושיות הבסיסית ומהחוקי מלחמה חייבת להיפסק".</v>
      </c>
      <c r="G469" s="3" t="s">
        <v>1314</v>
      </c>
      <c r="H469" s="3" t="s">
        <v>2799</v>
      </c>
      <c r="I469" s="3" t="s">
        <v>1314</v>
      </c>
      <c r="J469" s="3" t="s">
        <v>2887</v>
      </c>
      <c r="K469" s="4" t="s">
        <v>2888</v>
      </c>
      <c r="L469" s="3" t="str">
        <f>VLOOKUP($A469,Hebrew!$A:$S,9,0)</f>
        <v>אוליביה רוזן</v>
      </c>
      <c r="M469" s="2"/>
      <c r="N469" s="2"/>
      <c r="O469" s="3" t="s">
        <v>26</v>
      </c>
      <c r="P469" s="3" t="s">
        <v>212</v>
      </c>
      <c r="Q469" s="3" t="str">
        <f>VLOOKUP($A469,Hebrew!$A:$S,13,0)</f>
        <v>צפון רצועת עזה</v>
      </c>
      <c r="R469" s="3" t="s">
        <v>1215</v>
      </c>
      <c r="S469" s="3" t="s">
        <v>397</v>
      </c>
      <c r="T469" s="3" t="s">
        <v>2889</v>
      </c>
      <c r="U469" s="3" t="s">
        <v>43</v>
      </c>
      <c r="V469" s="3" t="s">
        <v>2890</v>
      </c>
      <c r="W469" s="3" t="s">
        <v>2336</v>
      </c>
      <c r="X469" s="2"/>
      <c r="Y469" s="2"/>
    </row>
    <row r="470" spans="1:25" x14ac:dyDescent="0.2">
      <c r="A470" s="3">
        <v>991</v>
      </c>
      <c r="B470" s="4" t="s">
        <v>2891</v>
      </c>
      <c r="C470" s="3" t="s">
        <v>2892</v>
      </c>
      <c r="D470" s="3" t="str">
        <f>VLOOKUP(A470,Hebrew!A:C,3,0)</f>
        <v>‘סבל כמעט חסר תקדים’ בעזה כאשר האומות המאוחדות אומרות שכמעט 70% מההרוגים הם נשים וילדים</v>
      </c>
      <c r="E470" s="3" t="s">
        <v>2893</v>
      </c>
      <c r="F470" s="3" t="str">
        <f>VLOOKUP($A470,Hebrew!$A:$S,4,0)</f>
        <v>דו"ח של האומות המאוחדות אישר 8,119 מההרגים במחצית הראשונה של המלחמה. ניתוח הנתונים מגלה שכמעט 70% מההרוגים בעימות בעזה הם נשים וילדים, מה שמדגיש הפרות חמורות של זכויות האדם ואת ההשפעה של פעולות צבאיות על אזרחים.</v>
      </c>
      <c r="G470" s="3" t="s">
        <v>2894</v>
      </c>
      <c r="H470" s="3" t="s">
        <v>2753</v>
      </c>
      <c r="I470" s="3" t="s">
        <v>683</v>
      </c>
      <c r="J470" s="3" t="s">
        <v>110</v>
      </c>
      <c r="K470" s="3" t="s">
        <v>2895</v>
      </c>
      <c r="L470" s="3" t="str">
        <f>VLOOKUP($A470,Hebrew!$A:$S,9,0)</f>
        <v>שרה ג'ונסון</v>
      </c>
      <c r="M470" s="3" t="s">
        <v>2813</v>
      </c>
      <c r="N470" s="6" t="s">
        <v>2896</v>
      </c>
      <c r="O470" s="3" t="s">
        <v>26</v>
      </c>
      <c r="P470" s="3" t="s">
        <v>27</v>
      </c>
      <c r="Q470" s="3" t="str">
        <f>VLOOKUP($A470,Hebrew!$A:$S,13,0)</f>
        <v>רצועת עזה</v>
      </c>
      <c r="R470" s="3" t="s">
        <v>1215</v>
      </c>
      <c r="S470" s="3" t="s">
        <v>397</v>
      </c>
      <c r="T470" s="3" t="s">
        <v>2897</v>
      </c>
      <c r="U470" s="3" t="s">
        <v>2898</v>
      </c>
      <c r="V470" s="3" t="s">
        <v>27</v>
      </c>
      <c r="W470" s="2"/>
      <c r="X470" s="2"/>
      <c r="Y470" s="2"/>
    </row>
    <row r="471" spans="1:25" x14ac:dyDescent="0.2">
      <c r="A471" s="3">
        <v>1996</v>
      </c>
      <c r="B471" s="4" t="s">
        <v>2899</v>
      </c>
      <c r="C471" s="3" t="s">
        <v>2900</v>
      </c>
      <c r="D471" s="3" t="str">
        <f>VLOOKUP(A471,Hebrew!A:C,3,0)</f>
        <v>עזה: קמפיין חיסון נגד פוליו מגיע ל-94,000 ילדים בצפון הנצור</v>
      </c>
      <c r="E471" s="3" t="s">
        <v>2901</v>
      </c>
      <c r="F471" s="3" t="str">
        <f>VLOOKUP($A471,Hebrew!$A:$S,4,0)</f>
        <v>מבצע חיסון נגד פוליו בתמיכת האומות המאוחדות בצפון עזה חיסן בהצלחה 94,000 ילדים, אך אלפים נותרו מחוץ להישג יד בשל הסכסוך המתמשך ופינוי אוכלוסייה.</v>
      </c>
      <c r="G471" s="3" t="s">
        <v>2902</v>
      </c>
      <c r="H471" s="3" t="s">
        <v>2903</v>
      </c>
      <c r="I471" s="3" t="s">
        <v>2902</v>
      </c>
      <c r="J471" s="3" t="s">
        <v>275</v>
      </c>
      <c r="K471" s="3" t="s">
        <v>2747</v>
      </c>
      <c r="L471" s="3" t="str">
        <f>VLOOKUP($A471,Hebrew!$A:$S,9,0)</f>
        <v>@UN_News_Centre</v>
      </c>
      <c r="M471" s="2"/>
      <c r="N471" s="2"/>
      <c r="O471" s="3" t="s">
        <v>26</v>
      </c>
      <c r="P471" s="3" t="s">
        <v>212</v>
      </c>
      <c r="Q471" s="3" t="str">
        <f>VLOOKUP($A471,Hebrew!$A:$S,13,0)</f>
        <v>צפון רצועת עזה</v>
      </c>
      <c r="R471" s="3" t="s">
        <v>2018</v>
      </c>
      <c r="S471" s="3" t="s">
        <v>397</v>
      </c>
      <c r="T471" s="3" t="s">
        <v>2904</v>
      </c>
      <c r="U471" s="3" t="s">
        <v>2905</v>
      </c>
      <c r="V471" s="3" t="s">
        <v>212</v>
      </c>
      <c r="W471" s="2"/>
      <c r="X471" s="2"/>
      <c r="Y471" s="2"/>
    </row>
    <row r="472" spans="1:25" x14ac:dyDescent="0.2">
      <c r="A472" s="3">
        <v>170</v>
      </c>
      <c r="B472" s="4" t="s">
        <v>2906</v>
      </c>
      <c r="C472" s="3" t="s">
        <v>2907</v>
      </c>
      <c r="D472" s="3" t="str">
        <f>VLOOKUP(A472,Hebrew!A:C,3,0)</f>
        <v>נציג יוניסף מדווח על 'השמדה מוחלטת' לאחר שנסע לאורך עזה</v>
      </c>
      <c r="E472" s="3" t="s">
        <v>2908</v>
      </c>
      <c r="F472" s="3" t="str">
        <f>VLOOKUP($A472,Hebrew!$A:$S,4,0)</f>
        <v>נציג של יוניסף מתאר את המשבר ההומניטרי ההרסני בעזה, ומדגיש תת-תזונה חמורה וצפיפות יתר תוך כדי הסכסוך המתמשך. לדבריו, ילדים נמצאים על סף מוות ומשפחות חייבות לקבל מים נקיים, מזון ומקלט.</v>
      </c>
      <c r="G472" s="3" t="s">
        <v>797</v>
      </c>
      <c r="H472" s="3" t="s">
        <v>2561</v>
      </c>
      <c r="I472" s="3" t="s">
        <v>797</v>
      </c>
      <c r="J472" s="3" t="s">
        <v>110</v>
      </c>
      <c r="K472" s="3" t="s">
        <v>2909</v>
      </c>
      <c r="L472" s="3" t="str">
        <f>VLOOKUP($A472,Hebrew!$A:$S,9,0)</f>
        <v>ג'ייסון ברק</v>
      </c>
      <c r="M472" s="2"/>
      <c r="N472" s="2"/>
      <c r="O472" s="3" t="s">
        <v>26</v>
      </c>
      <c r="P472" s="3" t="s">
        <v>27</v>
      </c>
      <c r="Q472" s="3" t="str">
        <f>VLOOKUP($A472,Hebrew!$A:$S,13,0)</f>
        <v>רצועת עזה</v>
      </c>
      <c r="R472" s="3" t="s">
        <v>1215</v>
      </c>
      <c r="S472" s="3" t="s">
        <v>397</v>
      </c>
      <c r="T472" s="3" t="s">
        <v>2910</v>
      </c>
      <c r="U472" s="3" t="s">
        <v>1959</v>
      </c>
      <c r="V472" s="3" t="s">
        <v>2911</v>
      </c>
      <c r="W472" s="3" t="s">
        <v>1659</v>
      </c>
      <c r="X472" s="2"/>
      <c r="Y472" s="2"/>
    </row>
    <row r="473" spans="1:25" x14ac:dyDescent="0.2">
      <c r="A473" s="3">
        <v>1154</v>
      </c>
      <c r="B473" s="4" t="s">
        <v>2912</v>
      </c>
      <c r="C473" s="3" t="s">
        <v>2913</v>
      </c>
      <c r="D473" s="3" t="str">
        <f>VLOOKUP(A473,Hebrew!A:C,3,0)</f>
        <v>בלעדי: הערכת המודיעין האמריקאית קובעת כי כמעט חצי מהפצצות הישראלית שנורו על עזה היו "פצצות טיפשות", לא מדויקות.</v>
      </c>
      <c r="E473" s="3" t="s">
        <v>2914</v>
      </c>
      <c r="F473" s="3" t="str">
        <f>VLOOKUP($A473,Hebrew!$A:$S,4,0)</f>
        <v>הערכת המודיעין האמריקאי חושפת שכמעט חצי מהפצצות שישראל השתמשה בעזה היו "פצצות טיפשות", לא מדויקות, וזה מעורר חששות לגבי נפגעים אזרחיים.</v>
      </c>
      <c r="G473" s="3" t="s">
        <v>1268</v>
      </c>
      <c r="H473" s="3" t="s">
        <v>2608</v>
      </c>
      <c r="I473" s="3" t="s">
        <v>1268</v>
      </c>
      <c r="J473" s="3" t="s">
        <v>135</v>
      </c>
      <c r="K473" s="3" t="s">
        <v>2915</v>
      </c>
      <c r="L473" s="3" t="str">
        <f>VLOOKUP($A473,Hebrew!$A:$S,9,0)</f>
        <v>נטשה ברטראנד, קייטי בו ליליס</v>
      </c>
      <c r="M473" s="2"/>
      <c r="N473" s="2"/>
      <c r="O473" s="3" t="s">
        <v>26</v>
      </c>
      <c r="P473" s="3" t="s">
        <v>27</v>
      </c>
      <c r="Q473" s="3" t="str">
        <f>VLOOKUP($A473,Hebrew!$A:$S,13,0)</f>
        <v>רצועת עזה</v>
      </c>
      <c r="R473" s="3" t="s">
        <v>1215</v>
      </c>
      <c r="S473" s="3" t="s">
        <v>397</v>
      </c>
      <c r="T473" s="3" t="s">
        <v>2916</v>
      </c>
      <c r="U473" s="3" t="s">
        <v>43</v>
      </c>
      <c r="V473" s="3" t="s">
        <v>27</v>
      </c>
      <c r="W473" s="3" t="s">
        <v>2533</v>
      </c>
      <c r="X473" s="2"/>
      <c r="Y473" s="2"/>
    </row>
    <row r="474" spans="1:25" x14ac:dyDescent="0.2">
      <c r="A474" s="3">
        <v>414</v>
      </c>
      <c r="B474" s="4" t="s">
        <v>2917</v>
      </c>
      <c r="C474" s="3" t="s">
        <v>2918</v>
      </c>
      <c r="D474" s="3" t="str">
        <f>VLOOKUP(A474,Hebrew!A:C,3,0)</f>
        <v>רופאים ישראלים קוראים להפצצת בתי חולים בעזה</v>
      </c>
      <c r="E474" s="3" t="s">
        <v>2919</v>
      </c>
      <c r="F474" s="3" t="str">
        <f>VLOOKUP($A474,Hebrew!$A:$S,4,0)</f>
        <v>כ-90 רופאים ישראלים חתמו על מכתב הקורא להפצצת בתי חולים בעזה, בטענה שהם מטרות לגיטימיות בשל פעילות טרור חשודה.</v>
      </c>
      <c r="G474" s="3" t="s">
        <v>2920</v>
      </c>
      <c r="H474" s="2"/>
      <c r="I474" s="2"/>
      <c r="J474" s="3" t="s">
        <v>2921</v>
      </c>
      <c r="K474" s="3" t="s">
        <v>2922</v>
      </c>
      <c r="L474" s="3" t="str">
        <f>VLOOKUP($A474,Hebrew!$A:$S,9,0)</f>
        <v>טלי שפירו, יונתן אופיר</v>
      </c>
      <c r="M474" s="2"/>
      <c r="N474" s="2"/>
      <c r="O474" s="3" t="s">
        <v>26</v>
      </c>
      <c r="P474" s="3" t="s">
        <v>60</v>
      </c>
      <c r="Q474" s="3" t="str">
        <f>VLOOKUP($A474,Hebrew!$A:$S,13,0)</f>
        <v>ישראל</v>
      </c>
      <c r="R474" s="3" t="s">
        <v>2923</v>
      </c>
      <c r="S474" s="3" t="s">
        <v>397</v>
      </c>
      <c r="T474" s="3" t="s">
        <v>2924</v>
      </c>
      <c r="U474" s="3" t="s">
        <v>2925</v>
      </c>
      <c r="V474" s="3" t="s">
        <v>2926</v>
      </c>
      <c r="W474" s="2"/>
      <c r="X474" s="2"/>
      <c r="Y474" s="2"/>
    </row>
    <row r="475" spans="1:25" x14ac:dyDescent="0.2">
      <c r="A475" s="3">
        <v>1490</v>
      </c>
      <c r="B475" s="4" t="s">
        <v>2927</v>
      </c>
      <c r="C475" s="3" t="s">
        <v>2928</v>
      </c>
      <c r="D475" s="3" t="str">
        <f>VLOOKUP(A475,Hebrew!A:C,3,0)</f>
        <v>קשת 12 פיטרה את השחקנית למה טטור בעקבות פוסט נגד החטופה נועה ארגמני</v>
      </c>
      <c r="E475" s="3" t="s">
        <v>2929</v>
      </c>
      <c r="F475" s="3" t="str">
        <f>VLOOKUP($A475,Hebrew!$A:$S,4,0)</f>
        <v>השחקנית והמנחה למא טאטור פוטרה מקשת 12 בעקבות פוסט ביקורתי באינסטגרם בנוגע למראה של החטופה נועה ארגמני, ששוחררה לאחרונה משבי חמאס.</v>
      </c>
      <c r="G475" s="3" t="s">
        <v>2930</v>
      </c>
      <c r="H475" s="3" t="s">
        <v>2930</v>
      </c>
      <c r="I475" s="3" t="s">
        <v>2930</v>
      </c>
      <c r="J475" s="3" t="s">
        <v>36</v>
      </c>
      <c r="K475" s="3" t="s">
        <v>36</v>
      </c>
      <c r="L475" s="3" t="str">
        <f>VLOOKUP($A475,Hebrew!$A:$S,9,0)</f>
        <v>הארץ</v>
      </c>
      <c r="M475" s="2"/>
      <c r="N475" s="2"/>
      <c r="O475" s="3" t="s">
        <v>39</v>
      </c>
      <c r="P475" s="3" t="s">
        <v>60</v>
      </c>
      <c r="Q475" s="3" t="str">
        <f>VLOOKUP($A475,Hebrew!$A:$S,13,0)</f>
        <v>ישראל</v>
      </c>
      <c r="R475" s="3" t="s">
        <v>2018</v>
      </c>
      <c r="S475" s="3" t="s">
        <v>397</v>
      </c>
      <c r="T475" s="3" t="s">
        <v>2931</v>
      </c>
      <c r="U475" s="2"/>
      <c r="V475" s="3" t="s">
        <v>60</v>
      </c>
      <c r="W475" s="2"/>
      <c r="X475" s="2"/>
      <c r="Y475" s="2"/>
    </row>
    <row r="476" spans="1:25" x14ac:dyDescent="0.2">
      <c r="A476" s="3">
        <v>1260</v>
      </c>
      <c r="B476" s="6" t="s">
        <v>2932</v>
      </c>
      <c r="C476" s="3" t="s">
        <v>2933</v>
      </c>
      <c r="D476" s="3" t="str">
        <f>VLOOKUP(A476,Hebrew!A:C,3,0)</f>
        <v>“אנחנו אחראים לזה”: רופאים אמריקאים שחזרו מעזה, קוראים לסיום השתתפות ארה"ב ברצח עם.</v>
      </c>
      <c r="E476" s="3" t="s">
        <v>2934</v>
      </c>
      <c r="F476" s="3" t="str">
        <f>VLOOKUP($A476,Hebrew!$A:$S,4,0)</f>
        <v>רופאים אמריקאים שחזרו מעזה, מדגישים את המשבר ההומניטרי וקוראים לסיים את התמיכה האמריקאית בפעולות ישראל.</v>
      </c>
      <c r="G476" s="3" t="s">
        <v>476</v>
      </c>
      <c r="H476" s="2"/>
      <c r="I476" s="2"/>
      <c r="J476" s="3" t="s">
        <v>2935</v>
      </c>
      <c r="K476" s="2"/>
      <c r="L476" s="3" t="str">
        <f>VLOOKUP($A476,Hebrew!$A:$S,9,0)</f>
        <v>Democracy Now</v>
      </c>
      <c r="M476" s="2"/>
      <c r="N476" s="6" t="s">
        <v>2936</v>
      </c>
      <c r="O476" s="3" t="s">
        <v>26</v>
      </c>
      <c r="P476" s="3" t="s">
        <v>27</v>
      </c>
      <c r="Q476" s="3" t="str">
        <f>VLOOKUP($A476,Hebrew!$A:$S,13,0)</f>
        <v>רצועת עזה</v>
      </c>
      <c r="R476" s="3" t="s">
        <v>1215</v>
      </c>
      <c r="S476" s="3" t="s">
        <v>413</v>
      </c>
      <c r="T476" s="3" t="s">
        <v>2937</v>
      </c>
      <c r="U476" s="3" t="s">
        <v>2693</v>
      </c>
      <c r="V476" s="3" t="s">
        <v>395</v>
      </c>
      <c r="W476" s="2"/>
      <c r="X476" s="2"/>
      <c r="Y476" s="2"/>
    </row>
    <row r="477" spans="1:25" x14ac:dyDescent="0.2">
      <c r="A477" s="3">
        <v>890</v>
      </c>
      <c r="B477" s="4" t="s">
        <v>2938</v>
      </c>
      <c r="C477" s="3" t="s">
        <v>2939</v>
      </c>
      <c r="D477" s="3" t="str">
        <f>VLOOKUP(A477,Hebrew!A:C,3,0)</f>
        <v>ישראל/השטחים הכבושים: שנה לאחר ה-7 באוקטובר, הצורך בהפסקת אש ושחרור בני ערובה דחוף יותר מאי פעם.</v>
      </c>
      <c r="E477" s="3" t="s">
        <v>2940</v>
      </c>
      <c r="F477" s="3" t="str">
        <f>VLOOKUP($A477,Hebrew!$A:$S,4,0)</f>
        <v>אמנסטי אינטרנשיונל מציינת את יום השנה הראשון ל-7 באוקטובר וקוראת להפסקת אש מיידית ולשחרור החטופים על רקע האלימות המתמשכת ברצועת עזה.</v>
      </c>
      <c r="G477" s="3" t="s">
        <v>2792</v>
      </c>
      <c r="H477" s="2"/>
      <c r="I477" s="2"/>
      <c r="J477" s="3" t="s">
        <v>2941</v>
      </c>
      <c r="K477" s="3" t="s">
        <v>2942</v>
      </c>
      <c r="L477" s="3" t="str">
        <f>VLOOKUP($A477,Hebrew!$A:$S,9,0)</f>
        <v>אגנס קלאמרד</v>
      </c>
      <c r="M477" s="2"/>
      <c r="N477" s="2"/>
      <c r="O477" s="3" t="s">
        <v>26</v>
      </c>
      <c r="P477" s="3" t="s">
        <v>27</v>
      </c>
      <c r="Q477" s="3" t="str">
        <f>VLOOKUP($A477,Hebrew!$A:$S,13,0)</f>
        <v>רצועת עזה</v>
      </c>
      <c r="R477" s="3" t="s">
        <v>1694</v>
      </c>
      <c r="S477" s="3" t="s">
        <v>29</v>
      </c>
      <c r="T477" s="3" t="s">
        <v>2943</v>
      </c>
      <c r="U477" s="2"/>
      <c r="V477" s="3" t="s">
        <v>27</v>
      </c>
      <c r="W477" s="2"/>
      <c r="X477" s="2"/>
      <c r="Y477" s="2"/>
    </row>
    <row r="478" spans="1:25" x14ac:dyDescent="0.2">
      <c r="A478" s="3">
        <v>1247</v>
      </c>
      <c r="B478" s="4" t="s">
        <v>2944</v>
      </c>
      <c r="C478" s="3" t="s">
        <v>2945</v>
      </c>
      <c r="D478" s="3" t="str">
        <f>VLOOKUP(A478,Hebrew!A:C,3,0)</f>
        <v>ישראל/השטחים הכבושים: ראיות חדשות למתקפות לא-חוקיות של ישראל בעזה הגורמות נפגעים אזרחיים רבים תוך סיכון ממשי לרצח עם.</v>
      </c>
      <c r="E478" s="3" t="s">
        <v>2946</v>
      </c>
      <c r="F478" s="3" t="str">
        <f>VLOOKUP($A478,Hebrew!$A:$S,4,0)</f>
        <v>אמנסטי אינטרנשיונל מדווחת על התקפות לא-חוקיות של ישראל ברפיח, שגרמו לנפגעים רבים בקרב אזרחים, כולל ילדים, וקוראת לחקור אפשרות של פשעי מלחמה.</v>
      </c>
      <c r="G478" s="3" t="s">
        <v>1275</v>
      </c>
      <c r="H478" s="3" t="s">
        <v>2947</v>
      </c>
      <c r="I478" s="3" t="s">
        <v>2948</v>
      </c>
      <c r="J478" s="3" t="s">
        <v>2941</v>
      </c>
      <c r="K478" s="3" t="s">
        <v>2941</v>
      </c>
      <c r="L478" s="3" t="str">
        <f>VLOOKUP($A478,Hebrew!$A:$S,9,0)</f>
        <v>אמנסטי אינטרנשיונל</v>
      </c>
      <c r="M478" s="2"/>
      <c r="N478" s="2"/>
      <c r="O478" s="3" t="s">
        <v>26</v>
      </c>
      <c r="P478" s="3" t="s">
        <v>27</v>
      </c>
      <c r="Q478" s="3" t="str">
        <f>VLOOKUP($A478,Hebrew!$A:$S,13,0)</f>
        <v>רפיח</v>
      </c>
      <c r="R478" s="3" t="s">
        <v>28</v>
      </c>
      <c r="S478" s="3" t="s">
        <v>29</v>
      </c>
      <c r="T478" s="3" t="s">
        <v>2949</v>
      </c>
      <c r="U478" s="3" t="s">
        <v>43</v>
      </c>
      <c r="V478" s="3" t="s">
        <v>2950</v>
      </c>
      <c r="W478" s="2"/>
      <c r="X478" s="2"/>
      <c r="Y478" s="2"/>
    </row>
    <row r="479" spans="1:25" x14ac:dyDescent="0.2">
      <c r="A479" s="3">
        <v>286</v>
      </c>
      <c r="B479" s="4" t="s">
        <v>2951</v>
      </c>
      <c r="C479" s="3" t="s">
        <v>2952</v>
      </c>
      <c r="D479" s="3" t="str">
        <f>VLOOKUP(A479,Hebrew!A:C,3,0)</f>
        <v>ישראל/השטחים הכבושים: תחמושת אמריקאית הרגה 43 אזרחים בשני תקיפות אוויריות ישראליות מתועדות בעזה – תחקיר חדש.</v>
      </c>
      <c r="E479" s="3" t="s">
        <v>2953</v>
      </c>
      <c r="F479" s="3" t="str">
        <f>VLOOKUP($A479,Hebrew!$A:$S,4,0)</f>
        <v>תחקיר של אמנסטי אינטרנשיונל חושף כי תחמושת שיוצרה בארצות הברית שימשה בשני תקיפות אוויריות ישראליות מתועדות שהרגו 43 אזרחים בעזה. אמנסטי קוראת לחקור את ההתקפות הללו כפשעי מלחמה.</v>
      </c>
      <c r="G479" s="3" t="s">
        <v>2954</v>
      </c>
      <c r="H479" s="3" t="s">
        <v>2776</v>
      </c>
      <c r="I479" s="3" t="s">
        <v>2955</v>
      </c>
      <c r="J479" s="3" t="s">
        <v>2941</v>
      </c>
      <c r="K479" s="3" t="s">
        <v>2941</v>
      </c>
      <c r="L479" s="3" t="str">
        <f>VLOOKUP($A479,Hebrew!$A:$S,9,0)</f>
        <v>אגנס קלאמרד</v>
      </c>
      <c r="M479" s="2"/>
      <c r="N479" s="2"/>
      <c r="O479" s="3" t="s">
        <v>26</v>
      </c>
      <c r="P479" s="3" t="s">
        <v>728</v>
      </c>
      <c r="Q479" s="3" t="str">
        <f>VLOOKUP($A479,Hebrew!$A:$S,13,0)</f>
        <v>דיר אל-בלח</v>
      </c>
      <c r="R479" s="3" t="s">
        <v>28</v>
      </c>
      <c r="S479" s="3" t="s">
        <v>397</v>
      </c>
      <c r="T479" s="3" t="s">
        <v>2956</v>
      </c>
      <c r="U479" s="3" t="s">
        <v>2693</v>
      </c>
      <c r="V479" s="3" t="s">
        <v>728</v>
      </c>
      <c r="W479" s="2"/>
      <c r="X479" s="2"/>
      <c r="Y479" s="2"/>
    </row>
    <row r="480" spans="1:25" x14ac:dyDescent="0.2">
      <c r="A480" s="3">
        <v>721</v>
      </c>
      <c r="B480" s="4" t="s">
        <v>2957</v>
      </c>
      <c r="C480" s="3" t="s">
        <v>2958</v>
      </c>
      <c r="D480" s="3" t="str">
        <f>VLOOKUP(A480,Hebrew!A:C,3,0)</f>
        <v>יועצת של שרה נתניהו תומכת בעינויים של תושבי עזה המעורבים ברצח ישראלים.</v>
      </c>
      <c r="E480" s="3" t="s">
        <v>2959</v>
      </c>
      <c r="F480" s="3" t="str">
        <f>VLOOKUP($A480,Hebrew!$A:$S,4,0)</f>
        <v>יועצת של שרה נתניהו, ציפי נבון, תומכת בעינויים של תושבי עזה המעורבים ברצח ישראלים, ומתארת בפירוט מעשי אלימות ספציפיים שהיא מאחלת להם. היא גם קוראת לדווח על כתובת הפייסבוק של "בוגדים" מהשמאל הישראלי התוקפים את ראש ממשלת ישראל.</v>
      </c>
      <c r="G480" s="3" t="s">
        <v>2960</v>
      </c>
      <c r="H480" s="3" t="s">
        <v>2961</v>
      </c>
      <c r="I480" s="3" t="s">
        <v>2961</v>
      </c>
      <c r="J480" s="3" t="s">
        <v>2589</v>
      </c>
      <c r="K480" s="3" t="s">
        <v>2962</v>
      </c>
      <c r="L480" s="3" t="str">
        <f>VLOOKUP($A480,Hebrew!$A:$S,9,0)</f>
        <v>צוות MEE</v>
      </c>
      <c r="M480" s="2"/>
      <c r="N480" s="2"/>
      <c r="O480" s="3" t="s">
        <v>26</v>
      </c>
      <c r="P480" s="3" t="s">
        <v>60</v>
      </c>
      <c r="Q480" s="3" t="str">
        <f>VLOOKUP($A480,Hebrew!$A:$S,13,0)</f>
        <v>ישראל</v>
      </c>
      <c r="R480" s="3" t="s">
        <v>1215</v>
      </c>
      <c r="S480" s="3" t="s">
        <v>397</v>
      </c>
      <c r="T480" s="3" t="s">
        <v>2963</v>
      </c>
      <c r="U480" s="2"/>
      <c r="V480" s="3" t="s">
        <v>1459</v>
      </c>
      <c r="W480" s="3" t="s">
        <v>1460</v>
      </c>
      <c r="X480" s="2"/>
      <c r="Y480" s="2"/>
    </row>
    <row r="481" spans="1:25" x14ac:dyDescent="0.2">
      <c r="A481" s="3">
        <v>1284</v>
      </c>
      <c r="B481" s="4" t="s">
        <v>2964</v>
      </c>
      <c r="C481" s="3" t="s">
        <v>2965</v>
      </c>
      <c r="D481" s="3" t="str">
        <f>VLOOKUP(A481,Hebrew!A:C,3,0)</f>
        <v>דעה: אני רופא אמריקאי שבא לעזה. ראיתי השמדה, לא מלחמה.</v>
      </c>
      <c r="E481" s="3" t="s">
        <v>2966</v>
      </c>
      <c r="F481" s="3" t="str">
        <f>VLOOKUP($A481,Hebrew!$A:$S,4,0)</f>
        <v>רופא אמריקאי מדווח על החוויות הקשות בעת התנדבותו בעזה, הוא מתאר את המשבר ההומניטרי החמור ואת האתגרים העצומים שעומדים בפני הצוות הרפואי במקביל לאלימות מתמשכת.</v>
      </c>
      <c r="G481" s="3" t="s">
        <v>1292</v>
      </c>
      <c r="H481" s="3" t="s">
        <v>824</v>
      </c>
      <c r="I481" s="3" t="s">
        <v>1292</v>
      </c>
      <c r="J481" s="3" t="s">
        <v>2967</v>
      </c>
      <c r="K481" s="3" t="s">
        <v>2968</v>
      </c>
      <c r="L481" s="3" t="str">
        <f>VLOOKUP($A481,Hebrew!$A:$S,9,0)</f>
        <v>אירפאן גאלאריה</v>
      </c>
      <c r="M481" s="2"/>
      <c r="N481" s="2"/>
      <c r="O481" s="3" t="s">
        <v>26</v>
      </c>
      <c r="P481" s="3" t="s">
        <v>439</v>
      </c>
      <c r="Q481" s="3" t="str">
        <f>VLOOKUP($A481,Hebrew!$A:$S,13,0)</f>
        <v>רפיח</v>
      </c>
      <c r="R481" s="3" t="s">
        <v>1225</v>
      </c>
      <c r="S481" s="3" t="s">
        <v>29</v>
      </c>
      <c r="T481" s="3" t="s">
        <v>2969</v>
      </c>
      <c r="U481" s="3" t="s">
        <v>2693</v>
      </c>
      <c r="V481" s="3" t="s">
        <v>439</v>
      </c>
      <c r="W481" s="2"/>
      <c r="X481" s="2"/>
      <c r="Y481" s="2"/>
    </row>
    <row r="482" spans="1:25" x14ac:dyDescent="0.2">
      <c r="A482" s="3">
        <v>1148</v>
      </c>
      <c r="B482" s="4" t="s">
        <v>2970</v>
      </c>
      <c r="C482" s="3" t="s">
        <v>2971</v>
      </c>
      <c r="D482" s="3" t="str">
        <f>VLOOKUP(A482,Hebrew!A:C,3,0)</f>
        <v>ירידה בשיעור הנשים והילדים הפלסטינים שנהרגו ככל שמספר ההרוגים הכללי במלחמה עולה.</v>
      </c>
      <c r="E482" s="3" t="s">
        <v>2972</v>
      </c>
      <c r="F482" s="3" t="str">
        <f>VLOOKUP($A482,Hebrew!$A:$S,4,0)</f>
        <v>על פי תחקיר של סוכנות הידיעות AP חלה ירידה בשיעור הנשים והילדים הפלסטינים שנהרגו במלחמת ישראל-חמאס המתמשכת, למרות העלייה הכוללת במספר הנפגעים. בתחילת המלחמה (אוקטובר 2023), שיעור מקרי המוות של נשים וילדים היה 64%, בעוד שבאפריל 2024 השיעור ירד ל-38%. המאמר כולל ניסיונות שונים לנתח את הנתונים המגיעים ממשרד הבריאות בעזה.</v>
      </c>
      <c r="G482" s="3" t="s">
        <v>2973</v>
      </c>
      <c r="H482" s="2"/>
      <c r="I482" s="2"/>
      <c r="J482" s="3" t="s">
        <v>1684</v>
      </c>
      <c r="K482" s="3" t="s">
        <v>2974</v>
      </c>
      <c r="L482" s="3" t="str">
        <f>VLOOKUP($A482,Hebrew!$A:$S,9,0)</f>
        <v>יוסף פדרמן, לארי פן</v>
      </c>
      <c r="M482" s="2"/>
      <c r="N482" s="2"/>
      <c r="O482" s="3" t="s">
        <v>26</v>
      </c>
      <c r="P482" s="3" t="s">
        <v>27</v>
      </c>
      <c r="Q482" s="3" t="str">
        <f>VLOOKUP($A482,Hebrew!$A:$S,13,0)</f>
        <v>רצועת עזה</v>
      </c>
      <c r="R482" s="3" t="s">
        <v>61</v>
      </c>
      <c r="S482" s="3" t="s">
        <v>397</v>
      </c>
      <c r="T482" s="3" t="s">
        <v>2975</v>
      </c>
      <c r="U482" s="3" t="s">
        <v>2976</v>
      </c>
      <c r="V482" s="3" t="s">
        <v>27</v>
      </c>
      <c r="W482" s="2"/>
      <c r="X482" s="2"/>
      <c r="Y482" s="2"/>
    </row>
    <row r="483" spans="1:25" x14ac:dyDescent="0.2">
      <c r="A483" s="3">
        <v>1270</v>
      </c>
      <c r="B483" s="4" t="s">
        <v>2977</v>
      </c>
      <c r="C483" s="3" t="s">
        <v>2978</v>
      </c>
      <c r="D483" s="3" t="str">
        <f>VLOOKUP(A483,Hebrew!A:C,3,0)</f>
        <v>תחקיר של צה"ל הגיע למסקנה שכוח צה"ל ברפיח פעל בניגוד לנהלים, והרג בשוגג עובד עובד של האו"ם.</v>
      </c>
      <c r="E483" s="3" t="s">
        <v>2979</v>
      </c>
      <c r="F483" s="3" t="str">
        <f>VLOOKUP($A483,Hebrew!$A:$S,4,0)</f>
        <v>התחקיר חשף שרכב עובד האו"ם שהה בכביש שהתנועה בו אסורה בלי תיאום עם צה"ל. יחידת צה"ל ירתה פגז טנק ורימונים על הרכב. מלבד עובד האו"ם שנהרג, נפצע עובד נוסף.</v>
      </c>
      <c r="G483" s="3" t="s">
        <v>431</v>
      </c>
      <c r="H483" s="3" t="s">
        <v>846</v>
      </c>
      <c r="I483" s="3" t="s">
        <v>846</v>
      </c>
      <c r="J483" s="3" t="s">
        <v>36</v>
      </c>
      <c r="K483" s="3" t="s">
        <v>150</v>
      </c>
      <c r="L483" s="3" t="str">
        <f>VLOOKUP($A483,Hebrew!$A:$S,9,0)</f>
        <v>יניב קובוביץ'</v>
      </c>
      <c r="M483" s="2"/>
      <c r="N483" s="2"/>
      <c r="O483" s="3" t="s">
        <v>39</v>
      </c>
      <c r="P483" s="3" t="s">
        <v>439</v>
      </c>
      <c r="Q483" s="3" t="str">
        <f>VLOOKUP($A483,Hebrew!$A:$S,13,0)</f>
        <v>רפיח</v>
      </c>
      <c r="R483" s="3" t="s">
        <v>72</v>
      </c>
      <c r="S483" s="3" t="s">
        <v>29</v>
      </c>
      <c r="T483" s="3" t="s">
        <v>2980</v>
      </c>
      <c r="U483" s="3" t="s">
        <v>2981</v>
      </c>
      <c r="V483" s="3" t="s">
        <v>439</v>
      </c>
      <c r="W483" s="2"/>
      <c r="X483" s="2"/>
      <c r="Y483" s="2"/>
    </row>
    <row r="484" spans="1:25" x14ac:dyDescent="0.2">
      <c r="A484" s="3">
        <v>671</v>
      </c>
      <c r="B484" s="4" t="s">
        <v>2982</v>
      </c>
      <c r="C484" s="3" t="s">
        <v>2983</v>
      </c>
      <c r="D484" s="3" t="str">
        <f>VLOOKUP(A484,Hebrew!A:C,3,0)</f>
        <v>חייל צה"ל הציע בפייסבוק למכור סחורה שנבזזה.</v>
      </c>
      <c r="E484" s="3" t="s">
        <v>2984</v>
      </c>
      <c r="F484" s="3" t="str">
        <f>VLOOKUP($A484,Hebrew!$A:$S,4,0)</f>
        <v>חייל צה"ל הציע בפייסבוק למכירה דרכון של ילד פלסטיני במחיר של 500 ש"ח (~140$), וכן פריטים אחרים שנבזזו בעזה. החייל הושעה מלחימה אך נשאר ביחידתו ולא נשלח לכלא צבאי.</v>
      </c>
      <c r="G484" s="3" t="s">
        <v>927</v>
      </c>
      <c r="H484" s="2"/>
      <c r="I484" s="2"/>
      <c r="J484" s="3" t="s">
        <v>1199</v>
      </c>
      <c r="K484" s="3" t="s">
        <v>2985</v>
      </c>
      <c r="L484" s="3" t="str">
        <f>VLOOKUP($A484,Hebrew!$A:$S,9,0)</f>
        <v>יובל שדה</v>
      </c>
      <c r="M484" s="2"/>
      <c r="N484" s="2"/>
      <c r="O484" s="3" t="s">
        <v>39</v>
      </c>
      <c r="P484" s="3" t="s">
        <v>60</v>
      </c>
      <c r="Q484" s="3" t="str">
        <f>VLOOKUP($A484,Hebrew!$A:$S,13,0)</f>
        <v>ישראל</v>
      </c>
      <c r="R484" s="3" t="s">
        <v>1215</v>
      </c>
      <c r="S484" s="3" t="s">
        <v>397</v>
      </c>
      <c r="T484" s="3" t="s">
        <v>2986</v>
      </c>
      <c r="U484" s="3" t="s">
        <v>43</v>
      </c>
      <c r="V484" s="3" t="s">
        <v>709</v>
      </c>
      <c r="W484" s="3" t="s">
        <v>2987</v>
      </c>
      <c r="X484" s="2"/>
      <c r="Y484" s="2"/>
    </row>
    <row r="485" spans="1:25" x14ac:dyDescent="0.2">
      <c r="A485" s="3">
        <v>1611</v>
      </c>
      <c r="B485" s="4" t="s">
        <v>2988</v>
      </c>
      <c r="C485" s="3" t="s">
        <v>2989</v>
      </c>
      <c r="D485" s="3" t="str">
        <f>VLOOKUP(A485,Hebrew!A:C,3,0)</f>
        <v>על פי דו"ח קולונה, ישראל עדיין לא סיפקה ראיות לקשרים של אנשי צוות אונר"א עם טרור.</v>
      </c>
      <c r="E485" s="3" t="s">
        <v>2990</v>
      </c>
      <c r="F485" s="3" t="str">
        <f>VLOOKUP($A485,Hebrew!$A:$S,4,0)</f>
        <v>תחקיר עצמאי בראשות קתרין קולונה (שרת החוץ לשעבר של צרפת) מצא כי ישראל לא סיפקה ראיות לטענותיה כי עובדי אונר"א קשורים לארגוני טרור. בנוסף, דוח שסיפקו מוסדות סקנדינביים מצא ראיות מוגבלות מאוד לטענות ישראל לגבי תוכן אנטישמי בספרי הלימוד שמשתמשים בהם בבתי הספר של אונר"א. שתי הטענות היו חלק מקמפיין ישראלי נגד אונר"א מתחילת 2024. המאמר מתייחס גם לכמה מהמדינות שחידשו את המימון שלהן לאונר"א אחרי שהפסיקו אותו.</v>
      </c>
      <c r="G485" s="3" t="s">
        <v>2829</v>
      </c>
      <c r="H485" s="3" t="s">
        <v>2608</v>
      </c>
      <c r="I485" s="3" t="s">
        <v>2829</v>
      </c>
      <c r="J485" s="3" t="s">
        <v>110</v>
      </c>
      <c r="K485" s="3" t="s">
        <v>2597</v>
      </c>
      <c r="L485" s="3" t="str">
        <f>VLOOKUP($A485,Hebrew!$A:$S,9,0)</f>
        <v>ג'וליאן בורגר</v>
      </c>
      <c r="M485" s="2"/>
      <c r="N485" s="6" t="s">
        <v>2991</v>
      </c>
      <c r="O485" s="3" t="s">
        <v>26</v>
      </c>
      <c r="P485" s="3" t="s">
        <v>2992</v>
      </c>
      <c r="Q485" s="3" t="str">
        <f>VLOOKUP($A485,Hebrew!$A:$S,13,0)</f>
        <v>בינלאומי</v>
      </c>
      <c r="R485" s="3" t="s">
        <v>1215</v>
      </c>
      <c r="S485" s="3" t="s">
        <v>397</v>
      </c>
      <c r="T485" s="3" t="s">
        <v>2993</v>
      </c>
      <c r="U485" s="3" t="s">
        <v>2994</v>
      </c>
      <c r="V485" s="3" t="s">
        <v>27</v>
      </c>
      <c r="W485" s="2"/>
      <c r="X485" s="2"/>
      <c r="Y485" s="2"/>
    </row>
    <row r="486" spans="1:25" x14ac:dyDescent="0.2">
      <c r="A486" s="3">
        <v>678</v>
      </c>
      <c r="B486" s="6" t="s">
        <v>2995</v>
      </c>
      <c r="C486" s="3" t="s">
        <v>2996</v>
      </c>
      <c r="D486" s="3" t="str">
        <f>VLOOKUP(A486,Hebrew!A:C,3,0)</f>
        <v>ראיון טלפוני עם ח"כ שרן השכל: מה הבעיה שלך עם העברת יתומים מעזה לגדה המערבית?</v>
      </c>
      <c r="E486" s="3" t="s">
        <v>2997</v>
      </c>
      <c r="F486" s="3" t="str">
        <f>VLOOKUP($A486,Hebrew!$A:$S,4,0)</f>
        <v>ראיון עם חברת הכנסת שרן השכל ביחס לאתגרים בהעברת ילדים יתומים מעזה לגדה המערבית. ח"כ השכל טוענת כי העברת ילדים כאלה חייבת להיות מתואמת עם הממשלה ומאשימה את חמאס בכל ההרוגים במלחמה.</v>
      </c>
      <c r="G486" s="3" t="s">
        <v>1692</v>
      </c>
      <c r="H486" s="2"/>
      <c r="I486" s="2"/>
      <c r="J486" s="3" t="s">
        <v>36</v>
      </c>
      <c r="K486" s="3" t="s">
        <v>2998</v>
      </c>
      <c r="L486" s="3" t="str">
        <f>VLOOKUP($A486,Hebrew!$A:$S,9,0)</f>
        <v>ניר גונטז</v>
      </c>
      <c r="M486" s="2"/>
      <c r="N486" s="2"/>
      <c r="O486" s="3" t="s">
        <v>39</v>
      </c>
      <c r="P486" s="3" t="s">
        <v>2999</v>
      </c>
      <c r="Q486" s="3" t="str">
        <f>VLOOKUP($A486,Hebrew!$A:$S,13,0)</f>
        <v>רצועת עזה, הגדה המערבית</v>
      </c>
      <c r="R486" s="3" t="s">
        <v>1215</v>
      </c>
      <c r="S486" s="3" t="s">
        <v>397</v>
      </c>
      <c r="T486" s="3" t="s">
        <v>3000</v>
      </c>
      <c r="U486" s="3" t="s">
        <v>3001</v>
      </c>
      <c r="V486" s="3" t="s">
        <v>3002</v>
      </c>
      <c r="W486" s="2"/>
      <c r="X486" s="2"/>
      <c r="Y486" s="2"/>
    </row>
    <row r="487" spans="1:25" x14ac:dyDescent="0.2">
      <c r="A487" s="3">
        <v>694</v>
      </c>
      <c r="B487" s="4" t="s">
        <v>3003</v>
      </c>
      <c r="C487" s="3" t="s">
        <v>3004</v>
      </c>
      <c r="D487" s="3" t="str">
        <f>VLOOKUP(A487,Hebrew!A:C,3,0)</f>
        <v>חקירת מותם של שני עצירים מהרצועה מעלה כי חיילים הכו אותם בדרכם למתקן שדה תימן</v>
      </c>
      <c r="E487" s="3" t="s">
        <v>3005</v>
      </c>
      <c r="F487" s="3" t="str">
        <f>VLOOKUP($A487,Hebrew!$A:$S,4,0)</f>
        <v>חוקרים גילו ששני עצורים פלסטינים מעזה מתו לאחר שהוכו על ידי חיילים בזמן שהועברו למתקן המעצר שדה תימן. למרות שכמה חיילים נחקרו, אף אחד מהם לא נעצר במקרה זה כמו גם ב-33 מקרים אחרים, בהם פלסטינים מעזה שנעצרו חיים, מתו בזמן שהיו במעצר ישראלי.</v>
      </c>
      <c r="G487" s="3" t="s">
        <v>2642</v>
      </c>
      <c r="H487" s="3" t="s">
        <v>1727</v>
      </c>
      <c r="I487" s="3" t="s">
        <v>810</v>
      </c>
      <c r="J487" s="3" t="s">
        <v>36</v>
      </c>
      <c r="K487" s="3" t="s">
        <v>3006</v>
      </c>
      <c r="L487" s="3" t="str">
        <f>VLOOKUP($A487,Hebrew!$A:$S,9,0)</f>
        <v>בר פלג, ג'וש בריינר</v>
      </c>
      <c r="M487" s="2"/>
      <c r="N487" s="2"/>
      <c r="O487" s="3" t="s">
        <v>39</v>
      </c>
      <c r="P487" s="3" t="s">
        <v>3007</v>
      </c>
      <c r="Q487" s="3" t="str">
        <f>VLOOKUP($A487,Hebrew!$A:$S,13,0)</f>
        <v>רצועת עזה, ישראל</v>
      </c>
      <c r="R487" s="3" t="s">
        <v>1215</v>
      </c>
      <c r="S487" s="3" t="s">
        <v>397</v>
      </c>
      <c r="T487" s="3" t="s">
        <v>3008</v>
      </c>
      <c r="U487" s="3" t="s">
        <v>3009</v>
      </c>
      <c r="V487" s="3" t="s">
        <v>3010</v>
      </c>
      <c r="W487" s="2"/>
      <c r="X487" s="2"/>
      <c r="Y487" s="2"/>
    </row>
    <row r="488" spans="1:25" hidden="1" x14ac:dyDescent="0.2">
      <c r="A488" s="3">
        <v>1291</v>
      </c>
      <c r="B488" s="4" t="s">
        <v>3011</v>
      </c>
      <c r="C488" s="3" t="s">
        <v>3012</v>
      </c>
      <c r="D488" s="3" t="e">
        <f>VLOOKUP(A488,Hebrew!A:C,3,0)</f>
        <v>#N/A</v>
      </c>
      <c r="E488" s="3" t="s">
        <v>3013</v>
      </c>
      <c r="F488" s="3" t="e">
        <f>VLOOKUP($A488,Hebrew!$A:$S,4,0)</f>
        <v>#N/A</v>
      </c>
      <c r="G488" s="3" t="s">
        <v>2163</v>
      </c>
      <c r="H488" s="2"/>
      <c r="I488" s="2"/>
      <c r="J488" s="3" t="s">
        <v>2589</v>
      </c>
      <c r="K488" s="3" t="s">
        <v>2962</v>
      </c>
      <c r="L488" s="3" t="e">
        <f>VLOOKUP($A488,Hebrew!$A:$S,9,0)</f>
        <v>#N/A</v>
      </c>
      <c r="M488" s="2"/>
      <c r="N488" s="6" t="s">
        <v>3014</v>
      </c>
      <c r="O488" s="3" t="s">
        <v>26</v>
      </c>
      <c r="P488" s="3" t="s">
        <v>27</v>
      </c>
      <c r="Q488" s="3" t="e">
        <f>VLOOKUP($A488,Hebrew!$A:$S,13,0)</f>
        <v>#N/A</v>
      </c>
      <c r="R488" s="3" t="s">
        <v>1215</v>
      </c>
      <c r="S488" s="3" t="s">
        <v>29</v>
      </c>
      <c r="T488" s="3" t="s">
        <v>3015</v>
      </c>
      <c r="U488" s="3" t="s">
        <v>43</v>
      </c>
      <c r="V488" s="3" t="s">
        <v>27</v>
      </c>
      <c r="W488" s="2"/>
      <c r="X488" s="2"/>
      <c r="Y488" s="2"/>
    </row>
    <row r="489" spans="1:25" x14ac:dyDescent="0.2">
      <c r="A489" s="3">
        <v>100</v>
      </c>
      <c r="B489" s="4" t="s">
        <v>3016</v>
      </c>
      <c r="C489" s="3" t="s">
        <v>3017</v>
      </c>
      <c r="D489" s="3" t="str">
        <f>VLOOKUP(A489,Hebrew!A:C,3,0)</f>
        <v>לפחות 12 פלסטינים טבעו בניסיון להוציא חבילות סיוע שהוטלו לים</v>
      </c>
      <c r="E489" s="3" t="s">
        <v>3018</v>
      </c>
      <c r="F489" s="3" t="str">
        <f>VLOOKUP($A489,Hebrew!$A:$S,4,0)</f>
        <v>לפחות 12 פלסטינים טבעו בניסיון לאסוף חבילות סיוע שהוטלו מהאוויר לים מול חופי צפון עזה. ארגוני זכויות האדם מתחו שוב ושוב ביקורת על הטלת סיוע מהאוויר כדרך לא יעילה ומבזה להעביר סיוע לעזתים, במקום הקריאה לרשויות הישראליות להסיר את המגבלות על מעברי הגבול לתוך המובלעת. המאמר מזכיר 5 פלסטינים נוספים שמתו ו-10 אחרים שנפצעו כאשר סיוע שהוטל מהאוויר נפל עליהם מוקדם יותר במרץ 2024.</v>
      </c>
      <c r="G489" s="3" t="s">
        <v>2369</v>
      </c>
      <c r="H489" s="3" t="s">
        <v>3019</v>
      </c>
      <c r="I489" s="3" t="s">
        <v>3019</v>
      </c>
      <c r="J489" s="3" t="s">
        <v>135</v>
      </c>
      <c r="K489" s="3" t="s">
        <v>3020</v>
      </c>
      <c r="L489" s="3" t="str">
        <f>VLOOKUP($A489,Hebrew!$A:$S,9,0)</f>
        <v>עבדלקדדר סבאח, קרים חדאר, ג'ומנה קראדשה, אביר סלמן, סנא נור חאק</v>
      </c>
      <c r="M489" s="2"/>
      <c r="N489" s="2"/>
      <c r="O489" s="3" t="s">
        <v>26</v>
      </c>
      <c r="P489" s="3" t="s">
        <v>105</v>
      </c>
      <c r="Q489" s="3" t="str">
        <f>VLOOKUP($A489,Hebrew!$A:$S,13,0)</f>
        <v>בית לאהיא</v>
      </c>
      <c r="R489" s="3" t="s">
        <v>1215</v>
      </c>
      <c r="S489" s="3" t="s">
        <v>413</v>
      </c>
      <c r="T489" s="3" t="s">
        <v>3021</v>
      </c>
      <c r="U489" s="2"/>
      <c r="V489" s="3" t="s">
        <v>105</v>
      </c>
      <c r="W489" s="2"/>
      <c r="X489" s="2"/>
      <c r="Y489" s="2"/>
    </row>
    <row r="490" spans="1:25" x14ac:dyDescent="0.2">
      <c r="A490" s="3">
        <v>2055</v>
      </c>
      <c r="B490" s="4" t="s">
        <v>3022</v>
      </c>
      <c r="C490" s="3" t="s">
        <v>3023</v>
      </c>
      <c r="D490" s="3" t="str">
        <f>VLOOKUP(A490,Hebrew!A:C,3,0)</f>
        <v>66 פלסטינים נהרגו במתקפה ליד בית החולים כמאל עדואן</v>
      </c>
      <c r="E490" s="3" t="s">
        <v>3024</v>
      </c>
      <c r="F490" s="3" t="str">
        <f>VLOOKUP($A490,Hebrew!$A:$S,4,0)</f>
        <v>לפחות 66 אנשים, רובם נשים וילדים, נהרגו במתקפה של צה"ל ליד בית החולים כמאל אדואן בצפון עזה. יותר מ-100 נפצעו באותו אירוע.</v>
      </c>
      <c r="G490" s="3" t="s">
        <v>650</v>
      </c>
      <c r="H490" s="3" t="s">
        <v>650</v>
      </c>
      <c r="I490" s="3" t="s">
        <v>650</v>
      </c>
      <c r="J490" s="3" t="s">
        <v>2589</v>
      </c>
      <c r="K490" s="2"/>
      <c r="L490" s="3">
        <f>VLOOKUP($A490,Hebrew!$A:$S,9,0)</f>
        <v>0</v>
      </c>
      <c r="M490" s="3" t="s">
        <v>1324</v>
      </c>
      <c r="N490" s="2"/>
      <c r="O490" s="3" t="s">
        <v>26</v>
      </c>
      <c r="P490" s="3" t="s">
        <v>105</v>
      </c>
      <c r="Q490" s="3" t="str">
        <f>VLOOKUP($A490,Hebrew!$A:$S,13,0)</f>
        <v>בית לאהיא</v>
      </c>
      <c r="R490" s="3" t="s">
        <v>1215</v>
      </c>
      <c r="S490" s="3" t="s">
        <v>397</v>
      </c>
      <c r="T490" s="3" t="s">
        <v>3025</v>
      </c>
      <c r="U490" s="3" t="s">
        <v>43</v>
      </c>
      <c r="V490" s="3" t="s">
        <v>2111</v>
      </c>
      <c r="W490" s="2"/>
      <c r="X490" s="2"/>
      <c r="Y490" s="2"/>
    </row>
    <row r="491" spans="1:25" x14ac:dyDescent="0.2">
      <c r="A491" s="3">
        <v>670</v>
      </c>
      <c r="B491" s="4" t="s">
        <v>3026</v>
      </c>
      <c r="C491" s="3" t="s">
        <v>3027</v>
      </c>
      <c r="D491" s="3" t="str">
        <f>VLOOKUP(A491,Hebrew!A:C,3,0)</f>
        <v>פוסטים ברשתות החברתיות מציגים עצורים פלסטינים עם כיסוי עיניים וכפותים.</v>
      </c>
      <c r="E491" s="3" t="s">
        <v>3028</v>
      </c>
      <c r="F491" s="3" t="str">
        <f>VLOOKUP($A491,Hebrew!$A:$S,4,0)</f>
        <v>ניתוח של פוסטים ברשתות החברתיות על ידי חיילי צה"ל המראים, בין היתר, פלסטינים עצורים עם כיסוי עיניים, כפותים וערומים. המאמר מציע שההפרות עשויות להיות בלתי חוקיות לפי החוק ההומניטרי הבינלאומי. המאמר גם מציין את מה שמכונה "מועדון ציד חמאס", חשבון אינסטגרם שיש לו טלאי שחלק מחיילי צה"ל לובשים.</v>
      </c>
      <c r="G491" s="3" t="s">
        <v>2163</v>
      </c>
      <c r="H491" s="2"/>
      <c r="I491" s="2"/>
      <c r="J491" s="3" t="s">
        <v>3029</v>
      </c>
      <c r="K491" s="3" t="s">
        <v>3030</v>
      </c>
      <c r="L491" s="3" t="str">
        <f>VLOOKUP($A491,Hebrew!$A:$S,9,0)</f>
        <v>יוניס טיראווי</v>
      </c>
      <c r="M491" s="2"/>
      <c r="N491" s="2"/>
      <c r="O491" s="3" t="s">
        <v>26</v>
      </c>
      <c r="P491" s="3" t="s">
        <v>27</v>
      </c>
      <c r="Q491" s="3" t="str">
        <f>VLOOKUP($A491,Hebrew!$A:$S,13,0)</f>
        <v>רצועת עזה</v>
      </c>
      <c r="R491" s="3" t="s">
        <v>1215</v>
      </c>
      <c r="S491" s="3" t="s">
        <v>2005</v>
      </c>
      <c r="T491" s="3" t="s">
        <v>3031</v>
      </c>
      <c r="U491" s="3" t="s">
        <v>43</v>
      </c>
      <c r="V491" s="3" t="s">
        <v>27</v>
      </c>
      <c r="W491" s="2"/>
      <c r="X491" s="2"/>
      <c r="Y491" s="2"/>
    </row>
    <row r="492" spans="1:25" x14ac:dyDescent="0.2">
      <c r="A492" s="3">
        <v>1817</v>
      </c>
      <c r="B492" s="4" t="s">
        <v>3032</v>
      </c>
      <c r="C492" s="3" t="s">
        <v>3033</v>
      </c>
      <c r="D492" s="3" t="str">
        <f>VLOOKUP(A492,Hebrew!A:C,3,0)</f>
        <v>נתניהו מבטיח להילחם בסנקציות האמריקאיות על יחידת צה"ל המואשמת בהפרות בגדה המערבית</v>
      </c>
      <c r="E492" s="3" t="s">
        <v>3034</v>
      </c>
      <c r="F492" s="3" t="str">
        <f>VLOOKUP($A492,Hebrew!$A:$S,4,0)</f>
        <v>בנימין נתניהו מבטיח להתנגד לסנקציות של ארה"ב (מתוקף חוק ליהי) נגד גדוד נצח יהודה של צה"ל, אשר ארה"ב מאשימה בהפרות זכויות אדם בשטחי הגדה המערבית.</v>
      </c>
      <c r="G492" s="3" t="s">
        <v>2829</v>
      </c>
      <c r="H492" s="2"/>
      <c r="I492" s="2"/>
      <c r="J492" s="3" t="s">
        <v>110</v>
      </c>
      <c r="K492" s="3" t="s">
        <v>3035</v>
      </c>
      <c r="L492" s="3" t="str">
        <f>VLOOKUP($A492,Hebrew!$A:$S,9,0)</f>
        <v>פיטר בומונט</v>
      </c>
      <c r="M492" s="2"/>
      <c r="N492" s="2"/>
      <c r="O492" s="3" t="s">
        <v>26</v>
      </c>
      <c r="P492" s="3" t="s">
        <v>60</v>
      </c>
      <c r="Q492" s="3" t="str">
        <f>VLOOKUP($A492,Hebrew!$A:$S,13,0)</f>
        <v>ישראל</v>
      </c>
      <c r="R492" s="3" t="s">
        <v>1215</v>
      </c>
      <c r="S492" s="3" t="s">
        <v>397</v>
      </c>
      <c r="T492" s="3" t="s">
        <v>3036</v>
      </c>
      <c r="U492" s="3" t="s">
        <v>3037</v>
      </c>
      <c r="V492" s="3" t="s">
        <v>245</v>
      </c>
      <c r="W492" s="3" t="s">
        <v>315</v>
      </c>
      <c r="X492" s="2"/>
      <c r="Y492" s="2"/>
    </row>
    <row r="493" spans="1:25" x14ac:dyDescent="0.2">
      <c r="A493" s="3">
        <v>1929</v>
      </c>
      <c r="B493" s="4" t="s">
        <v>3038</v>
      </c>
      <c r="C493" s="3" t="s">
        <v>3039</v>
      </c>
      <c r="D493" s="3" t="str">
        <f>VLOOKUP(A493,Hebrew!A:C,3,0)</f>
        <v>ברני סנדרס אומר שנתניהו תוקף את ההפגנות בקמפוסים כדי להסיט את הביקורת על המלחמה</v>
      </c>
      <c r="E493" s="3" t="s">
        <v>3040</v>
      </c>
      <c r="F493" s="3" t="str">
        <f>VLOOKUP($A493,Hebrew!$A:$S,4,0)</f>
        <v>ברני סנדרס מבקר את ראש ממשלת ישראל בנימין נתניהו על כך שהוא משתמש בהאשמות על אנטישמיות כדי להסיט את תשומת הלב מהמשבר ההומניטרי בעזה, על רקע עליית ההפגנות הפרו-פלסטיניות בקמפוסים של אוניברסיטאות בארצות הברית.</v>
      </c>
      <c r="G493" s="3" t="s">
        <v>483</v>
      </c>
      <c r="H493" s="2"/>
      <c r="I493" s="2"/>
      <c r="J493" s="3" t="s">
        <v>2821</v>
      </c>
      <c r="K493" s="3" t="s">
        <v>3041</v>
      </c>
      <c r="L493" s="3" t="str">
        <f>VLOOKUP($A493,Hebrew!$A:$S,9,0)</f>
        <v>סקוט דטרו</v>
      </c>
      <c r="M493" s="2"/>
      <c r="N493" s="2"/>
      <c r="O493" s="3" t="s">
        <v>26</v>
      </c>
      <c r="P493" s="3" t="s">
        <v>95</v>
      </c>
      <c r="Q493" s="3" t="str">
        <f>VLOOKUP($A493,Hebrew!$A:$S,13,0)</f>
        <v>ארה"ב</v>
      </c>
      <c r="R493" s="3" t="s">
        <v>72</v>
      </c>
      <c r="S493" s="3" t="s">
        <v>1712</v>
      </c>
      <c r="T493" s="3" t="s">
        <v>3042</v>
      </c>
      <c r="U493" s="3" t="s">
        <v>95</v>
      </c>
      <c r="V493" s="3" t="s">
        <v>27</v>
      </c>
      <c r="W493" s="3" t="s">
        <v>1460</v>
      </c>
      <c r="X493" s="2"/>
      <c r="Y493" s="2"/>
    </row>
    <row r="494" spans="1:25" x14ac:dyDescent="0.2">
      <c r="A494" s="3">
        <v>1253</v>
      </c>
      <c r="B494" s="4" t="s">
        <v>3043</v>
      </c>
      <c r="C494" s="3" t="s">
        <v>3044</v>
      </c>
      <c r="D494" s="3" t="str">
        <f>VLOOKUP(A494,Hebrew!A:C,3,0)</f>
        <v>קנדה פונה לישראל לאחר שסוכנות הסיוע אומרת כי משאית מים הותקפה בפיצוץ "ממוקד".</v>
      </c>
      <c r="E494" s="3" t="s">
        <v>3045</v>
      </c>
      <c r="F494" s="3" t="str">
        <f>VLOOKUP($A494,Hebrew!$A:$S,4,0)</f>
        <v>קנדה פנתה לישראל בנוגע להפצצה של משאית מים שהופעלה על ידי ארגון סיוע קנדי בעזה (קרן הפיתוח והסיוע הבינלאומית), התקפה שהם מאמינים שהייתה ממוקדת. האירוע התרחש שבועיים לאחר שישראל תקפה שיירה של המטבח המרכזי העולמי, והביאה למותם של שבעה עובדי סיוע.</v>
      </c>
      <c r="G494" s="3" t="s">
        <v>3046</v>
      </c>
      <c r="H494" s="3" t="s">
        <v>2714</v>
      </c>
      <c r="I494" s="3" t="s">
        <v>3046</v>
      </c>
      <c r="J494" s="3" t="s">
        <v>3047</v>
      </c>
      <c r="K494" s="3" t="s">
        <v>3048</v>
      </c>
      <c r="L494" s="3" t="str">
        <f>VLOOKUP($A494,Hebrew!$A:$S,9,0)</f>
        <v>שניפה נאסר</v>
      </c>
      <c r="M494" s="2"/>
      <c r="N494" s="2"/>
      <c r="O494" s="3" t="s">
        <v>26</v>
      </c>
      <c r="P494" s="3" t="s">
        <v>3049</v>
      </c>
      <c r="Q494" s="3" t="str">
        <f>VLOOKUP($A494,Hebrew!$A:$S,13,0)</f>
        <v>קנדה</v>
      </c>
      <c r="R494" s="3" t="s">
        <v>1215</v>
      </c>
      <c r="S494" s="3" t="s">
        <v>397</v>
      </c>
      <c r="T494" s="3" t="s">
        <v>3050</v>
      </c>
      <c r="U494" s="3" t="s">
        <v>43</v>
      </c>
      <c r="V494" s="3" t="s">
        <v>1341</v>
      </c>
      <c r="W494" s="2"/>
      <c r="X494" s="2"/>
      <c r="Y494" s="2"/>
    </row>
    <row r="495" spans="1:25" x14ac:dyDescent="0.2">
      <c r="A495" s="3">
        <v>96</v>
      </c>
      <c r="B495" s="4" t="s">
        <v>3051</v>
      </c>
      <c r="C495" s="3" t="s">
        <v>3052</v>
      </c>
      <c r="D495" s="3" t="str">
        <f>VLOOKUP(A495,Hebrew!A:C,3,0)</f>
        <v>CARE מזהירה: 84% מהאורות בעזה כבו, אנשים נשארו חולים ורעבים</v>
      </c>
      <c r="E495" s="3" t="s">
        <v>3053</v>
      </c>
      <c r="F495" s="3" t="str">
        <f>VLOOKUP($A495,Hebrew!$A:$S,4,0)</f>
        <v>על פי ניתוח של תמונות לוויין, 84% מהאורות בעזה כבו בעקבות העימות המתמשך. כ-70% מבתי החולים פועלים עם מעט או ללא אור בלילה, מה שמשפיע על אינקובטורים ומכשירים מצילי חיים.</v>
      </c>
      <c r="G495" s="3" t="s">
        <v>1722</v>
      </c>
      <c r="H495" s="2"/>
      <c r="I495" s="2"/>
      <c r="J495" s="4" t="s">
        <v>3054</v>
      </c>
      <c r="K495" s="3" t="s">
        <v>3055</v>
      </c>
      <c r="L495" s="3" t="str">
        <f>VLOOKUP($A495,Hebrew!$A:$S,9,0)</f>
        <v>טיפול</v>
      </c>
      <c r="M495" s="2"/>
      <c r="N495" s="2"/>
      <c r="O495" s="3" t="s">
        <v>26</v>
      </c>
      <c r="P495" s="3" t="s">
        <v>27</v>
      </c>
      <c r="Q495" s="3" t="str">
        <f>VLOOKUP($A495,Hebrew!$A:$S,13,0)</f>
        <v>רצועת עזה</v>
      </c>
      <c r="R495" s="3" t="s">
        <v>61</v>
      </c>
      <c r="S495" s="3" t="s">
        <v>397</v>
      </c>
      <c r="T495" s="3" t="s">
        <v>3056</v>
      </c>
      <c r="U495" s="2"/>
      <c r="V495" s="3" t="s">
        <v>3057</v>
      </c>
      <c r="W495" s="2"/>
      <c r="X495" s="2"/>
      <c r="Y495" s="2"/>
    </row>
    <row r="496" spans="1:25" x14ac:dyDescent="0.2">
      <c r="A496" s="3">
        <v>1416</v>
      </c>
      <c r="B496" s="4" t="s">
        <v>3058</v>
      </c>
      <c r="C496" s="3" t="s">
        <v>3059</v>
      </c>
      <c r="D496" s="3" t="str">
        <f>VLOOKUP(A496,Hebrew!A:C,3,0)</f>
        <v>עובדי CNN, כולל כריסטיאן אמנפור, התעמתו עם מנהלי CNN בנושא "סטנדרטים כפולים" בסיקור מלחמת עזה</v>
      </c>
      <c r="E496" s="3" t="s">
        <v>3060</v>
      </c>
      <c r="F496" s="3" t="str">
        <f>VLOOKUP($A496,Hebrew!$A:$S,4,0)</f>
        <v>כריסטיאן אמנפור ועובדי CNN מתעמתים עם מנהלי הרשת לגבי סטנדרטים כפולים לכאורה בכיסוי הסכסוך בין ישראל לעזה במהלך פגישה כללית שנערכה לאחרונה. אחת הבעיות שעלו שוב ושוב היא התהליך הממושך של CNN לנתב כמעט את כל הסיקור הקשור לישראל ולפלסטין דרך המשרד של הרשת בירושלים. המאמר מציין את התהליך שבו CNN מנתבת כמעט את כל הסיקור הקשור לישראל דרך משרדה בירושלים.</v>
      </c>
      <c r="G496" s="3" t="s">
        <v>1727</v>
      </c>
      <c r="H496" s="3" t="s">
        <v>816</v>
      </c>
      <c r="I496" s="3" t="s">
        <v>816</v>
      </c>
      <c r="J496" s="3" t="s">
        <v>3061</v>
      </c>
      <c r="K496" s="3" t="s">
        <v>3062</v>
      </c>
      <c r="L496" s="3" t="str">
        <f>VLOOKUP($A496,Hebrew!$A:$S,9,0)</f>
        <v>דניאל בוגוסלאב, פרם תקר</v>
      </c>
      <c r="M496" s="2"/>
      <c r="N496" s="2"/>
      <c r="O496" s="3" t="s">
        <v>26</v>
      </c>
      <c r="P496" s="3" t="s">
        <v>3063</v>
      </c>
      <c r="Q496" s="3" t="str">
        <f>VLOOKUP($A496,Hebrew!$A:$S,13,0)</f>
        <v>לונדון</v>
      </c>
      <c r="R496" s="3" t="s">
        <v>1215</v>
      </c>
      <c r="S496" s="3" t="s">
        <v>397</v>
      </c>
      <c r="T496" s="3" t="s">
        <v>3064</v>
      </c>
      <c r="U496" s="3" t="s">
        <v>253</v>
      </c>
      <c r="V496" s="3" t="s">
        <v>27</v>
      </c>
      <c r="W496" s="2"/>
      <c r="X496" s="2"/>
      <c r="Y496" s="2"/>
    </row>
    <row r="497" spans="1:25" x14ac:dyDescent="0.2">
      <c r="A497" s="3">
        <v>1588</v>
      </c>
      <c r="B497" s="4" t="s">
        <v>3065</v>
      </c>
      <c r="C497" s="3" t="s">
        <v>3066</v>
      </c>
      <c r="D497" s="3" t="str">
        <f>VLOOKUP(A497,Hebrew!A:C,3,0)</f>
        <v>CNN מודה שהיא מעבירה את כל הסיקור על עזה דרך המשרד שלה בירושלים, אשר נמצא תחת פיקוח של הצנזורה הצבאית הישראלית.</v>
      </c>
      <c r="E497" s="3" t="s">
        <v>3067</v>
      </c>
      <c r="F497" s="3" t="str">
        <f>VLOOKUP($A497,Hebrew!$A:$S,4,0)</f>
        <v>CNN מודה שהיא מעבירה את כל הסיקור על עזה דרך המשרד שלה בירושלים, אשר מפוקח על ידי הצנזורה הצבאית הישראלית. הסקירה של המשרד מביאה להימנעות ממילים כמו "רצח עם" או "פשעי מלחמה". לפי חבר צוות, "הפצצות הישראליות בעזה ידווחו כ'פיצוצים' שלא ייוחסו לאף אחד, עד שהצבא הישראלי יתערב כדי לקבל או להכחיש אחריות; ציטוטים ומידע שסופקו על ידי אנשי צבא וממשלת ישראל נוטים לקבל אישור במהירות, בעוד שאלה שמגיעות מהפלסטינים נבדקות בקפידה ומעובדות לאט."</v>
      </c>
      <c r="G497" s="3" t="s">
        <v>2609</v>
      </c>
      <c r="H497" s="2"/>
      <c r="I497" s="2"/>
      <c r="J497" s="3" t="s">
        <v>3068</v>
      </c>
      <c r="K497" s="3" t="s">
        <v>3069</v>
      </c>
      <c r="L497" s="3" t="str">
        <f>VLOOKUP($A497,Hebrew!$A:$S,9,0)</f>
        <v>ג'וליה קונלי</v>
      </c>
      <c r="M497" s="3" t="s">
        <v>3061</v>
      </c>
      <c r="N497" s="6" t="s">
        <v>3070</v>
      </c>
      <c r="O497" s="3" t="s">
        <v>26</v>
      </c>
      <c r="P497" s="3" t="s">
        <v>168</v>
      </c>
      <c r="Q497" s="3" t="str">
        <f>VLOOKUP($A497,Hebrew!$A:$S,13,0)</f>
        <v>ירושלים</v>
      </c>
      <c r="R497" s="3" t="s">
        <v>1215</v>
      </c>
      <c r="S497" s="3" t="s">
        <v>29</v>
      </c>
      <c r="T497" s="3" t="s">
        <v>3071</v>
      </c>
      <c r="U497" s="2"/>
      <c r="V497" s="3" t="s">
        <v>3072</v>
      </c>
      <c r="W497" s="2"/>
      <c r="X497" s="2"/>
      <c r="Y497" s="2"/>
    </row>
    <row r="498" spans="1:25" x14ac:dyDescent="0.2">
      <c r="A498" s="3">
        <v>1609</v>
      </c>
      <c r="B498" s="4" t="s">
        <v>3073</v>
      </c>
      <c r="C498" s="3" t="s">
        <v>3074</v>
      </c>
      <c r="D498" s="3" t="str">
        <f>VLOOKUP(A498,Hebrew!A:C,3,0)</f>
        <v>עובדי CNN אומרים שהנטייה הפרו-ישראלית של הרשת מהווה 'רשלנות עיתונאית'</v>
      </c>
      <c r="E498" s="3" t="s">
        <v>3075</v>
      </c>
      <c r="F498" s="3" t="str">
        <f>VLOOKUP($A498,Hebrew!$A:$S,4,0)</f>
        <v>CNN מתמודדת עם תגובות נזעמות מצד הצוות שלה לגבי מדיניות המערכת, שלדבריהם הובילה לחזרה על תעמולה ישראלית ולצנזור של נקודות מבט פלסטיניות בסיקור שלה את המלחמה בעזה. מאמר זה מבוסס על עדויות של שישה עובדים ב-CNN ועל יותר מעשרה מכתבים ומיילים פנימיים.</v>
      </c>
      <c r="G498" s="3" t="s">
        <v>3076</v>
      </c>
      <c r="H498" s="2"/>
      <c r="I498" s="2"/>
      <c r="J498" s="3" t="s">
        <v>110</v>
      </c>
      <c r="K498" s="3" t="s">
        <v>3077</v>
      </c>
      <c r="L498" s="3" t="str">
        <f>VLOOKUP($A498,Hebrew!$A:$S,9,0)</f>
        <v>כריס מקגראל</v>
      </c>
      <c r="M498" s="2"/>
      <c r="N498" s="2"/>
      <c r="O498" s="3" t="s">
        <v>26</v>
      </c>
      <c r="P498" s="2"/>
      <c r="Q498" s="3">
        <f>VLOOKUP($A498,Hebrew!$A:$S,13,0)</f>
        <v>0</v>
      </c>
      <c r="R498" s="3" t="s">
        <v>1215</v>
      </c>
      <c r="S498" s="3" t="s">
        <v>29</v>
      </c>
      <c r="T498" s="3" t="s">
        <v>3078</v>
      </c>
      <c r="U498" s="3" t="s">
        <v>2721</v>
      </c>
      <c r="V498" s="3" t="s">
        <v>709</v>
      </c>
      <c r="W498" s="2"/>
      <c r="X498" s="2"/>
      <c r="Y498" s="2"/>
    </row>
    <row r="499" spans="1:25" x14ac:dyDescent="0.2">
      <c r="A499" s="3">
        <v>1916</v>
      </c>
      <c r="B499" s="4" t="s">
        <v>3079</v>
      </c>
      <c r="C499" s="3" t="s">
        <v>3080</v>
      </c>
      <c r="D499" s="3" t="str">
        <f>VLOOKUP(A499,Hebrew!A:C,3,0)</f>
        <v>קורסים בקמפוס הראשי של אוניברסיטת קולומביה יהיו היברידיים עד לסיום הסמסטר; סטודנטים וסגל של NYU נעצרו במהלך הפגנות</v>
      </c>
      <c r="E499" s="3" t="s">
        <v>3081</v>
      </c>
      <c r="F499" s="3" t="str">
        <f>VLOOKUP($A499,Hebrew!$A:$S,4,0)</f>
        <v>אוניברסיטת קולומביה הודיעה שכל השיעורים בקמפוס הראשי שלה יהיו היברידיים עד סוף סמסטר האביב (בעוד שבוע) על רקע הפגנות פרו-פלסטיניות וחששות ביטחוניים, בעוד אוניברסיטת NYU התמודדה עם הפגנות שהובילו למעצרים.</v>
      </c>
      <c r="G499" s="3" t="s">
        <v>2829</v>
      </c>
      <c r="H499" s="3" t="s">
        <v>2829</v>
      </c>
      <c r="I499" s="3" t="s">
        <v>2829</v>
      </c>
      <c r="J499" s="3" t="s">
        <v>135</v>
      </c>
      <c r="K499" s="3" t="s">
        <v>3082</v>
      </c>
      <c r="L499" s="3" t="str">
        <f>VLOOKUP($A499,Hebrew!$A:$S,9,0)</f>
        <v>מאט איגן, כריס בויאט, שמעון פרוקופץ וניק פ. אנדרסון</v>
      </c>
      <c r="M499" s="2"/>
      <c r="N499" s="2"/>
      <c r="O499" s="3" t="s">
        <v>26</v>
      </c>
      <c r="P499" s="3" t="s">
        <v>3083</v>
      </c>
      <c r="Q499" s="3" t="str">
        <f>VLOOKUP($A499,Hebrew!$A:$S,13,0)</f>
        <v>ניו יורק</v>
      </c>
      <c r="R499" s="3" t="s">
        <v>1215</v>
      </c>
      <c r="S499" s="3" t="s">
        <v>397</v>
      </c>
      <c r="T499" s="3" t="s">
        <v>3084</v>
      </c>
      <c r="U499" s="3" t="s">
        <v>95</v>
      </c>
      <c r="V499" s="3" t="s">
        <v>357</v>
      </c>
      <c r="W499" s="2"/>
      <c r="X499" s="2"/>
      <c r="Y499" s="2"/>
    </row>
    <row r="500" spans="1:25" x14ac:dyDescent="0.2">
      <c r="A500" s="3">
        <v>1920</v>
      </c>
      <c r="B500" s="4" t="s">
        <v>3085</v>
      </c>
      <c r="C500" s="3" t="s">
        <v>3086</v>
      </c>
      <c r="D500" s="3" t="str">
        <f>VLOOKUP(A500,Hebrew!A:C,3,0)</f>
        <v>התורמים המיליארדים של אוניברסיטת קולומביה שוקלים אם להמשיך להזרים כסף לאוניברסיטה של ליגת הקיסוס.</v>
      </c>
      <c r="E500" s="3" t="s">
        <v>3087</v>
      </c>
      <c r="F500" s="3" t="str">
        <f>VLOOKUP($A500,Hebrew!$A:$S,4,0)</f>
        <v>תורמים עשירים ביותר כמו רוברט קראפט, לן בלבאטניק וליאון קופרמן מושכים או שוקלים למשוך את התמיכה הפיננסית שלהם מאוניברסיטת קולומביה בעקבות ההפגנות נגד ישראל המתרחשות בקמפוס.</v>
      </c>
      <c r="G500" s="3" t="s">
        <v>3088</v>
      </c>
      <c r="H500" s="2"/>
      <c r="I500" s="2"/>
      <c r="J500" s="3" t="s">
        <v>3089</v>
      </c>
      <c r="K500" s="3" t="s">
        <v>3090</v>
      </c>
      <c r="L500" s="3" t="str">
        <f>VLOOKUP($A500,Hebrew!$A:$S,9,0)</f>
        <v>דניאלה ג'נובזה</v>
      </c>
      <c r="M500" s="2"/>
      <c r="N500" s="2"/>
      <c r="O500" s="3" t="s">
        <v>26</v>
      </c>
      <c r="P500" s="3" t="s">
        <v>3083</v>
      </c>
      <c r="Q500" s="3" t="str">
        <f>VLOOKUP($A500,Hebrew!$A:$S,13,0)</f>
        <v>ניו יורק</v>
      </c>
      <c r="R500" s="3" t="s">
        <v>1215</v>
      </c>
      <c r="S500" s="3" t="s">
        <v>413</v>
      </c>
      <c r="T500" s="3" t="s">
        <v>3091</v>
      </c>
      <c r="U500" s="3" t="s">
        <v>95</v>
      </c>
      <c r="V500" s="3" t="s">
        <v>357</v>
      </c>
      <c r="W500" s="2"/>
      <c r="X500" s="2"/>
      <c r="Y500" s="2"/>
    </row>
    <row r="501" spans="1:25" x14ac:dyDescent="0.2">
      <c r="A501" s="3">
        <v>1918</v>
      </c>
      <c r="B501" s="4" t="s">
        <v>3092</v>
      </c>
      <c r="C501" s="3" t="s">
        <v>3093</v>
      </c>
      <c r="D501" s="3" t="str">
        <f>VLOOKUP(A501,Hebrew!A:C,3,0)</f>
        <v>נשיאת אוניברסיטת קולומביה מעידה בחקירה בנושא אנטישמיות בבית הנבחרים</v>
      </c>
      <c r="E501" s="3" t="s">
        <v>3094</v>
      </c>
      <c r="F501" s="3" t="str">
        <f>VLOOKUP($A501,Hebrew!$A:$S,4,0)</f>
        <v>נשיאת קולומביה, נמת "מינוש" שאפיק, העידה בפני ועדת בית הנבחרים בנוגע לתגובת האוניברסיטה לאנטישמיות. נשיאת קולומביה נתונה לביקורת בקמפוס על כך שאינה מגינה על הסטודנטים מפני אנטישמיות, איסלאמופוביה והטרדה אנטי-ערבית.</v>
      </c>
      <c r="G501" s="3" t="s">
        <v>1031</v>
      </c>
      <c r="H501" s="3" t="s">
        <v>1031</v>
      </c>
      <c r="I501" s="3" t="s">
        <v>1031</v>
      </c>
      <c r="J501" s="3" t="s">
        <v>135</v>
      </c>
      <c r="K501" s="3" t="s">
        <v>3095</v>
      </c>
      <c r="L501" s="3" t="str">
        <f>VLOOKUP($A501,Hebrew!$A:$S,9,0)</f>
        <v>מאט איגן, רמישה מרוף</v>
      </c>
      <c r="M501" s="2"/>
      <c r="N501" s="2"/>
      <c r="O501" s="3" t="s">
        <v>26</v>
      </c>
      <c r="P501" s="3" t="s">
        <v>95</v>
      </c>
      <c r="Q501" s="3" t="str">
        <f>VLOOKUP($A501,Hebrew!$A:$S,13,0)</f>
        <v>ארה"ב</v>
      </c>
      <c r="R501" s="3" t="s">
        <v>1225</v>
      </c>
      <c r="S501" s="3" t="s">
        <v>397</v>
      </c>
      <c r="T501" s="3" t="s">
        <v>3096</v>
      </c>
      <c r="U501" s="3" t="s">
        <v>95</v>
      </c>
      <c r="V501" s="3" t="s">
        <v>357</v>
      </c>
      <c r="W501" s="2"/>
      <c r="X501" s="2"/>
      <c r="Y501" s="2"/>
    </row>
    <row r="502" spans="1:25" x14ac:dyDescent="0.2">
      <c r="A502" s="3">
        <v>1326</v>
      </c>
      <c r="B502" s="4" t="s">
        <v>3097</v>
      </c>
      <c r="C502" s="3" t="s">
        <v>3098</v>
      </c>
      <c r="D502" s="3" t="str">
        <f>VLOOKUP(A502,Hebrew!A:C,3,0)</f>
        <v>רופאים בעזה מדווחים כי ילדים הותקפו במכוון על ידי צלפים ישראלים</v>
      </c>
      <c r="E502" s="3" t="s">
        <v>3099</v>
      </c>
      <c r="F502" s="3" t="str">
        <f>VLOOKUP($A502,Hebrew!$A:$S,4,0)</f>
        <v>רופאים מתנדבים זרים מדווחים על טיפול בזרם קבוע של ילדים, קשישים ואחרים שבבירור לא היו לוחמים, עם פגיעות ירי בודדות בראש או בחזה. ניתנו דוגמות רבות ומספר רופאים רואיינו.</v>
      </c>
      <c r="G502" s="3" t="s">
        <v>569</v>
      </c>
      <c r="H502" s="2"/>
      <c r="I502" s="2"/>
      <c r="J502" s="3" t="s">
        <v>110</v>
      </c>
      <c r="K502" s="3" t="s">
        <v>3077</v>
      </c>
      <c r="L502" s="3" t="str">
        <f>VLOOKUP($A502,Hebrew!$A:$S,9,0)</f>
        <v>כריס מקגראל</v>
      </c>
      <c r="M502" s="2"/>
      <c r="N502" s="2"/>
      <c r="O502" s="3" t="s">
        <v>26</v>
      </c>
      <c r="P502" s="3" t="s">
        <v>27</v>
      </c>
      <c r="Q502" s="3" t="str">
        <f>VLOOKUP($A502,Hebrew!$A:$S,13,0)</f>
        <v>רצועת עזה</v>
      </c>
      <c r="R502" s="3" t="s">
        <v>1215</v>
      </c>
      <c r="S502" s="3" t="s">
        <v>397</v>
      </c>
      <c r="T502" s="3" t="s">
        <v>3100</v>
      </c>
      <c r="U502" s="3" t="s">
        <v>43</v>
      </c>
      <c r="V502" s="3" t="s">
        <v>27</v>
      </c>
      <c r="W502" s="2"/>
      <c r="X502" s="2"/>
      <c r="Y502" s="2"/>
    </row>
    <row r="503" spans="1:25" x14ac:dyDescent="0.2">
      <c r="A503" s="3">
        <v>1245</v>
      </c>
      <c r="B503" s="4" t="s">
        <v>3101</v>
      </c>
      <c r="C503" s="3" t="s">
        <v>3102</v>
      </c>
      <c r="D503" s="3" t="str">
        <f>VLOOKUP(A503,Hebrew!A:C,3,0)</f>
        <v>טבח: עשרות נהרגו מירי ישראלי בעזה בזמן שאספו סיוע מזון</v>
      </c>
      <c r="E503" s="3" t="s">
        <v>3103</v>
      </c>
      <c r="F503" s="3" t="str">
        <f>VLOOKUP($A503,Hebrew!$A:$S,4,0)</f>
        <v>יותר מ-100 נהרגו וכ-750 נפצעו לאחר שכוחות ישראליים פתחו באש על פלסטינים שבאו לאסוף מזון ממשאיות סיוע בעיר עזה. אירוע זה תואר מאוחר יותר כ"טבח הקמח".</v>
      </c>
      <c r="G503" s="3" t="s">
        <v>1722</v>
      </c>
      <c r="H503" s="3" t="s">
        <v>1722</v>
      </c>
      <c r="I503" s="3" t="s">
        <v>1722</v>
      </c>
      <c r="J503" s="3" t="s">
        <v>1324</v>
      </c>
      <c r="K503" s="3" t="s">
        <v>3104</v>
      </c>
      <c r="L503" s="3" t="str">
        <f>VLOOKUP($A503,Hebrew!$A:$S,9,0)</f>
        <v>צוות אל ג'זירה</v>
      </c>
      <c r="M503" s="2"/>
      <c r="N503" s="2"/>
      <c r="O503" s="3" t="s">
        <v>26</v>
      </c>
      <c r="P503" s="3" t="s">
        <v>3105</v>
      </c>
      <c r="Q503" s="3" t="str">
        <f>VLOOKUP($A503,Hebrew!$A:$S,13,0)</f>
        <v>כיכר נבלוסי ברצועת עזה</v>
      </c>
      <c r="R503" s="3" t="s">
        <v>1215</v>
      </c>
      <c r="S503" s="3" t="s">
        <v>397</v>
      </c>
      <c r="T503" s="3" t="s">
        <v>3106</v>
      </c>
      <c r="U503" s="3" t="s">
        <v>43</v>
      </c>
      <c r="V503" s="3" t="s">
        <v>71</v>
      </c>
      <c r="W503" s="2"/>
      <c r="X503" s="2"/>
      <c r="Y503" s="2"/>
    </row>
    <row r="504" spans="1:25" x14ac:dyDescent="0.2">
      <c r="A504" s="3">
        <v>2036</v>
      </c>
      <c r="B504" s="4" t="s">
        <v>3107</v>
      </c>
      <c r="C504" s="3" t="s">
        <v>3108</v>
      </c>
      <c r="D504" s="3" t="str">
        <f>VLOOKUP(A504,Hebrew!A:C,3,0)</f>
        <v>בית החולים כמאל עדואן ומנהלו הפכו לסמל לסבל ולעמידה של הפלסטינים ברצועת עזה</v>
      </c>
      <c r="E504" s="3" t="s">
        <v>3109</v>
      </c>
      <c r="F504" s="3" t="str">
        <f>VLOOKUP($A504,Hebrew!$A:$S,4,0)</f>
        <v>ד"ר חוסאם אבו סופיה, מנהל בית החולים כמאל אדואן, הפך לסמל לסבל ולחוסן הפלסטיני תוך התקפות צבאיות מתמשכות בעזה. ההתקפות הרגו ופצעו עובדים בבית החולים, הרסו מתקנים ואמבולנסים והובילו למעצרים של צוות בית החולים. ד"ר חוסאם אבו סופיה עצמו נעצר ונפצע. בנו בן ה-15 נהרג באחת מההתקפות.</v>
      </c>
      <c r="G504" s="3" t="s">
        <v>1176</v>
      </c>
      <c r="H504" s="3" t="s">
        <v>3110</v>
      </c>
      <c r="I504" s="3" t="s">
        <v>1176</v>
      </c>
      <c r="J504" s="3" t="s">
        <v>36</v>
      </c>
      <c r="K504" s="3" t="s">
        <v>3111</v>
      </c>
      <c r="L504" s="3" t="str">
        <f>VLOOKUP($A504,Hebrew!$A:$S,9,0)</f>
        <v>ניר חסון, ג'קי הורי</v>
      </c>
      <c r="M504" s="2"/>
      <c r="N504" s="2"/>
      <c r="O504" s="3" t="s">
        <v>39</v>
      </c>
      <c r="P504" s="3" t="s">
        <v>51</v>
      </c>
      <c r="Q504" s="3" t="str">
        <f>VLOOKUP($A504,Hebrew!$A:$S,13,0)</f>
        <v>בית החולים כמאל עדואן</v>
      </c>
      <c r="R504" s="3" t="s">
        <v>1215</v>
      </c>
      <c r="S504" s="3" t="s">
        <v>2005</v>
      </c>
      <c r="T504" s="3" t="s">
        <v>3112</v>
      </c>
      <c r="U504" s="3" t="s">
        <v>43</v>
      </c>
      <c r="V504" s="3" t="s">
        <v>3113</v>
      </c>
      <c r="W504" s="3" t="s">
        <v>630</v>
      </c>
      <c r="X504" s="2"/>
      <c r="Y504" s="2"/>
    </row>
    <row r="505" spans="1:25" x14ac:dyDescent="0.2">
      <c r="A505" s="3">
        <v>1282</v>
      </c>
      <c r="B505" s="4" t="s">
        <v>3114</v>
      </c>
      <c r="C505" s="3" t="s">
        <v>3115</v>
      </c>
      <c r="D505" s="3" t="str">
        <f>VLOOKUP(A505,Hebrew!A:C,3,0)</f>
        <v>לעיתים ניתחתי ללא חומרי הרדמה': עדות מצמררת של מנתח בריטי מעזה</v>
      </c>
      <c r="E505" s="3" t="s">
        <v>3116</v>
      </c>
      <c r="F505" s="3" t="str">
        <f>VLOOKUP($A505,Hebrew!$A:$S,4,0)</f>
        <v>ד"ר ג'ונייד סולטן, מנתח בריטי שחזר זה עתה מעזה, משתף את חוויותיו הקשות כמנתח בריטי שטיפל בקורבנות בעזה במהלך העימות המתמשך. הוא ראה ילדים עם פציעות ירי וניתח חולים ללא הרדמה.</v>
      </c>
      <c r="G505" s="3" t="s">
        <v>1191</v>
      </c>
      <c r="H505" s="3" t="s">
        <v>3117</v>
      </c>
      <c r="I505" s="3" t="s">
        <v>1191</v>
      </c>
      <c r="J505" s="3" t="s">
        <v>660</v>
      </c>
      <c r="K505" s="3" t="s">
        <v>3118</v>
      </c>
      <c r="L505" s="3" t="str">
        <f>VLOOKUP($A505,Hebrew!$A:$S,9,0)</f>
        <v>מרתה פיירלי</v>
      </c>
      <c r="M505" s="2"/>
      <c r="N505" s="2"/>
      <c r="O505" s="3" t="s">
        <v>26</v>
      </c>
      <c r="P505" s="3" t="s">
        <v>3119</v>
      </c>
      <c r="Q505" s="3" t="str">
        <f>VLOOKUP($A505,Hebrew!$A:$S,13,0)</f>
        <v>בית החולים האירופי, בריטניה</v>
      </c>
      <c r="R505" s="3" t="s">
        <v>1215</v>
      </c>
      <c r="S505" s="3" t="s">
        <v>2314</v>
      </c>
      <c r="T505" s="3" t="s">
        <v>3120</v>
      </c>
      <c r="U505" s="3" t="s">
        <v>43</v>
      </c>
      <c r="V505" s="3" t="s">
        <v>3121</v>
      </c>
      <c r="W505" s="2"/>
      <c r="X505" s="2"/>
      <c r="Y505" s="2"/>
    </row>
    <row r="506" spans="1:25" x14ac:dyDescent="0.2">
      <c r="A506" s="3">
        <v>1902</v>
      </c>
      <c r="B506" s="4" t="s">
        <v>3122</v>
      </c>
      <c r="C506" s="3" t="s">
        <v>3123</v>
      </c>
      <c r="D506" s="3" t="str">
        <f>VLOOKUP(A506,Hebrew!A:C,3,0)</f>
        <v>אוניברסיטת דרקסל מאיימת לפנות את המאהל לאחר שמספר המעצרים הקשורים להפגנות נגד מלחמת ישראל-חמאס חצה את ה-3000.</v>
      </c>
      <c r="E506" s="3" t="s">
        <v>3124</v>
      </c>
      <c r="F506" s="3" t="str">
        <f>VLOOKUP($A506,Hebrew!$A:$S,4,0)</f>
        <v>סטודנטים ואחרים הקימו מאהלים בקמפוסים ברחבי המדינה כדי ללחוץ על המכללות לנתק את הקשרים הפיננסיים עם ישראל. יותר מ-3,000 מפגינים נעצרו בקמפוסים בארה"ב במהלך החודש האחרון. המאמר כולל מפה המראה את הקמפוסים שבהם התרחשו מעצרים ברחבי ארה"ב.</v>
      </c>
      <c r="G506" s="3" t="s">
        <v>1761</v>
      </c>
      <c r="H506" s="3" t="s">
        <v>1717</v>
      </c>
      <c r="I506" s="3" t="s">
        <v>1717</v>
      </c>
      <c r="J506" s="3" t="s">
        <v>1684</v>
      </c>
      <c r="K506" s="3" t="s">
        <v>3125</v>
      </c>
      <c r="L506" s="3" t="str">
        <f>VLOOKUP($A506,Hebrew!$A:$S,9,0)</f>
        <v>מייקל רובינקאם</v>
      </c>
      <c r="M506" s="2"/>
      <c r="N506" s="2"/>
      <c r="O506" s="3" t="s">
        <v>26</v>
      </c>
      <c r="P506" s="3" t="s">
        <v>95</v>
      </c>
      <c r="Q506" s="3" t="str">
        <f>VLOOKUP($A506,Hebrew!$A:$S,13,0)</f>
        <v>ארה"ב</v>
      </c>
      <c r="R506" s="3" t="s">
        <v>1215</v>
      </c>
      <c r="S506" s="3" t="s">
        <v>397</v>
      </c>
      <c r="T506" s="3" t="s">
        <v>3091</v>
      </c>
      <c r="U506" s="3" t="s">
        <v>95</v>
      </c>
      <c r="V506" s="3" t="s">
        <v>357</v>
      </c>
      <c r="W506" s="2"/>
      <c r="X506" s="2"/>
      <c r="Y506" s="2"/>
    </row>
    <row r="507" spans="1:25" x14ac:dyDescent="0.2">
      <c r="A507" s="3">
        <v>320</v>
      </c>
      <c r="B507" s="4" t="s">
        <v>3126</v>
      </c>
      <c r="C507" s="3" t="s">
        <v>3127</v>
      </c>
      <c r="D507" s="3" t="str">
        <f>VLOOKUP(A507,Hebrew!A:C,3,0)</f>
        <v>המלחמה בעזה: מצרים בונה אזור חיץ כדי לקלוט פליטים פלסטינים, אומרת קבוצת זכויות אדם.</v>
      </c>
      <c r="E507" s="3" t="s">
        <v>3128</v>
      </c>
      <c r="F507" s="3" t="str">
        <f>VLOOKUP($A507,Hebrew!$A:$S,4,0)</f>
        <v>מצרים בונה אזור חיץ מבוצר לאורך הגבול שלה עם עזה כדי לקלוט פליטים פלסטינים על רקע הסלמת הסכסוך. החשש היה שההתקפה המתקרבת על רפיח עשויה לדחוף את תושבי עזה למצרים (חשש זה לא התממש באביב 2024).</v>
      </c>
      <c r="G507" s="3" t="s">
        <v>2168</v>
      </c>
      <c r="H507" s="2"/>
      <c r="I507" s="2"/>
      <c r="J507" s="3" t="s">
        <v>2589</v>
      </c>
      <c r="K507" s="3" t="s">
        <v>3129</v>
      </c>
      <c r="L507" s="3" t="str">
        <f>VLOOKUP($A507,Hebrew!$A:$S,9,0)</f>
        <v>נדא עוסמן</v>
      </c>
      <c r="M507" s="2"/>
      <c r="N507" s="2"/>
      <c r="O507" s="3" t="s">
        <v>26</v>
      </c>
      <c r="P507" s="3" t="s">
        <v>3130</v>
      </c>
      <c r="Q507" s="3" t="str">
        <f>VLOOKUP($A507,Hebrew!$A:$S,13,0)</f>
        <v>מצרים</v>
      </c>
      <c r="R507" s="3" t="s">
        <v>1215</v>
      </c>
      <c r="S507" s="3" t="s">
        <v>2314</v>
      </c>
      <c r="T507" s="3" t="s">
        <v>3131</v>
      </c>
      <c r="U507" s="3" t="s">
        <v>3130</v>
      </c>
      <c r="V507" s="3" t="s">
        <v>3132</v>
      </c>
      <c r="W507" s="2"/>
      <c r="X507" s="2"/>
      <c r="Y507" s="2"/>
    </row>
    <row r="508" spans="1:25" x14ac:dyDescent="0.2">
      <c r="A508" s="3">
        <v>1494</v>
      </c>
      <c r="B508" s="4" t="s">
        <v>3133</v>
      </c>
      <c r="C508" s="3" t="s">
        <v>3134</v>
      </c>
      <c r="D508" s="3" t="str">
        <f>VLOOKUP(A508,Hebrew!A:C,3,0)</f>
        <v>המנכ"ל החדש של ערוץ 13: נתחבר דרך בידור והסברה</v>
      </c>
      <c r="E508" s="3" t="s">
        <v>3135</v>
      </c>
      <c r="F508" s="3" t="str">
        <f>VLOOKUP($A508,Hebrew!$A:$S,4,0)</f>
        <v>אמיליאנו קלמזוק, המנכ"ל החדש של ערוץ 13, מדגיש את הצורך באחדות באמצעות בידור והסברה. נראה שהוא מעדיף להימנע מסוגיות פוליטיות וחילוקי דעות.</v>
      </c>
      <c r="G508" s="3" t="s">
        <v>1692</v>
      </c>
      <c r="H508" s="3" t="s">
        <v>1692</v>
      </c>
      <c r="I508" s="3" t="s">
        <v>1692</v>
      </c>
      <c r="J508" s="3" t="s">
        <v>36</v>
      </c>
      <c r="K508" s="3" t="s">
        <v>244</v>
      </c>
      <c r="L508" s="3" t="str">
        <f>VLOOKUP($A508,Hebrew!$A:$S,9,0)</f>
        <v>אידו דוד כהן</v>
      </c>
      <c r="M508" s="3" t="s">
        <v>374</v>
      </c>
      <c r="N508" s="2"/>
      <c r="O508" s="3" t="s">
        <v>39</v>
      </c>
      <c r="P508" s="3" t="s">
        <v>60</v>
      </c>
      <c r="Q508" s="3" t="str">
        <f>VLOOKUP($A508,Hebrew!$A:$S,13,0)</f>
        <v>ישראל</v>
      </c>
      <c r="R508" s="3" t="s">
        <v>72</v>
      </c>
      <c r="S508" s="3" t="s">
        <v>397</v>
      </c>
      <c r="T508" s="3" t="s">
        <v>3136</v>
      </c>
      <c r="U508" s="2"/>
      <c r="V508" s="3" t="s">
        <v>60</v>
      </c>
      <c r="W508" s="2"/>
      <c r="X508" s="2"/>
      <c r="Y508" s="2"/>
    </row>
    <row r="509" spans="1:25" x14ac:dyDescent="0.2">
      <c r="A509" s="3">
        <v>1162</v>
      </c>
      <c r="B509" s="4" t="s">
        <v>3137</v>
      </c>
      <c r="C509" s="3" t="s">
        <v>3138</v>
      </c>
      <c r="D509" s="3" t="str">
        <f>VLOOKUP(A509,Hebrew!A:C,3,0)</f>
        <v>במסיבת עיתונאים, Eur-Med מאשר את מעורבותה המלאה של ישראל בטבח הקמח בעזה</v>
      </c>
      <c r="E509" s="3" t="s">
        <v>3139</v>
      </c>
      <c r="F509" s="3" t="str">
        <f>VLOOKUP($A509,Hebrew!$A:$S,4,0)</f>
        <v>מכון המעקב אירו-מד לזכויות האדם מאשר את מעורבות ישראל בטבח באזרחים פלסטינים בכיכר נבלוסי בעזה ("טבח הקמח" מסוף פברואר 2024) בזמן שניסו לקבל סיוע הומניטרי. ממצאי Euro-Med מראים שעשרות מהקורבנות סבלו מפציעות מירי, ולא נדרסו או נמחצו, בניגוד לטענות דובר צה"ל.</v>
      </c>
      <c r="G509" s="3" t="s">
        <v>3140</v>
      </c>
      <c r="H509" s="2"/>
      <c r="I509" s="2"/>
      <c r="J509" s="3" t="s">
        <v>2678</v>
      </c>
      <c r="K509" s="3" t="s">
        <v>2678</v>
      </c>
      <c r="L509" s="3" t="str">
        <f>VLOOKUP($A509,Hebrew!$A:$S,9,0)</f>
        <v>מנטר זכויות האדם אירו-מד</v>
      </c>
      <c r="M509" s="2"/>
      <c r="N509" s="2"/>
      <c r="O509" s="3" t="s">
        <v>26</v>
      </c>
      <c r="P509" s="3" t="s">
        <v>3105</v>
      </c>
      <c r="Q509" s="3" t="str">
        <f>VLOOKUP($A509,Hebrew!$A:$S,13,0)</f>
        <v>כיכר נבלוסי ברצועת עזה</v>
      </c>
      <c r="R509" s="3" t="s">
        <v>1694</v>
      </c>
      <c r="S509" s="3" t="s">
        <v>397</v>
      </c>
      <c r="T509" s="3" t="s">
        <v>3141</v>
      </c>
      <c r="U509" s="3" t="s">
        <v>43</v>
      </c>
      <c r="V509" s="3" t="s">
        <v>71</v>
      </c>
      <c r="W509" s="2"/>
      <c r="X509" s="2"/>
      <c r="Y509" s="2"/>
    </row>
    <row r="510" spans="1:25" x14ac:dyDescent="0.2">
      <c r="A510" s="3">
        <v>1159</v>
      </c>
      <c r="B510" s="4" t="s">
        <v>3142</v>
      </c>
      <c r="C510" s="3" t="s">
        <v>3143</v>
      </c>
      <c r="D510" s="3" t="str">
        <f>VLOOKUP(A510,Hebrew!A:C,3,0)</f>
        <v>היום ה-100 לרצח העם בעזה: 100,000 פלסטינים הרוגים, נעדרים או פצועים</v>
      </c>
      <c r="E510" s="3" t="s">
        <v>3144</v>
      </c>
      <c r="F510" s="3" t="str">
        <f>VLOOKUP($A510,Hebrew!$A:$S,4,0)</f>
        <v>מכון המעקב אירו-מד לזכויות האדם של אירו-מד מדווח כי כ-100,000 פלסטינים נהרגו, דווחו כנעדרים או נפצעו מאז 7 באוקטובר 2023, בעקבות פעולות צבאיות ישראליות מתמשכות ברצועת עזה.</v>
      </c>
      <c r="G510" s="3" t="s">
        <v>1057</v>
      </c>
      <c r="H510" s="3" t="s">
        <v>2608</v>
      </c>
      <c r="I510" s="3" t="s">
        <v>1057</v>
      </c>
      <c r="J510" s="4" t="s">
        <v>2678</v>
      </c>
      <c r="K510" s="3" t="s">
        <v>2678</v>
      </c>
      <c r="L510" s="3" t="str">
        <f>VLOOKUP($A510,Hebrew!$A:$S,9,0)</f>
        <v>מנטר זכויות האדם אירו-מד</v>
      </c>
      <c r="M510" s="2"/>
      <c r="N510" s="2"/>
      <c r="O510" s="3" t="s">
        <v>26</v>
      </c>
      <c r="P510" s="3" t="s">
        <v>27</v>
      </c>
      <c r="Q510" s="3" t="str">
        <f>VLOOKUP($A510,Hebrew!$A:$S,13,0)</f>
        <v>רצועת עזה</v>
      </c>
      <c r="R510" s="3" t="s">
        <v>1694</v>
      </c>
      <c r="S510" s="3" t="s">
        <v>397</v>
      </c>
      <c r="T510" s="3" t="s">
        <v>3145</v>
      </c>
      <c r="U510" s="3" t="s">
        <v>43</v>
      </c>
      <c r="V510" s="3" t="s">
        <v>27</v>
      </c>
      <c r="W510" s="2"/>
      <c r="X510" s="2"/>
      <c r="Y510" s="2"/>
    </row>
    <row r="511" spans="1:25" x14ac:dyDescent="0.2">
      <c r="A511" s="3">
        <v>1158</v>
      </c>
      <c r="B511" s="4" t="s">
        <v>3146</v>
      </c>
      <c r="C511" s="3" t="s">
        <v>3147</v>
      </c>
      <c r="D511" s="3" t="str">
        <f>VLOOKUP(A511,Hebrew!A:C,3,0)</f>
        <v>מכון המעקב Euro-Med שולח לדווחים מטעם האומות המאוחדות ולתובע של בית הדין הפלילי הבינלאומי דוח המתעד עשרות מקרים של הוצאות להורג בשטח בעזה.</v>
      </c>
      <c r="E511" s="3" t="s">
        <v>3148</v>
      </c>
      <c r="F511" s="3" t="str">
        <f>VLOOKUP($A511,Hebrew!$A:$S,4,0)</f>
        <v>מכון המעקב אירו-מד לזכויות האדם הגיש דו"ח לנציגי האומות המאוחדות המתעד הוצאות להורג בשטח על ידי צה"ל בעזה. הארגון הלא ממשלתי קורא לדין וחשבון וצדק עבור הקורבנות. ההודעה כוללת גם מקרים של התקפות על ידי פגזי ארטילריה והתקפות אוויריות.</v>
      </c>
      <c r="G511" s="3" t="s">
        <v>2649</v>
      </c>
      <c r="H511" s="3" t="s">
        <v>2608</v>
      </c>
      <c r="I511" s="3" t="s">
        <v>3149</v>
      </c>
      <c r="J511" s="4" t="s">
        <v>2678</v>
      </c>
      <c r="K511" s="3" t="s">
        <v>2678</v>
      </c>
      <c r="L511" s="3" t="str">
        <f>VLOOKUP($A511,Hebrew!$A:$S,9,0)</f>
        <v>מנטר זכויות האדם אירו-מד</v>
      </c>
      <c r="M511" s="2"/>
      <c r="N511" s="2"/>
      <c r="O511" s="3" t="s">
        <v>26</v>
      </c>
      <c r="P511" s="3" t="s">
        <v>27</v>
      </c>
      <c r="Q511" s="3" t="str">
        <f>VLOOKUP($A511,Hebrew!$A:$S,13,0)</f>
        <v>רצועת עזה</v>
      </c>
      <c r="R511" s="3" t="s">
        <v>1694</v>
      </c>
      <c r="S511" s="3" t="s">
        <v>29</v>
      </c>
      <c r="T511" s="3" t="s">
        <v>3150</v>
      </c>
      <c r="U511" s="3" t="s">
        <v>43</v>
      </c>
      <c r="V511" s="3" t="s">
        <v>27</v>
      </c>
      <c r="W511" s="2"/>
      <c r="X511" s="2"/>
      <c r="Y511" s="2"/>
    </row>
    <row r="512" spans="1:25" x14ac:dyDescent="0.2">
      <c r="A512" s="3">
        <v>877</v>
      </c>
      <c r="B512" s="4" t="s">
        <v>3151</v>
      </c>
      <c r="C512" s="3" t="s">
        <v>3152</v>
      </c>
      <c r="D512" s="3" t="str">
        <f>VLOOKUP(A512,Hebrew!A:C,3,0)</f>
        <v>האם מה שקורה בעזה הוא רצח עם? מומחים מתייחסים לכך</v>
      </c>
      <c r="E512" s="3" t="s">
        <v>3153</v>
      </c>
      <c r="F512" s="3" t="str">
        <f>VLOOKUP($A512,Hebrew!$A:$S,4,0)</f>
        <v>מומחים דנים האם העימות המתמשך בעזה יכול להיות מסווג כרצח עם, כאשר יש קולות התומכים בכל צד. חלק מהדיון מתייחס להגדרת רצח עם, עם הבחנה מסוימת בין השימושים המשפטיים והיומיומיים של המונח.</v>
      </c>
      <c r="G512" s="3" t="s">
        <v>3154</v>
      </c>
      <c r="H512" s="3" t="s">
        <v>2608</v>
      </c>
      <c r="I512" s="3" t="s">
        <v>3154</v>
      </c>
      <c r="J512" s="3" t="s">
        <v>3155</v>
      </c>
      <c r="K512" s="3" t="s">
        <v>3156</v>
      </c>
      <c r="L512" s="3" t="str">
        <f>VLOOKUP($A512,Hebrew!$A:$S,9,0)</f>
        <v>סולצירה בורגה</v>
      </c>
      <c r="M512" s="2"/>
      <c r="N512" s="2"/>
      <c r="O512" s="3" t="s">
        <v>26</v>
      </c>
      <c r="P512" s="3" t="s">
        <v>27</v>
      </c>
      <c r="Q512" s="3" t="str">
        <f>VLOOKUP($A512,Hebrew!$A:$S,13,0)</f>
        <v>רצועת עזה</v>
      </c>
      <c r="R512" s="3" t="s">
        <v>61</v>
      </c>
      <c r="S512" s="3" t="s">
        <v>2005</v>
      </c>
      <c r="T512" s="3" t="s">
        <v>3157</v>
      </c>
      <c r="U512" s="3" t="s">
        <v>3158</v>
      </c>
      <c r="V512" s="3" t="s">
        <v>27</v>
      </c>
      <c r="W512" s="3" t="s">
        <v>716</v>
      </c>
      <c r="X512" s="2"/>
      <c r="Y512" s="2"/>
    </row>
    <row r="513" spans="1:25" x14ac:dyDescent="0.2">
      <c r="A513" s="3">
        <v>396</v>
      </c>
      <c r="B513" s="4" t="s">
        <v>3159</v>
      </c>
      <c r="C513" s="3" t="s">
        <v>3160</v>
      </c>
      <c r="D513" s="3" t="str">
        <f>VLOOKUP(A513,Hebrew!A:C,3,0)</f>
        <v>משפחות החטופים: נתניהו הוא המכשול למשא ומתן, נפעל להחליפו</v>
      </c>
      <c r="E513" s="3" t="s">
        <v>3161</v>
      </c>
      <c r="F513" s="3" t="str">
        <f>VLOOKUP($A513,Hebrew!$A:$S,4,0)</f>
        <v>כ-20 משפחות של חטופים מאשימות את ראש הממשלה נתניהו שהוא מכשול למשא ומתן ומודיעות על כוונתן לדחוף להחלפתו המיידית במהלך הפגנה בתל אביב.</v>
      </c>
      <c r="G513" s="3" t="s">
        <v>2340</v>
      </c>
      <c r="H513" s="3" t="s">
        <v>2340</v>
      </c>
      <c r="I513" s="3" t="s">
        <v>2340</v>
      </c>
      <c r="J513" s="3" t="s">
        <v>258</v>
      </c>
      <c r="K513" s="3" t="s">
        <v>3162</v>
      </c>
      <c r="L513" s="3" t="str">
        <f>VLOOKUP($A513,Hebrew!$A:$S,9,0)</f>
        <v>רואי רובנשטין, יעל צ'קנובר</v>
      </c>
      <c r="M513" s="2"/>
      <c r="N513" s="2"/>
      <c r="O513" s="3" t="s">
        <v>39</v>
      </c>
      <c r="P513" s="3" t="s">
        <v>60</v>
      </c>
      <c r="Q513" s="3" t="str">
        <f>VLOOKUP($A513,Hebrew!$A:$S,13,0)</f>
        <v>ישראל</v>
      </c>
      <c r="R513" s="3" t="s">
        <v>1215</v>
      </c>
      <c r="S513" s="3" t="s">
        <v>2005</v>
      </c>
      <c r="T513" s="3" t="s">
        <v>3163</v>
      </c>
      <c r="U513" s="2"/>
      <c r="V513" s="3" t="s">
        <v>60</v>
      </c>
      <c r="W513" s="3" t="s">
        <v>1460</v>
      </c>
      <c r="X513" s="2"/>
      <c r="Y513" s="2"/>
    </row>
    <row r="514" spans="1:25" x14ac:dyDescent="0.2">
      <c r="A514" s="3">
        <v>295</v>
      </c>
      <c r="B514" s="4" t="s">
        <v>3164</v>
      </c>
      <c r="C514" s="3" t="s">
        <v>3165</v>
      </c>
      <c r="D514" s="3" t="str">
        <f>VLOOKUP(A514,Hebrew!A:C,3,0)</f>
        <v>סמוטריץ': "אין חצי עבודה... רפיח, דיר אל-בלאח, נוסייראת - השמדה מוחלטת"</v>
      </c>
      <c r="E514" s="3" t="s">
        <v>3166</v>
      </c>
      <c r="F514" s="3" t="str">
        <f>VLOOKUP($A514,Hebrew!$A:$S,4,0)</f>
        <v>שר האוצר בצלאל סמוטריץ' קרא להשמדתן המוחלטת של ערים ועיירות ברצועת עזה במהלך חגיגה בביתו של מנהיג דתי.</v>
      </c>
      <c r="G514" s="3" t="s">
        <v>683</v>
      </c>
      <c r="H514" s="3" t="s">
        <v>2327</v>
      </c>
      <c r="I514" s="3" t="s">
        <v>2327</v>
      </c>
      <c r="J514" s="3" t="s">
        <v>36</v>
      </c>
      <c r="K514" s="3" t="s">
        <v>3167</v>
      </c>
      <c r="L514" s="3" t="str">
        <f>VLOOKUP($A514,Hebrew!$A:$S,9,0)</f>
        <v>נועה שפיגל</v>
      </c>
      <c r="M514" s="2"/>
      <c r="N514" s="2"/>
      <c r="O514" s="3" t="s">
        <v>39</v>
      </c>
      <c r="P514" s="3" t="s">
        <v>60</v>
      </c>
      <c r="Q514" s="3" t="str">
        <f>VLOOKUP($A514,Hebrew!$A:$S,13,0)</f>
        <v>ישראל</v>
      </c>
      <c r="R514" s="3" t="s">
        <v>72</v>
      </c>
      <c r="S514" s="3" t="s">
        <v>413</v>
      </c>
      <c r="T514" s="3" t="s">
        <v>3168</v>
      </c>
      <c r="U514" s="3" t="s">
        <v>253</v>
      </c>
      <c r="V514" s="3" t="s">
        <v>3169</v>
      </c>
      <c r="W514" s="3" t="s">
        <v>261</v>
      </c>
      <c r="X514" s="2"/>
      <c r="Y514" s="2"/>
    </row>
    <row r="515" spans="1:25" x14ac:dyDescent="0.2">
      <c r="A515" s="3">
        <v>2103</v>
      </c>
      <c r="B515" s="4" t="s">
        <v>3170</v>
      </c>
      <c r="C515" s="3" t="s">
        <v>3171</v>
      </c>
      <c r="D515" s="3" t="str">
        <f>VLOOKUP(A515,Hebrew!A:C,3,0)</f>
        <v>סמוטריץ': אנחנו כבר שנה כובשים את עזה, ניקח להם קרקע שנוכל לסחור בה</v>
      </c>
      <c r="E515" s="3" t="s">
        <v>3172</v>
      </c>
      <c r="F515" s="3" t="str">
        <f>VLOOKUP($A515,Hebrew!$A:$S,4,0)</f>
        <v>שר האוצר בצלאל סמוטריץ' אמר בריאיון כי אומנם החזרת החטופים היא חשובה, אך אין לעשות זאת בעסקת כניעה, והדגיש את החשיבות של תפיסת שטחים מחמאס למטרות מו"מ.</v>
      </c>
      <c r="G515" s="3" t="s">
        <v>650</v>
      </c>
      <c r="H515" s="3" t="s">
        <v>650</v>
      </c>
      <c r="I515" s="3" t="s">
        <v>650</v>
      </c>
      <c r="J515" s="3" t="s">
        <v>258</v>
      </c>
      <c r="K515" s="3" t="s">
        <v>3173</v>
      </c>
      <c r="L515" s="3" t="str">
        <f>VLOOKUP($A515,Hebrew!$A:$S,9,0)</f>
        <v>שרון קידון</v>
      </c>
      <c r="M515" s="2"/>
      <c r="N515" s="2"/>
      <c r="O515" s="3" t="s">
        <v>39</v>
      </c>
      <c r="P515" s="3" t="s">
        <v>60</v>
      </c>
      <c r="Q515" s="3" t="str">
        <f>VLOOKUP($A515,Hebrew!$A:$S,13,0)</f>
        <v>ישראל</v>
      </c>
      <c r="R515" s="3" t="s">
        <v>72</v>
      </c>
      <c r="S515" s="3" t="s">
        <v>29</v>
      </c>
      <c r="T515" s="3" t="s">
        <v>3174</v>
      </c>
      <c r="U515" s="3" t="s">
        <v>3001</v>
      </c>
      <c r="V515" s="3" t="s">
        <v>27</v>
      </c>
      <c r="W515" s="3" t="s">
        <v>261</v>
      </c>
      <c r="X515" s="2"/>
      <c r="Y515" s="2"/>
    </row>
    <row r="516" spans="1:25" x14ac:dyDescent="0.2">
      <c r="A516" s="3">
        <v>879</v>
      </c>
      <c r="B516" s="6" t="s">
        <v>3175</v>
      </c>
      <c r="C516" s="3" t="s">
        <v>3176</v>
      </c>
      <c r="D516" s="3" t="str">
        <f>VLOOKUP(A516,Hebrew!A:C,3,0)</f>
        <v>אם זה לא רצח עם, מה זה?</v>
      </c>
      <c r="E516" s="3" t="s">
        <v>3177</v>
      </c>
      <c r="F516" s="3" t="str">
        <f>VLOOKUP($A516,Hebrew!$A:$S,4,0)</f>
        <v>הדווחית המיוחדת של האומות המאוחדות לעניין השטחים הפלסטיניים הכבושים, פרנצ'סקה אלבנזה, דנה בפעולות ישראל בעזה, מתארת אותן כרצח עם ומדגישה את הסוגיה הפלסטינית כסמל להתנגדות לניצול.</v>
      </c>
      <c r="G516" s="3" t="s">
        <v>200</v>
      </c>
      <c r="H516" s="3" t="s">
        <v>2608</v>
      </c>
      <c r="I516" s="3" t="s">
        <v>1415</v>
      </c>
      <c r="J516" s="3" t="s">
        <v>3178</v>
      </c>
      <c r="K516" s="3" t="s">
        <v>3179</v>
      </c>
      <c r="L516" s="3" t="str">
        <f>VLOOKUP($A516,Hebrew!$A:$S,9,0)</f>
        <v>אוון דאולינג</v>
      </c>
      <c r="M516" s="2"/>
      <c r="N516" s="2"/>
      <c r="O516" s="3" t="s">
        <v>26</v>
      </c>
      <c r="P516" s="3" t="s">
        <v>3180</v>
      </c>
      <c r="Q516" s="3" t="str">
        <f>VLOOKUP($A516,Hebrew!$A:$S,13,0)</f>
        <v>לונדון, בריטניה</v>
      </c>
      <c r="R516" s="3" t="s">
        <v>1215</v>
      </c>
      <c r="S516" s="3" t="s">
        <v>397</v>
      </c>
      <c r="T516" s="3" t="s">
        <v>3181</v>
      </c>
      <c r="U516" s="3" t="s">
        <v>275</v>
      </c>
      <c r="V516" s="3" t="s">
        <v>27</v>
      </c>
      <c r="W516" s="3" t="s">
        <v>3182</v>
      </c>
      <c r="X516" s="2"/>
      <c r="Y516" s="2"/>
    </row>
    <row r="517" spans="1:25" x14ac:dyDescent="0.2">
      <c r="A517" s="3">
        <v>997</v>
      </c>
      <c r="B517" s="4" t="s">
        <v>3183</v>
      </c>
      <c r="C517" s="3" t="s">
        <v>3184</v>
      </c>
      <c r="D517" s="3" t="str">
        <f>VLOOKUP(A517,Hebrew!A:C,3,0)</f>
        <v>הדווחית המיוחדת של האומות המאוחדות: האומות המאוחדות צריכות לשקול להשעות את ישראל בשל 'רצח העם' בפלסטינים.</v>
      </c>
      <c r="E517" s="3" t="s">
        <v>3185</v>
      </c>
      <c r="F517" s="3" t="str">
        <f>VLOOKUP($A517,Hebrew!$A:$S,4,0)</f>
        <v>הדווחית המיוחדת של האומות המאוחדות, פרנצ'סקה אלבנזה, קוראת להשעות את ישראל מהאומות המאוחדות בעקבות האשמות ברצח עם בפלסטינים, וטוענת כי ישראל הפרה את החלטות האומות המאוחדות.</v>
      </c>
      <c r="G517" s="3" t="s">
        <v>192</v>
      </c>
      <c r="H517" s="2"/>
      <c r="I517" s="2"/>
      <c r="J517" s="3" t="s">
        <v>110</v>
      </c>
      <c r="K517" s="3" t="s">
        <v>3186</v>
      </c>
      <c r="L517" s="3" t="str">
        <f>VLOOKUP($A517,Hebrew!$A:$S,9,0)</f>
        <v>פטריק וינטור</v>
      </c>
      <c r="M517" s="2"/>
      <c r="N517" s="2"/>
      <c r="O517" s="3" t="s">
        <v>26</v>
      </c>
      <c r="P517" s="3" t="s">
        <v>3083</v>
      </c>
      <c r="Q517" s="3" t="str">
        <f>VLOOKUP($A517,Hebrew!$A:$S,13,0)</f>
        <v>ניו יורק</v>
      </c>
      <c r="R517" s="3" t="s">
        <v>1215</v>
      </c>
      <c r="S517" s="3" t="s">
        <v>397</v>
      </c>
      <c r="T517" s="3" t="s">
        <v>3187</v>
      </c>
      <c r="U517" s="3" t="s">
        <v>3188</v>
      </c>
      <c r="V517" s="3" t="s">
        <v>357</v>
      </c>
      <c r="W517" s="3" t="s">
        <v>3182</v>
      </c>
      <c r="X517" s="2"/>
      <c r="Y517" s="2"/>
    </row>
    <row r="518" spans="1:25" x14ac:dyDescent="0.2">
      <c r="A518" s="3">
        <v>304</v>
      </c>
      <c r="B518" s="6" t="s">
        <v>3189</v>
      </c>
      <c r="C518" s="3" t="s">
        <v>3190</v>
      </c>
      <c r="D518" s="3" t="str">
        <f>VLOOKUP(A518,Hebrew!A:C,3,0)</f>
        <v>גלית דיסטל-אטבריאן בפוסט מזעזע: "ברחתי בצעקות ובגוף רועד"</v>
      </c>
      <c r="E518" s="3" t="s">
        <v>3191</v>
      </c>
      <c r="F518" s="3" t="str">
        <f>VLOOKUP($A518,Hebrew!$A:$S,4,0)</f>
        <v>תוכן הציוץ של חברת הכנסת גלית דיסטל-אטבריאן שבו היא מתארת את תגובתה להקרנת הסרט המציג את טבח ה-7 באוקטובר בדרום ישראל. דיסטל-אטבריאן קוראת לאחדות אל מול האויב, וקוראת לנקמה, לרבות "מחיקת כל עזה מעל פני האדמה", לעקירת "המפלצות העזתיות" למצרים או למוות, וכן ל"אש ותמרות עשן" על ראשיהם של "הנאצים ביהודה ושומרון".</v>
      </c>
      <c r="G518" s="3" t="s">
        <v>2753</v>
      </c>
      <c r="H518" s="3" t="s">
        <v>2753</v>
      </c>
      <c r="I518" s="3" t="s">
        <v>2753</v>
      </c>
      <c r="J518" s="3" t="s">
        <v>3192</v>
      </c>
      <c r="K518" s="3" t="s">
        <v>3192</v>
      </c>
      <c r="L518" s="3" t="str">
        <f>VLOOKUP($A518,Hebrew!$A:$S,9,0)</f>
        <v>הידברות</v>
      </c>
      <c r="M518" s="2"/>
      <c r="N518" s="6" t="s">
        <v>3193</v>
      </c>
      <c r="O518" s="3" t="s">
        <v>39</v>
      </c>
      <c r="P518" s="2"/>
      <c r="Q518" s="3">
        <f>VLOOKUP($A518,Hebrew!$A:$S,13,0)</f>
        <v>0</v>
      </c>
      <c r="R518" s="3" t="s">
        <v>1215</v>
      </c>
      <c r="S518" s="3" t="s">
        <v>29</v>
      </c>
      <c r="T518" s="3" t="s">
        <v>3194</v>
      </c>
      <c r="U518" s="3" t="s">
        <v>1355</v>
      </c>
      <c r="V518" s="3" t="s">
        <v>3002</v>
      </c>
      <c r="W518" s="2"/>
      <c r="X518" s="2"/>
      <c r="Y518" s="2"/>
    </row>
    <row r="519" spans="1:25" x14ac:dyDescent="0.2">
      <c r="A519" s="3">
        <v>669</v>
      </c>
      <c r="B519" s="4" t="s">
        <v>3195</v>
      </c>
      <c r="C519" s="3" t="s">
        <v>3196</v>
      </c>
      <c r="D519" s="3" t="str">
        <f>VLOOKUP(A519,Hebrew!A:C,3,0)</f>
        <v>רופאים בעזה אומרים ל-BBC שחיילי צה"ל הכו והשפילו אותם לאחר פשיטה על בית חולים.</v>
      </c>
      <c r="E519" s="3" t="s">
        <v>3197</v>
      </c>
      <c r="F519" s="3" t="str">
        <f>VLOOKUP($A519,Hebrew!$A:$S,4,0)</f>
        <v>אנשי צוות רפואי פלסטינים דיווחו שחיילי צה"ל הכו, השפילו ועינו אותם לאחר פשיטה על בית החולים שלהם, מה שמעורר חששות חמורים לגבי הטיפול בצוות הרפואי במהלך סכסוך מזוין.</v>
      </c>
      <c r="G519" s="3" t="s">
        <v>2519</v>
      </c>
      <c r="H519" s="3" t="s">
        <v>3198</v>
      </c>
      <c r="I519" s="3" t="s">
        <v>3199</v>
      </c>
      <c r="J519" s="3" t="s">
        <v>1213</v>
      </c>
      <c r="K519" s="3" t="s">
        <v>3200</v>
      </c>
      <c r="L519" s="3" t="str">
        <f>VLOOKUP($A519,Hebrew!$A:$S,9,0)</f>
        <v>אליס קדי</v>
      </c>
      <c r="M519" s="2"/>
      <c r="N519" s="2"/>
      <c r="O519" s="3" t="s">
        <v>26</v>
      </c>
      <c r="P519" s="3" t="s">
        <v>3201</v>
      </c>
      <c r="Q519" s="3" t="str">
        <f>VLOOKUP($A519,Hebrew!$A:$S,13,0)</f>
        <v>בית החולים נאסר</v>
      </c>
      <c r="R519" s="3" t="s">
        <v>1215</v>
      </c>
      <c r="S519" s="3" t="s">
        <v>2314</v>
      </c>
      <c r="T519" s="3" t="s">
        <v>3202</v>
      </c>
      <c r="U519" s="3" t="s">
        <v>3203</v>
      </c>
      <c r="V519" s="3" t="s">
        <v>3204</v>
      </c>
      <c r="W519" s="2"/>
      <c r="X519" s="2"/>
      <c r="Y519" s="2"/>
    </row>
    <row r="520" spans="1:25" x14ac:dyDescent="0.2">
      <c r="A520" s="3">
        <v>1556</v>
      </c>
      <c r="B520" s="6" t="s">
        <v>3205</v>
      </c>
      <c r="C520" s="3" t="s">
        <v>3206</v>
      </c>
      <c r="D520" s="3" t="str">
        <f>VLOOKUP(A520,Hebrew!A:C,3,0)</f>
        <v>מספר ההרוגים בעזה חצה כעת את 30,000. הנה הסיבה שזהו מספר חלקי.</v>
      </c>
      <c r="E520" s="3" t="s">
        <v>3207</v>
      </c>
      <c r="F520" s="3" t="str">
        <f>VLOOKUP($A520,Hebrew!$A:$S,4,0)</f>
        <v>מספר ההרוגים בעזה, כפי שנמדד על ידי משרד הבריאות בעזה, עבר את ה-30,000, אך הספירה נחשבת לא מלאה בשל הסכסוך המתמשך, המערכת הרפואית העמוסה והפרעות בתקשורת.</v>
      </c>
      <c r="G520" s="3" t="s">
        <v>1722</v>
      </c>
      <c r="H520" s="3" t="s">
        <v>2608</v>
      </c>
      <c r="I520" s="3" t="s">
        <v>1722</v>
      </c>
      <c r="J520" s="3" t="s">
        <v>2821</v>
      </c>
      <c r="K520" s="3" t="s">
        <v>3208</v>
      </c>
      <c r="L520" s="3" t="str">
        <f>VLOOKUP($A520,Hebrew!$A:$S,9,0)</f>
        <v>איה בטראוי</v>
      </c>
      <c r="M520" s="2"/>
      <c r="N520" s="2"/>
      <c r="O520" s="3" t="s">
        <v>26</v>
      </c>
      <c r="P520" s="3" t="s">
        <v>27</v>
      </c>
      <c r="Q520" s="3" t="str">
        <f>VLOOKUP($A520,Hebrew!$A:$S,13,0)</f>
        <v>רצועת עזה</v>
      </c>
      <c r="R520" s="3" t="s">
        <v>1215</v>
      </c>
      <c r="S520" s="3" t="s">
        <v>397</v>
      </c>
      <c r="T520" s="3" t="s">
        <v>3209</v>
      </c>
      <c r="U520" s="3" t="s">
        <v>3210</v>
      </c>
      <c r="V520" s="3" t="s">
        <v>3211</v>
      </c>
      <c r="W520" s="2"/>
      <c r="X520" s="2"/>
      <c r="Y520" s="2"/>
    </row>
    <row r="521" spans="1:25" x14ac:dyDescent="0.2">
      <c r="A521" s="3">
        <v>225</v>
      </c>
      <c r="B521" s="4" t="s">
        <v>3212</v>
      </c>
      <c r="C521" s="3" t="s">
        <v>3213</v>
      </c>
      <c r="D521" s="3" t="str">
        <f>VLOOKUP(A521,Hebrew!A:C,3,0)</f>
        <v>הספרייה הציבורית המרכזית של עזה נהרסה בהפצצות ישראליות.</v>
      </c>
      <c r="E521" s="3" t="s">
        <v>3214</v>
      </c>
      <c r="F521" s="3" t="str">
        <f>VLOOKUP($A521,Hebrew!$A:$S,4,0)</f>
        <v>הספרייה הציבורית המרכזית של עזה נהרסה בהפצצות ישראליות, מה שהוביל להאשמות בג'נוסייד תרבותי ולקריאות להתערבות בינלאומית.</v>
      </c>
      <c r="G521" s="3" t="s">
        <v>3215</v>
      </c>
      <c r="H521" s="3" t="s">
        <v>3215</v>
      </c>
      <c r="I521" s="3" t="s">
        <v>3215</v>
      </c>
      <c r="J521" s="3" t="s">
        <v>3216</v>
      </c>
      <c r="K521" s="3" t="s">
        <v>3217</v>
      </c>
      <c r="L521" s="3" t="str">
        <f>VLOOKUP($A521,Hebrew!$A:$S,9,0)</f>
        <v>דן שיהאן</v>
      </c>
      <c r="M521" s="2"/>
      <c r="N521" s="2"/>
      <c r="O521" s="3" t="s">
        <v>26</v>
      </c>
      <c r="P521" s="3" t="s">
        <v>27</v>
      </c>
      <c r="Q521" s="3" t="str">
        <f>VLOOKUP($A521,Hebrew!$A:$S,13,0)</f>
        <v>רצועת עזה</v>
      </c>
      <c r="R521" s="3" t="s">
        <v>1215</v>
      </c>
      <c r="S521" s="3" t="s">
        <v>397</v>
      </c>
      <c r="T521" s="3" t="s">
        <v>3218</v>
      </c>
      <c r="U521" s="3" t="s">
        <v>2925</v>
      </c>
      <c r="V521" s="3" t="s">
        <v>71</v>
      </c>
      <c r="W521" s="2"/>
      <c r="X521" s="2"/>
      <c r="Y521" s="2"/>
    </row>
    <row r="522" spans="1:25" x14ac:dyDescent="0.2">
      <c r="A522" s="3">
        <v>1330</v>
      </c>
      <c r="B522" s="4" t="s">
        <v>3219</v>
      </c>
      <c r="C522" s="3" t="s">
        <v>3220</v>
      </c>
      <c r="D522" s="3" t="str">
        <f>VLOOKUP(A522,Hebrew!A:C,3,0)</f>
        <v>‘אני כל כך מפחדת, בואו בבקשה’: הינד רג'אב, בת חמש, נמצאה מתה בעזה 12 ימים לאחר הקריאה לעזרה</v>
      </c>
      <c r="E522" s="3" t="s">
        <v>3221</v>
      </c>
      <c r="F522" s="3" t="str">
        <f>VLOOKUP($A522,Hebrew!$A:$S,4,0)</f>
        <v>הילדה הינד רג'אב בת החמש נמצאה מתה בעיר עזה יחד עם מספר בני משפחה לאחר שהתחננה לעזרה במהלך שיחת טלפון שנמשכה שלוש שעות עם אנשי הצלה, בזמן שהיא הייתה לכודה ברכב עם בני משפחתה ההרוגים.</v>
      </c>
      <c r="G522" s="3" t="s">
        <v>1150</v>
      </c>
      <c r="H522" s="3" t="s">
        <v>824</v>
      </c>
      <c r="I522" s="2"/>
      <c r="J522" s="3" t="s">
        <v>110</v>
      </c>
      <c r="K522" s="3" t="s">
        <v>3222</v>
      </c>
      <c r="L522" s="3" t="str">
        <f>VLOOKUP($A522,Hebrew!$A:$S,9,0)</f>
        <v>אמינה סינמז</v>
      </c>
      <c r="M522" s="2"/>
      <c r="N522" s="2"/>
      <c r="O522" s="3" t="s">
        <v>26</v>
      </c>
      <c r="P522" s="3" t="s">
        <v>71</v>
      </c>
      <c r="Q522" s="3" t="str">
        <f>VLOOKUP($A522,Hebrew!$A:$S,13,0)</f>
        <v>עיר עזה</v>
      </c>
      <c r="R522" s="3" t="s">
        <v>1215</v>
      </c>
      <c r="S522" s="3" t="s">
        <v>2314</v>
      </c>
      <c r="T522" s="3" t="s">
        <v>3223</v>
      </c>
      <c r="U522" s="3" t="s">
        <v>3224</v>
      </c>
      <c r="V522" s="3" t="s">
        <v>71</v>
      </c>
      <c r="W522" s="2"/>
      <c r="X522" s="2"/>
      <c r="Y522" s="2"/>
    </row>
    <row r="523" spans="1:25" x14ac:dyDescent="0.2">
      <c r="A523" s="3">
        <v>1471</v>
      </c>
      <c r="B523" s="4" t="s">
        <v>3225</v>
      </c>
      <c r="C523" s="3" t="s">
        <v>3226</v>
      </c>
      <c r="D523" s="3" t="str">
        <f>VLOOKUP(A523,Hebrew!A:C,3,0)</f>
        <v>זוכת פרס ישראל בקטגוריית "תקומה וגבורה" מתגלה כאחייניתו של אחד התומכים המרכזיים של נתניהו</v>
      </c>
      <c r="E523" s="3" t="s">
        <v>3227</v>
      </c>
      <c r="F523" s="3" t="str">
        <f>VLOOKUP($A523,Hebrew!$A:$S,4,0)</f>
        <v>ד"ר כוכב אלקיים לוי, זוכת פרס ישראל, מתגלה כאחייניתו של הדמות הפוליטית יעקב ברדוגו, מה שמדגיש את הקשרים המשפחתיים במינויים ממשלתיים. היא זכתה בפרס על היותה ראש "מכון דבורה" שאוסף ראיות על פשעי מלחמה ופשעי מין שביצע חמאס במתקפת 7 באוקטובר. הדו"ח שעליו זכתה בפרס לא פורסם (נכון למועד רישום זה ביוני 2025).</v>
      </c>
      <c r="G523" s="3" t="s">
        <v>927</v>
      </c>
      <c r="H523" s="2"/>
      <c r="I523" s="2"/>
      <c r="J523" s="3" t="s">
        <v>1199</v>
      </c>
      <c r="K523" s="3" t="s">
        <v>2985</v>
      </c>
      <c r="L523" s="3" t="str">
        <f>VLOOKUP($A523,Hebrew!$A:$S,9,0)</f>
        <v>יובל שדה</v>
      </c>
      <c r="M523" s="2"/>
      <c r="N523" s="2"/>
      <c r="O523" s="3" t="s">
        <v>39</v>
      </c>
      <c r="P523" s="3" t="s">
        <v>60</v>
      </c>
      <c r="Q523" s="3" t="str">
        <f>VLOOKUP($A523,Hebrew!$A:$S,13,0)</f>
        <v>ישראל</v>
      </c>
      <c r="R523" s="3" t="s">
        <v>1215</v>
      </c>
      <c r="S523" s="3" t="s">
        <v>397</v>
      </c>
      <c r="T523" s="3" t="s">
        <v>3228</v>
      </c>
      <c r="U523" s="3" t="s">
        <v>2721</v>
      </c>
      <c r="V523" s="3" t="s">
        <v>60</v>
      </c>
      <c r="W523" s="3" t="s">
        <v>3229</v>
      </c>
      <c r="X523" s="2"/>
      <c r="Y523" s="2"/>
    </row>
    <row r="524" spans="1:25" x14ac:dyDescent="0.2">
      <c r="A524" s="3">
        <v>21</v>
      </c>
      <c r="B524" s="4" t="s">
        <v>3230</v>
      </c>
      <c r="C524" s="3" t="s">
        <v>3231</v>
      </c>
      <c r="D524" s="3" t="str">
        <f>VLOOKUP(A524,Hebrew!A:C,3,0)</f>
        <v>איך שיירת מזון בעזה הפכה למטרה ישראלית</v>
      </c>
      <c r="E524" s="3" t="s">
        <v>3232</v>
      </c>
      <c r="F524" s="3" t="str">
        <f>VLOOKUP($A524,Hebrew!$A:$S,4,0)</f>
        <v>פרק זה של הפודקאסט "Tug of War" חוקר כיצד שיירת סיוע של האומות המאוחדות בעזה הותקפה על ידי ישראל בעת שניסתה להעביר אספקת מזון חיונית בעיצומו של משבר הומניטרי.</v>
      </c>
      <c r="G524" s="3" t="s">
        <v>1815</v>
      </c>
      <c r="H524" s="3" t="s">
        <v>1140</v>
      </c>
      <c r="I524" s="3" t="s">
        <v>1140</v>
      </c>
      <c r="J524" s="3" t="s">
        <v>135</v>
      </c>
      <c r="K524" s="3" t="s">
        <v>3233</v>
      </c>
      <c r="L524" s="3" t="str">
        <f>VLOOKUP($A524,Hebrew!$A:$S,9,0)</f>
        <v>קייטי פולגלייז, דיויד רינד</v>
      </c>
      <c r="M524" s="2"/>
      <c r="N524" s="2"/>
      <c r="O524" s="3" t="s">
        <v>26</v>
      </c>
      <c r="P524" s="3" t="s">
        <v>212</v>
      </c>
      <c r="Q524" s="3" t="str">
        <f>VLOOKUP($A524,Hebrew!$A:$S,13,0)</f>
        <v>צפון רצועת עזה</v>
      </c>
      <c r="R524" s="3" t="s">
        <v>1215</v>
      </c>
      <c r="S524" s="3" t="s">
        <v>707</v>
      </c>
      <c r="T524" s="3" t="s">
        <v>3234</v>
      </c>
      <c r="U524" s="3" t="s">
        <v>3235</v>
      </c>
      <c r="V524" s="3" t="s">
        <v>3236</v>
      </c>
      <c r="W524" s="2"/>
      <c r="X524" s="2"/>
      <c r="Y524" s="2"/>
    </row>
    <row r="525" spans="1:25" x14ac:dyDescent="0.2">
      <c r="A525" s="3">
        <v>192</v>
      </c>
      <c r="B525" s="4" t="s">
        <v>525</v>
      </c>
      <c r="C525" s="3" t="s">
        <v>3237</v>
      </c>
      <c r="D525" s="3" t="str">
        <f>VLOOKUP(A525,Hebrew!A:C,3,0)</f>
        <v>סכנה חמורה לרעב בצפון עזה, דוח חדש מזהיר</v>
      </c>
      <c r="E525" s="3" t="s">
        <v>3238</v>
      </c>
      <c r="F525" s="3" t="str">
        <f>VLOOKUP($A525,Hebrew!$A:$S,4,0)</f>
        <v>דוח חדש מזהיר מפני רעב מסתמן במזרח עזה, כאשר 1.1 מיליון אנשים מתמודדים עם רעב קטסטרופלי ונדרשת גישה הומניטרית דחופה כדי למנוע אובדן נוסף של חיי אדם.</v>
      </c>
      <c r="G525" s="3" t="s">
        <v>523</v>
      </c>
      <c r="H525" s="3" t="s">
        <v>1727</v>
      </c>
      <c r="I525" s="3" t="s">
        <v>523</v>
      </c>
      <c r="J525" s="3" t="s">
        <v>3239</v>
      </c>
      <c r="K525" s="3" t="s">
        <v>3239</v>
      </c>
      <c r="L525" s="3" t="str">
        <f>VLOOKUP($A525,Hebrew!$A:$S,9,0)</f>
        <v>תוכנית המזון העולמית</v>
      </c>
      <c r="M525" s="2"/>
      <c r="N525" s="2"/>
      <c r="O525" s="3" t="s">
        <v>26</v>
      </c>
      <c r="P525" s="3" t="s">
        <v>212</v>
      </c>
      <c r="Q525" s="3" t="str">
        <f>VLOOKUP($A525,Hebrew!$A:$S,13,0)</f>
        <v>צפון רצועת עזה</v>
      </c>
      <c r="R525" s="3" t="s">
        <v>28</v>
      </c>
      <c r="S525" s="3" t="s">
        <v>29</v>
      </c>
      <c r="T525" s="3" t="s">
        <v>3240</v>
      </c>
      <c r="U525" s="3" t="s">
        <v>3241</v>
      </c>
      <c r="V525" s="3" t="s">
        <v>212</v>
      </c>
      <c r="W525" s="2"/>
      <c r="X525" s="2"/>
      <c r="Y525" s="2"/>
    </row>
    <row r="526" spans="1:25" x14ac:dyDescent="0.2">
      <c r="A526" s="3">
        <v>1764</v>
      </c>
      <c r="B526" s="4" t="s">
        <v>3242</v>
      </c>
      <c r="C526" s="3" t="s">
        <v>3243</v>
      </c>
      <c r="D526" s="3" t="str">
        <f>VLOOKUP(A526,Hebrew!A:C,3,0)</f>
        <v>יהודים אמריקאים: מעל 51% תומכים בהחלטת ביידן לעצור את אספקת הנשק לישראל - סקר</v>
      </c>
      <c r="E526" s="3" t="s">
        <v>3244</v>
      </c>
      <c r="F526" s="3" t="str">
        <f>VLOOKUP($A526,Hebrew!$A:$S,4,0)</f>
        <v>סקר מגלה שיותר מחצי מהיהודים האמריקאים תומכים בהחלטתו הפוטנציאלית של הנשיא ביידן להפסיק את משלוחי הנשק לישראל לאור החששות מהסכסוך המתמשך. כשליש מהנשאלים הסכימו עם ההאשמה שישראל מבצעת רצח עם בעזה, בעוד שכחצי לא הסכימו.</v>
      </c>
      <c r="G526" s="3" t="s">
        <v>77</v>
      </c>
      <c r="H526" s="3" t="s">
        <v>3245</v>
      </c>
      <c r="I526" s="3" t="s">
        <v>3246</v>
      </c>
      <c r="J526" s="3" t="s">
        <v>3247</v>
      </c>
      <c r="K526" s="3" t="s">
        <v>3248</v>
      </c>
      <c r="L526" s="3" t="str">
        <f>VLOOKUP($A526,Hebrew!$A:$S,9,0)</f>
        <v>צוות ירושלים פוסט</v>
      </c>
      <c r="M526" s="3" t="s">
        <v>3249</v>
      </c>
      <c r="N526" s="2"/>
      <c r="O526" s="3" t="s">
        <v>26</v>
      </c>
      <c r="P526" s="3" t="s">
        <v>95</v>
      </c>
      <c r="Q526" s="3" t="str">
        <f>VLOOKUP($A526,Hebrew!$A:$S,13,0)</f>
        <v>ארה"ב</v>
      </c>
      <c r="R526" s="3" t="s">
        <v>2563</v>
      </c>
      <c r="S526" s="3" t="s">
        <v>397</v>
      </c>
      <c r="T526" s="3" t="s">
        <v>3250</v>
      </c>
      <c r="U526" s="3" t="s">
        <v>95</v>
      </c>
      <c r="V526" s="3" t="s">
        <v>3251</v>
      </c>
      <c r="W526" s="3" t="s">
        <v>2533</v>
      </c>
      <c r="X526" s="2"/>
      <c r="Y526" s="2"/>
    </row>
    <row r="527" spans="1:25" x14ac:dyDescent="0.2">
      <c r="A527" s="3">
        <v>223</v>
      </c>
      <c r="B527" s="4" t="s">
        <v>3252</v>
      </c>
      <c r="C527" s="3" t="s">
        <v>3253</v>
      </c>
      <c r="D527" s="3" t="str">
        <f>VLOOKUP(A527,Hebrew!A:C,3,0)</f>
        <v>ישראל בונה מגדלי שמירה ומוצבים בעזה כסימן לשאיפות לאחר המלחמה</v>
      </c>
      <c r="E527" s="3" t="s">
        <v>3254</v>
      </c>
      <c r="F527" s="3" t="str">
        <f>VLOOKUP($A527,Hebrew!$A:$S,4,0)</f>
        <v>ישראל בונה תשתיות בתוך ומסביב למעבר נצרים, מה שמעיד על שאיפות פוטנציאליות ארוכות טווח בעקבות הסכסוך האחרון.</v>
      </c>
      <c r="G527" s="3" t="s">
        <v>3255</v>
      </c>
      <c r="H527" s="2"/>
      <c r="I527" s="2"/>
      <c r="J527" s="3" t="s">
        <v>3256</v>
      </c>
      <c r="K527" s="3" t="s">
        <v>3257</v>
      </c>
      <c r="L527" s="3" t="str">
        <f>VLOOKUP($A527,Hebrew!$A:$S,9,0)</f>
        <v>קיירון מונקס</v>
      </c>
      <c r="M527" s="2"/>
      <c r="N527" s="2"/>
      <c r="O527" s="3" t="s">
        <v>26</v>
      </c>
      <c r="P527" s="3" t="s">
        <v>40</v>
      </c>
      <c r="Q527" s="3" t="str">
        <f>VLOOKUP($A527,Hebrew!$A:$S,13,0)</f>
        <v>מסדרון נצרים</v>
      </c>
      <c r="R527" s="3" t="s">
        <v>1215</v>
      </c>
      <c r="S527" s="3" t="s">
        <v>397</v>
      </c>
      <c r="T527" s="3" t="s">
        <v>3258</v>
      </c>
      <c r="U527" s="3" t="s">
        <v>2925</v>
      </c>
      <c r="V527" s="3" t="s">
        <v>40</v>
      </c>
      <c r="W527" s="3" t="s">
        <v>2987</v>
      </c>
      <c r="X527" s="2"/>
      <c r="Y527" s="2"/>
    </row>
    <row r="528" spans="1:25" x14ac:dyDescent="0.2">
      <c r="A528" s="3">
        <v>137</v>
      </c>
      <c r="B528" s="4" t="s">
        <v>3259</v>
      </c>
      <c r="C528" s="3" t="s">
        <v>3260</v>
      </c>
      <c r="D528" s="3" t="str">
        <f>VLOOKUP(A528,Hebrew!A:C,3,0)</f>
        <v>לדעת מומחים צפוי רעב בצפון עזה.</v>
      </c>
      <c r="E528" s="3" t="s">
        <v>3261</v>
      </c>
      <c r="F528" s="3" t="str">
        <f>VLOOKUP($A528,Hebrew!$A:$S,4,0)</f>
        <v>דו"ח של IPC מזהיר כי רעב צפוי בקרוב בצפון עזה, עם תחזיות המצביעות על כך ש-1.1 מיליון אנשים צפויים להתמודד עם תנאי רעב קשים בחודשים הקרובים.</v>
      </c>
      <c r="G528" s="3" t="s">
        <v>523</v>
      </c>
      <c r="H528" s="3" t="s">
        <v>523</v>
      </c>
      <c r="I528" s="3" t="s">
        <v>523</v>
      </c>
      <c r="J528" s="3" t="s">
        <v>173</v>
      </c>
      <c r="K528" s="3" t="s">
        <v>3262</v>
      </c>
      <c r="L528" s="3" t="str">
        <f>VLOOKUP($A528,Hebrew!$A:$S,9,0)</f>
        <v>גאיה גופטה, שאשנק בנגלי</v>
      </c>
      <c r="M528" s="3" t="s">
        <v>3263</v>
      </c>
      <c r="N528" s="6" t="s">
        <v>3264</v>
      </c>
      <c r="O528" s="3" t="s">
        <v>26</v>
      </c>
      <c r="P528" s="3" t="s">
        <v>27</v>
      </c>
      <c r="Q528" s="3" t="str">
        <f>VLOOKUP($A528,Hebrew!$A:$S,13,0)</f>
        <v>צפון רצועת עזה</v>
      </c>
      <c r="R528" s="3" t="s">
        <v>72</v>
      </c>
      <c r="S528" s="3" t="s">
        <v>29</v>
      </c>
      <c r="T528" s="3" t="s">
        <v>3265</v>
      </c>
      <c r="U528" s="2"/>
      <c r="V528" s="3" t="s">
        <v>27</v>
      </c>
      <c r="W528" s="2"/>
      <c r="X528" s="2"/>
      <c r="Y528" s="2"/>
    </row>
    <row r="529" spans="1:25" x14ac:dyDescent="0.2">
      <c r="A529" s="3">
        <v>1547</v>
      </c>
      <c r="B529" s="4" t="s">
        <v>3266</v>
      </c>
      <c r="C529" s="3" t="s">
        <v>3267</v>
      </c>
      <c r="D529" s="3" t="str">
        <f>VLOOKUP(A529,Hebrew!A:C,3,0)</f>
        <v>בעקבות השתתפות מורה בגני תקווה במצעד הנכבה, ודרשו תלמידים את פיטוריה.</v>
      </c>
      <c r="E529" s="3" t="s">
        <v>3268</v>
      </c>
      <c r="F529" s="3" t="str">
        <f>VLOOKUP($A529,Hebrew!$A:$S,4,0)</f>
        <v>תלמידים בבית הספר מצופים להדגים, ודורשים לפטר את המורה. משרד החינוך הודיע שהיא לא תחזור ללמד עד לסיום הליך החקירה.</v>
      </c>
      <c r="G529" s="3" t="s">
        <v>2359</v>
      </c>
      <c r="H529" s="3" t="s">
        <v>2359</v>
      </c>
      <c r="I529" s="3" t="s">
        <v>2359</v>
      </c>
      <c r="J529" s="3" t="s">
        <v>1193</v>
      </c>
      <c r="K529" s="3" t="s">
        <v>3269</v>
      </c>
      <c r="L529" s="3" t="str">
        <f>VLOOKUP($A529,Hebrew!$A:$S,9,0)</f>
        <v>יעל אודם</v>
      </c>
      <c r="M529" s="2"/>
      <c r="N529" s="2"/>
      <c r="O529" s="3" t="s">
        <v>39</v>
      </c>
      <c r="P529" s="3" t="s">
        <v>1830</v>
      </c>
      <c r="Q529" s="3" t="str">
        <f>VLOOKUP($A529,Hebrew!$A:$S,13,0)</f>
        <v>גני תקווה, ישראל</v>
      </c>
      <c r="R529" s="3" t="s">
        <v>1215</v>
      </c>
      <c r="S529" s="3" t="s">
        <v>397</v>
      </c>
      <c r="T529" s="3" t="s">
        <v>3270</v>
      </c>
      <c r="U529" s="3" t="s">
        <v>3271</v>
      </c>
      <c r="V529" s="3" t="s">
        <v>60</v>
      </c>
      <c r="W529" s="2"/>
      <c r="X529" s="2"/>
      <c r="Y529" s="2"/>
    </row>
    <row r="530" spans="1:25" x14ac:dyDescent="0.2">
      <c r="A530" s="3">
        <v>1403</v>
      </c>
      <c r="B530" s="4" t="s">
        <v>3272</v>
      </c>
      <c r="C530" s="3" t="s">
        <v>3273</v>
      </c>
      <c r="D530" s="3" t="str">
        <f>VLOOKUP(A530,Hebrew!A:C,3,0)</f>
        <v>גני תקווה: מורה לערבית צולמה בהפגנה עם דגלים פלסטיניים, הושעתה עד לסיום חקירה.</v>
      </c>
      <c r="E530" s="3" t="s">
        <v>3274</v>
      </c>
      <c r="F530" s="3" t="str">
        <f>VLOOKUP($A530,Hebrew!$A:$S,4,0)</f>
        <v>מורה לערבית בגני תקווה הושעתה לאחר שצולמה בהפגנה פרו-פלסטינית, ובכך עוררה זעם בקרב הורים ותלמידים.</v>
      </c>
      <c r="G530" s="3" t="s">
        <v>2359</v>
      </c>
      <c r="H530" s="3" t="s">
        <v>2359</v>
      </c>
      <c r="I530" s="3" t="s">
        <v>2359</v>
      </c>
      <c r="J530" s="3" t="s">
        <v>3275</v>
      </c>
      <c r="K530" s="3" t="s">
        <v>3276</v>
      </c>
      <c r="L530" s="3" t="str">
        <f>VLOOKUP($A530,Hebrew!$A:$S,9,0)</f>
        <v>אידו וינגרטן</v>
      </c>
      <c r="M530" s="2"/>
      <c r="N530" s="2"/>
      <c r="O530" s="3" t="s">
        <v>39</v>
      </c>
      <c r="P530" s="3" t="s">
        <v>1830</v>
      </c>
      <c r="Q530" s="3" t="str">
        <f>VLOOKUP($A530,Hebrew!$A:$S,13,0)</f>
        <v>גני תקווה, ישראל</v>
      </c>
      <c r="R530" s="3" t="s">
        <v>1215</v>
      </c>
      <c r="S530" s="3" t="s">
        <v>29</v>
      </c>
      <c r="T530" s="3" t="s">
        <v>3270</v>
      </c>
      <c r="U530" s="3" t="s">
        <v>3271</v>
      </c>
      <c r="V530" s="3" t="s">
        <v>60</v>
      </c>
      <c r="W530" s="2"/>
      <c r="X530" s="2"/>
      <c r="Y530" s="2"/>
    </row>
    <row r="531" spans="1:25" x14ac:dyDescent="0.2">
      <c r="A531" s="3">
        <v>1906</v>
      </c>
      <c r="B531" s="4" t="s">
        <v>3277</v>
      </c>
      <c r="C531" s="3" t="s">
        <v>3278</v>
      </c>
      <c r="D531" s="3" t="str">
        <f>VLOOKUP(A531,Hebrew!A:C,3,0)</f>
        <v>פרופסור ב-UCLA: למה ההנהלה לא עצרה את האלימות החמורה של הלילה שעבר?</v>
      </c>
      <c r="E531" s="3" t="s">
        <v>3279</v>
      </c>
      <c r="F531" s="3" t="str">
        <f>VLOOKUP($A531,Hebrew!$A:$S,4,0)</f>
        <v>פרופסור מאוניברסיטת UCLA מבקר את הנהלת האוניברסיטה על כך שלא הצליחה למנוע אלימות במהלך הפגנות בקמפוס הקשורות לסכסוך בעזה - ומציין במיוחד התקפה שנמשכה שלוש שעות על המאהל של מתנגדי המלחמה מצד המפגינים נגד ההפגנה. הפרופסור משתמש במונחים חזקים ("כישלון מוחלט של המערכת מצד האוניברסיטה, העיר לוס אנג'לס ומדינת קליפורניה").</v>
      </c>
      <c r="G531" s="3" t="s">
        <v>2528</v>
      </c>
      <c r="H531" s="3" t="s">
        <v>683</v>
      </c>
      <c r="I531" s="3" t="s">
        <v>683</v>
      </c>
      <c r="J531" s="3" t="s">
        <v>3280</v>
      </c>
      <c r="K531" s="3" t="s">
        <v>3281</v>
      </c>
      <c r="L531" s="3" t="str">
        <f>VLOOKUP($A531,Hebrew!$A:$S,9,0)</f>
        <v>דוד נ. מאיירס</v>
      </c>
      <c r="M531" s="2"/>
      <c r="N531" s="2"/>
      <c r="O531" s="3" t="s">
        <v>26</v>
      </c>
      <c r="P531" s="3" t="s">
        <v>3282</v>
      </c>
      <c r="Q531" s="3" t="str">
        <f>VLOOKUP($A531,Hebrew!$A:$S,13,0)</f>
        <v>UCLA קליפורניה, ארה"ב</v>
      </c>
      <c r="R531" s="3" t="s">
        <v>1225</v>
      </c>
      <c r="S531" s="3" t="s">
        <v>397</v>
      </c>
      <c r="T531" s="3" t="s">
        <v>3283</v>
      </c>
      <c r="U531" s="3" t="s">
        <v>95</v>
      </c>
      <c r="V531" s="3" t="s">
        <v>357</v>
      </c>
      <c r="W531" s="2"/>
      <c r="X531" s="2"/>
      <c r="Y531" s="2"/>
    </row>
    <row r="532" spans="1:25" x14ac:dyDescent="0.2">
      <c r="A532" s="3">
        <v>1105</v>
      </c>
      <c r="B532" s="4" t="s">
        <v>3284</v>
      </c>
      <c r="C532" s="3" t="s">
        <v>3285</v>
      </c>
      <c r="D532" s="3" t="str">
        <f>VLOOKUP(A532,Hebrew!A:C,3,0)</f>
        <v>ישראל/השטחים הכבושים: עלייה במקרי עינויים והשפלות של עצורים פלסטינים על רקע עלייה במעצרים שרירותיים</v>
      </c>
      <c r="E532" s="3" t="s">
        <v>3286</v>
      </c>
      <c r="F532" s="3" t="str">
        <f>VLOOKUP($A532,Hebrew!$A:$S,4,0)</f>
        <v>אמנסטי אינטרנשיונל מדווחת על עלייה מדאיגה בעינויים והשפלות של עצורים פלסטינים בשטחים הכבושים על ידי הרשויות הישראליות על רקע עלייה במעצרים שרירותיים.</v>
      </c>
      <c r="G532" s="3" t="s">
        <v>3287</v>
      </c>
      <c r="H532" s="3" t="s">
        <v>2608</v>
      </c>
      <c r="I532" s="3" t="s">
        <v>2753</v>
      </c>
      <c r="J532" s="3" t="s">
        <v>2941</v>
      </c>
      <c r="K532" s="3" t="s">
        <v>3288</v>
      </c>
      <c r="L532" s="3" t="str">
        <f>VLOOKUP($A532,Hebrew!$A:$S,9,0)</f>
        <v>הבה מורייף</v>
      </c>
      <c r="M532" s="2"/>
      <c r="N532" s="2"/>
      <c r="O532" s="3" t="s">
        <v>26</v>
      </c>
      <c r="P532" s="3" t="s">
        <v>3289</v>
      </c>
      <c r="Q532" s="3" t="str">
        <f>VLOOKUP($A532,Hebrew!$A:$S,13,0)</f>
        <v>ישראל, השטחים הכבושים</v>
      </c>
      <c r="R532" s="3" t="s">
        <v>28</v>
      </c>
      <c r="S532" s="3" t="s">
        <v>29</v>
      </c>
      <c r="T532" s="3" t="s">
        <v>3290</v>
      </c>
      <c r="U532" s="3" t="s">
        <v>3291</v>
      </c>
      <c r="V532" s="3" t="s">
        <v>3292</v>
      </c>
      <c r="W532" s="2"/>
      <c r="X532" s="2"/>
      <c r="Y532" s="2"/>
    </row>
    <row r="533" spans="1:25" x14ac:dyDescent="0.2">
      <c r="A533" s="3">
        <v>889</v>
      </c>
      <c r="B533" s="4" t="s">
        <v>3293</v>
      </c>
      <c r="C533" s="3" t="s">
        <v>3294</v>
      </c>
      <c r="D533" s="3" t="str">
        <f>VLOOKUP(A533,Hebrew!A:C,3,0)</f>
        <v>האפרטהייד של ישראל נגד הפלסטינים: מערכת אכזרית של שליטה ופשע נגד האנושות</v>
      </c>
      <c r="E533" s="3" t="s">
        <v>3295</v>
      </c>
      <c r="F533" s="3" t="str">
        <f>VLOOKUP($A533,Hebrew!$A:$S,4,0)</f>
        <v>דו"ח אמנסטי אינטרנשיונל (280 עמודים) מנתח את מערכת הדיכוי של ישראל נגד הפלסטינים, ומסכם שהיא מהווה אפרטהייד ומבקש פעולה בינלאומית לפירוקה.</v>
      </c>
      <c r="G533" s="3" t="s">
        <v>3296</v>
      </c>
      <c r="H533" s="2"/>
      <c r="I533" s="2"/>
      <c r="J533" s="3" t="s">
        <v>2941</v>
      </c>
      <c r="K533" s="3" t="s">
        <v>2941</v>
      </c>
      <c r="L533" s="3" t="str">
        <f>VLOOKUP($A533,Hebrew!$A:$S,9,0)</f>
        <v>אמנסטי אינטרנשיונל</v>
      </c>
      <c r="M533" s="2"/>
      <c r="N533" s="2"/>
      <c r="O533" s="3" t="s">
        <v>26</v>
      </c>
      <c r="P533" s="3" t="s">
        <v>3297</v>
      </c>
      <c r="Q533" s="3" t="str">
        <f>VLOOKUP($A533,Hebrew!$A:$S,13,0)</f>
        <v>ישראל, השטחים הכבושים</v>
      </c>
      <c r="R533" s="3" t="s">
        <v>28</v>
      </c>
      <c r="S533" s="3" t="s">
        <v>397</v>
      </c>
      <c r="T533" s="3" t="s">
        <v>3298</v>
      </c>
      <c r="U533" s="2"/>
      <c r="V533" s="3" t="s">
        <v>3299</v>
      </c>
      <c r="W533" s="2"/>
      <c r="X533" s="2"/>
      <c r="Y533" s="2"/>
    </row>
    <row r="534" spans="1:25" x14ac:dyDescent="0.2">
      <c r="A534" s="3">
        <v>684</v>
      </c>
      <c r="B534" s="4" t="s">
        <v>3300</v>
      </c>
      <c r="C534" s="3" t="s">
        <v>3301</v>
      </c>
      <c r="D534" s="3" t="str">
        <f>VLOOKUP(A534,Hebrew!A:C,3,0)</f>
        <v>לוחמת בלתי חוקית מעזה, אישה בת 82 חולת אלצהיימר, נכלאה בישראל במשך כחודשיים.</v>
      </c>
      <c r="E534" s="3" t="s">
        <v>3302</v>
      </c>
      <c r="F534" s="3" t="str">
        <f>VLOOKUP($A534,Hebrew!$A:$S,4,0)</f>
        <v>אישה בת 82 מעזה חולת אלצהיימר נעצרה בישראל במשך כמעט חודשיים תחת החוק נגד לוחמים בלתי חוקיים. היא לא הורשתה לראות רופא מארגון רופאים לזכויות אדם ולא יכלה לשחזר רבים מהפרטים הרלוונטיים של חווייתה.</v>
      </c>
      <c r="G534" s="3" t="s">
        <v>2689</v>
      </c>
      <c r="H534" s="3" t="s">
        <v>3303</v>
      </c>
      <c r="I534" s="3" t="s">
        <v>1075</v>
      </c>
      <c r="J534" s="3" t="s">
        <v>36</v>
      </c>
      <c r="K534" s="3" t="s">
        <v>3304</v>
      </c>
      <c r="L534" s="3" t="str">
        <f>VLOOKUP($A534,Hebrew!$A:$S,9,0)</f>
        <v>אמירה הס</v>
      </c>
      <c r="M534" s="2"/>
      <c r="N534" s="2"/>
      <c r="O534" s="3" t="s">
        <v>39</v>
      </c>
      <c r="P534" s="3" t="s">
        <v>3305</v>
      </c>
      <c r="Q534" s="3" t="str">
        <f>VLOOKUP($A534,Hebrew!$A:$S,13,0)</f>
        <v>כלא דמון</v>
      </c>
      <c r="R534" s="3" t="s">
        <v>1215</v>
      </c>
      <c r="S534" s="3" t="s">
        <v>2611</v>
      </c>
      <c r="T534" s="3" t="s">
        <v>3306</v>
      </c>
      <c r="U534" s="3" t="s">
        <v>3307</v>
      </c>
      <c r="V534" s="3" t="s">
        <v>3308</v>
      </c>
      <c r="W534" s="2"/>
      <c r="X534" s="2"/>
      <c r="Y534" s="2"/>
    </row>
    <row r="535" spans="1:25" x14ac:dyDescent="0.2">
      <c r="A535" s="3">
        <v>693</v>
      </c>
      <c r="B535" s="4" t="s">
        <v>3309</v>
      </c>
      <c r="C535" s="3" t="s">
        <v>3310</v>
      </c>
      <c r="D535" s="3" t="str">
        <f>VLOOKUP(A535,Hebrew!A:C,3,0)</f>
        <v>מאז פרוץ המלחמה נעצרו כ-4000 תושבי עזה, מתוכם 1500 שוחררו מחוסר ראיות.</v>
      </c>
      <c r="E535" s="3" t="s">
        <v>3311</v>
      </c>
      <c r="F535" s="3" t="str">
        <f>VLOOKUP($A535,Hebrew!$A:$S,4,0)</f>
        <v>כ-4,000 תושבי עזה נעצרו מאז פרוץ המלחמה, כאשר יותר מ-1,500 שוחררו מחוסר ראיות, כך לפי תגובת המדינה לבית המשפט העליון. תושבי עזה נעצרים בעקבות החוק לגבי לוחמים בלתי חוקיים, חוק שלא נעשה בו שימוש רב ב-15 השנים שקדמו למלחמה הנוכחית.</v>
      </c>
      <c r="G535" s="3" t="s">
        <v>403</v>
      </c>
      <c r="H535" s="2"/>
      <c r="I535" s="2"/>
      <c r="J535" s="3" t="s">
        <v>36</v>
      </c>
      <c r="K535" s="3" t="s">
        <v>292</v>
      </c>
      <c r="L535" s="3" t="str">
        <f>VLOOKUP($A535,Hebrew!$A:$S,9,0)</f>
        <v>בר פלג</v>
      </c>
      <c r="M535" s="3" t="s">
        <v>3312</v>
      </c>
      <c r="N535" s="2"/>
      <c r="O535" s="3" t="s">
        <v>39</v>
      </c>
      <c r="P535" s="3" t="s">
        <v>60</v>
      </c>
      <c r="Q535" s="3" t="str">
        <f>VLOOKUP($A535,Hebrew!$A:$S,13,0)</f>
        <v>ישראל</v>
      </c>
      <c r="R535" s="3" t="s">
        <v>1215</v>
      </c>
      <c r="S535" s="3" t="s">
        <v>397</v>
      </c>
      <c r="T535" s="3" t="s">
        <v>3313</v>
      </c>
      <c r="U535" s="3" t="s">
        <v>3314</v>
      </c>
      <c r="V535" s="3" t="s">
        <v>60</v>
      </c>
      <c r="W535" s="2"/>
      <c r="X535" s="2"/>
      <c r="Y535" s="2"/>
    </row>
    <row r="536" spans="1:25" x14ac:dyDescent="0.2">
      <c r="A536" s="3">
        <v>1376</v>
      </c>
      <c r="B536" s="4" t="s">
        <v>3315</v>
      </c>
      <c r="C536" s="3" t="s">
        <v>3316</v>
      </c>
      <c r="D536" s="3" t="str">
        <f>VLOOKUP(A536,Hebrew!A:C,3,0)</f>
        <v>אוסטרליה משיבה את המימון ל-UNRWA ומתחייבת לסיוע נוסף לעזה</v>
      </c>
      <c r="E536" s="3" t="s">
        <v>3317</v>
      </c>
      <c r="F536" s="3" t="str">
        <f>VLOOKUP($A536,Hebrew!$A:$S,4,0)</f>
        <v>שרת החוץ האוסטרלית הביעה זעזוע מהמצב ההומניטרי המידרדר בעזה והעריכה כי אונר"א אינה ארגון טרור. הצהרה זו התקבלה לאחר שאוסטרליה הקפיאה את המימון לאונר"א בינואר 2024.</v>
      </c>
      <c r="G536" s="3" t="s">
        <v>3318</v>
      </c>
      <c r="H536" s="3" t="s">
        <v>3318</v>
      </c>
      <c r="I536" s="3" t="s">
        <v>3318</v>
      </c>
      <c r="J536" s="3" t="s">
        <v>1684</v>
      </c>
      <c r="K536" s="2"/>
      <c r="L536" s="3">
        <f>VLOOKUP($A536,Hebrew!$A:$S,9,0)</f>
        <v>0</v>
      </c>
      <c r="M536" s="2"/>
      <c r="N536" s="2"/>
      <c r="O536" s="3" t="s">
        <v>26</v>
      </c>
      <c r="P536" s="3" t="s">
        <v>3319</v>
      </c>
      <c r="Q536" s="3" t="str">
        <f>VLOOKUP($A536,Hebrew!$A:$S,13,0)</f>
        <v>אוסטרליה</v>
      </c>
      <c r="R536" s="3" t="s">
        <v>1215</v>
      </c>
      <c r="S536" s="3" t="s">
        <v>397</v>
      </c>
      <c r="T536" s="3" t="s">
        <v>3320</v>
      </c>
      <c r="U536" s="3" t="s">
        <v>3321</v>
      </c>
      <c r="V536" s="3" t="s">
        <v>27</v>
      </c>
      <c r="W536" s="2"/>
      <c r="X536" s="2"/>
      <c r="Y536" s="2"/>
    </row>
    <row r="537" spans="1:25" x14ac:dyDescent="0.2">
      <c r="A537" s="3">
        <v>1590</v>
      </c>
      <c r="B537" s="4" t="s">
        <v>3322</v>
      </c>
      <c r="C537" s="3" t="s">
        <v>3323</v>
      </c>
      <c r="D537" s="3" t="str">
        <f>VLOOKUP(A537,Hebrew!A:C,3,0)</f>
        <v>מיליארדרים דנים במבצע תקשורת נגד חמאס בשווי 50 מיליון דולר</v>
      </c>
      <c r="E537" s="3" t="s">
        <v>3324</v>
      </c>
      <c r="F537" s="3" t="str">
        <f>VLOOKUP($A537,Hebrew!$A:$S,4,0)</f>
        <v>מיליארדרים מוול סטריט ומהוליווד מתכננים קמפיין מדיה בשווי 50 מיליון דולר כדי להגדיר את חמאס כארגון טרור בפני הציבור האמריקאי בעקבות התקפות 7 באוקטובר בישראל. כפי שכתב אחד המיליארדרים, "דעת הקהל בוודאי תשתנה כאשר סצנות, אמיתיות או מזויפות על ידי חמאס, על סבלם של אזרחים פלסטינים, יפגעו בוודאות באמפתיה הנוכחית [של ישראל] בקהילה העולמית... עלינו להקדים את הנרטיב."</v>
      </c>
      <c r="G537" s="3" t="s">
        <v>3325</v>
      </c>
      <c r="H537" s="2"/>
      <c r="I537" s="2"/>
      <c r="J537" s="3" t="s">
        <v>3326</v>
      </c>
      <c r="K537" s="3" t="s">
        <v>3327</v>
      </c>
      <c r="L537" s="3" t="str">
        <f>VLOOKUP($A537,Hebrew!$A:$S,9,0)</f>
        <v>ליז הופמן, בן סמית</v>
      </c>
      <c r="M537" s="2"/>
      <c r="N537" s="2"/>
      <c r="O537" s="3" t="s">
        <v>26</v>
      </c>
      <c r="P537" s="3" t="s">
        <v>95</v>
      </c>
      <c r="Q537" s="3" t="str">
        <f>VLOOKUP($A537,Hebrew!$A:$S,13,0)</f>
        <v>ארה"ב</v>
      </c>
      <c r="R537" s="3" t="s">
        <v>1215</v>
      </c>
      <c r="S537" s="3" t="s">
        <v>29</v>
      </c>
      <c r="T537" s="3" t="s">
        <v>3328</v>
      </c>
      <c r="U537" s="3" t="s">
        <v>3329</v>
      </c>
      <c r="V537" s="3" t="s">
        <v>27</v>
      </c>
      <c r="W537" s="2"/>
      <c r="X537" s="2"/>
      <c r="Y537" s="2"/>
    </row>
    <row r="538" spans="1:25" x14ac:dyDescent="0.2">
      <c r="A538" s="3">
        <v>1953</v>
      </c>
      <c r="B538" s="4" t="s">
        <v>3330</v>
      </c>
      <c r="C538" s="3" t="s">
        <v>3331</v>
      </c>
      <c r="D538" s="3" t="str">
        <f>VLOOKUP(A538,Hebrew!A:C,3,0)</f>
        <v>טייקוני עסקים לחצו באופן פרטי על ראש עיריית ניו יורק להשתמש במשטרה נגד המפגינים בקולומביה</v>
      </c>
      <c r="E538" s="3" t="s">
        <v>3332</v>
      </c>
      <c r="F538" s="3" t="str">
        <f>VLOOKUP($A538,Hebrew!$A:$S,4,0)</f>
        <v>קבוצה של מיליארדרים וטייקוני עסקים שעובדים לעצב את דעת הקהל האמריקאית לגבי המלחמה בעזה, לחצה בחשאי על ראש עיריית ניו יורק בחודש שעבר לשלוח משטרה לפזר הפגנות פרו-פלסטיניות באוניברסיטת קולומביה, לפי שיחת וואטסאפ שהושגה על ידי הוושינגטון פוסט ואנשים המוכרים את הקבוצה.</v>
      </c>
      <c r="G538" s="3" t="s">
        <v>979</v>
      </c>
      <c r="H538" s="2"/>
      <c r="I538" s="2"/>
      <c r="J538" s="3" t="s">
        <v>2831</v>
      </c>
      <c r="K538" s="3" t="s">
        <v>3333</v>
      </c>
      <c r="L538" s="3" t="str">
        <f>VLOOKUP($A538,Hebrew!$A:$S,9,0)</f>
        <v>חנה נתנזון, עמנואל פלטון</v>
      </c>
      <c r="M538" s="2"/>
      <c r="N538" s="2"/>
      <c r="O538" s="3" t="s">
        <v>26</v>
      </c>
      <c r="P538" s="3" t="s">
        <v>3334</v>
      </c>
      <c r="Q538" s="3" t="str">
        <f>VLOOKUP($A538,Hebrew!$A:$S,13,0)</f>
        <v>ניו יורק</v>
      </c>
      <c r="R538" s="3" t="s">
        <v>1215</v>
      </c>
      <c r="S538" s="3" t="s">
        <v>397</v>
      </c>
      <c r="T538" s="3" t="s">
        <v>3335</v>
      </c>
      <c r="U538" s="3" t="s">
        <v>95</v>
      </c>
      <c r="V538" s="3" t="s">
        <v>27</v>
      </c>
      <c r="W538" s="2"/>
      <c r="X538" s="2"/>
      <c r="Y538" s="2"/>
    </row>
    <row r="539" spans="1:25" x14ac:dyDescent="0.2">
      <c r="A539" s="3">
        <v>1265</v>
      </c>
      <c r="B539" s="4" t="s">
        <v>3336</v>
      </c>
      <c r="C539" s="3" t="s">
        <v>3337</v>
      </c>
      <c r="D539" s="3" t="str">
        <f>VLOOKUP(A539,Hebrew!A:C,3,0)</f>
        <v>שרת החוץ של קנדה: נפסיק לספק נשק לישראל</v>
      </c>
      <c r="E539" s="3" t="s">
        <v>3338</v>
      </c>
      <c r="F539" s="3" t="str">
        <f>VLOOKUP($A539,Hebrew!$A:$S,4,0)</f>
        <v>שרת החוץ של קנדה, מלני ג'ולי, הודיעה על הפסקת משלוחי הנשק לישראל בעקבות אישור חוק לאחרונה על ידי בית הנבחרים הקנדי. קנדה אינה ספקית גדולה של נשק לישראל (רק 22 מיליון דולר בשנת 2022).</v>
      </c>
      <c r="G539" s="3" t="s">
        <v>973</v>
      </c>
      <c r="H539" s="2"/>
      <c r="I539" s="2"/>
      <c r="J539" s="3" t="s">
        <v>36</v>
      </c>
      <c r="K539" s="2"/>
      <c r="L539" s="3">
        <f>VLOOKUP($A539,Hebrew!$A:$S,9,0)</f>
        <v>0</v>
      </c>
      <c r="M539" s="2"/>
      <c r="N539" s="2"/>
      <c r="O539" s="3" t="s">
        <v>39</v>
      </c>
      <c r="P539" s="3" t="s">
        <v>3049</v>
      </c>
      <c r="Q539" s="3" t="str">
        <f>VLOOKUP($A539,Hebrew!$A:$S,13,0)</f>
        <v>קנדה</v>
      </c>
      <c r="R539" s="3" t="s">
        <v>1215</v>
      </c>
      <c r="S539" s="3" t="s">
        <v>397</v>
      </c>
      <c r="T539" s="3" t="s">
        <v>3339</v>
      </c>
      <c r="U539" s="2"/>
      <c r="V539" s="3" t="s">
        <v>27</v>
      </c>
      <c r="W539" s="2"/>
      <c r="X539" s="2"/>
      <c r="Y539" s="2"/>
    </row>
    <row r="540" spans="1:25" x14ac:dyDescent="0.2">
      <c r="A540" s="3">
        <v>348</v>
      </c>
      <c r="B540" s="4" t="s">
        <v>3340</v>
      </c>
      <c r="C540" s="3" t="s">
        <v>3341</v>
      </c>
      <c r="D540" s="3" t="str">
        <f>VLOOKUP(A540,Hebrew!A:C,3,0)</f>
        <v>CNN מדווחת על המהלך הישראלי ליישב מחדש את רצועת עזה</v>
      </c>
      <c r="E540" s="3" t="s">
        <v>3342</v>
      </c>
      <c r="F540" s="3" t="str">
        <f>VLOOKUP($A540,Hebrew!$A:$S,4,0)</f>
        <v>קלריסה וורד מ-CNN מדווחת על תנועת ההתיישבות הישראלית בעזה. הדיווח כולל ריאיון עם דניאלה וייס, דמות מובילה בתנועת המתיישבים בישראל, שבו היא נשאלת על האשמות של טיהור אתני.</v>
      </c>
      <c r="G540" s="3" t="s">
        <v>1955</v>
      </c>
      <c r="H540" s="2"/>
      <c r="I540" s="2"/>
      <c r="J540" s="3" t="s">
        <v>3343</v>
      </c>
      <c r="K540" s="3" t="s">
        <v>3344</v>
      </c>
      <c r="L540" s="3" t="str">
        <f>VLOOKUP($A540,Hebrew!$A:$S,9,0)</f>
        <v>קלריסה וורד</v>
      </c>
      <c r="M540" s="2"/>
      <c r="N540" s="2"/>
      <c r="O540" s="3" t="s">
        <v>26</v>
      </c>
      <c r="P540" s="3" t="s">
        <v>60</v>
      </c>
      <c r="Q540" s="3" t="str">
        <f>VLOOKUP($A540,Hebrew!$A:$S,13,0)</f>
        <v>ישראל</v>
      </c>
      <c r="R540" s="3" t="s">
        <v>1215</v>
      </c>
      <c r="S540" s="3" t="s">
        <v>982</v>
      </c>
      <c r="T540" s="3" t="s">
        <v>3345</v>
      </c>
      <c r="U540" s="3" t="s">
        <v>3346</v>
      </c>
      <c r="V540" s="3" t="s">
        <v>3002</v>
      </c>
      <c r="W540" s="3" t="s">
        <v>3347</v>
      </c>
      <c r="X540" s="2"/>
      <c r="Y540" s="2"/>
    </row>
    <row r="541" spans="1:25" x14ac:dyDescent="0.2">
      <c r="A541" s="3">
        <v>668</v>
      </c>
      <c r="B541" s="4" t="s">
        <v>3348</v>
      </c>
      <c r="C541" s="3" t="s">
        <v>3349</v>
      </c>
      <c r="D541" s="3" t="str">
        <f>VLOOKUP(A541,Hebrew!A:C,3,0)</f>
        <v>שר החוץ הבריטי אומר כי הדו"ח של ה-BBC על הפשיטה על בית החולים אל-נאסר 'מאוד מטריד'</v>
      </c>
      <c r="E541" s="3" t="s">
        <v>3350</v>
      </c>
      <c r="F541" s="3" t="str">
        <f>VLOOKUP($A541,Hebrew!$A:$S,4,0)</f>
        <v>דיוויד קמרון מביע דאגה לגבי דיווח של ה-BBC המתאר התעללות לכאורה בצוותי רפואה פלסטיניים על ידי חיילים ישראלים במהלך פשיטה על בית החולים אל-נאסר בעזה. שלושה אנשי צוות רפואי סיפרו ל-BBC שהם הושפלו והוכו, שהותזו עליהם מים קרים והם נאלצו לכרוע ברך במשך שעות. הם הוחזקו במעצר במשך ימים.</v>
      </c>
      <c r="G541" s="3" t="s">
        <v>2519</v>
      </c>
      <c r="H541" s="3" t="s">
        <v>2168</v>
      </c>
      <c r="I541" s="3" t="s">
        <v>1815</v>
      </c>
      <c r="J541" s="3" t="s">
        <v>1213</v>
      </c>
      <c r="K541" s="3" t="s">
        <v>3351</v>
      </c>
      <c r="L541" s="3" t="str">
        <f>VLOOKUP($A541,Hebrew!$A:$S,9,0)</f>
        <v>אלכס בינלי</v>
      </c>
      <c r="M541" s="2"/>
      <c r="N541" s="2"/>
      <c r="O541" s="3" t="s">
        <v>26</v>
      </c>
      <c r="P541" s="3" t="s">
        <v>3201</v>
      </c>
      <c r="Q541" s="3" t="str">
        <f>VLOOKUP($A541,Hebrew!$A:$S,13,0)</f>
        <v>בית החולים נאסר</v>
      </c>
      <c r="R541" s="3" t="s">
        <v>1215</v>
      </c>
      <c r="S541" s="3" t="s">
        <v>2005</v>
      </c>
      <c r="T541" s="3" t="s">
        <v>3352</v>
      </c>
      <c r="U541" s="3" t="s">
        <v>3353</v>
      </c>
      <c r="V541" s="3" t="s">
        <v>3354</v>
      </c>
      <c r="W541" s="2"/>
      <c r="X541" s="2"/>
      <c r="Y541" s="2"/>
    </row>
    <row r="542" spans="1:25" x14ac:dyDescent="0.2">
      <c r="A542" s="3">
        <v>168</v>
      </c>
      <c r="B542" s="4" t="s">
        <v>3355</v>
      </c>
      <c r="C542" s="3" t="s">
        <v>3356</v>
      </c>
      <c r="D542" s="3" t="str">
        <f>VLOOKUP(A542,Hebrew!A:C,3,0)</f>
        <v>שר החוץ הבריטי מאשים את ישראל בחסימת מעבר מרכזי לסיוע בעזה</v>
      </c>
      <c r="E542" s="3" t="s">
        <v>3357</v>
      </c>
      <c r="F542" s="3" t="str">
        <f>VLOOKUP($A542,Hebrew!$A:$S,4,0)</f>
        <v>דיוויד קמרון האשים את ישראל בחסימת מעבר כרם שלום לעזה, מה שמייחס את הבעיות בהפצת הסיוע למדיניות הישראלית. לדוגמה, הוא מציין שחלק מהסיוע הממומן על ידי בריטניה נתקע בגבול במשך שלושה שבועות בהמתנה לאישור. פקיד ישראלי שהכחיש את הטענה הושעה.</v>
      </c>
      <c r="G542" s="3" t="s">
        <v>927</v>
      </c>
      <c r="H542" s="2"/>
      <c r="I542" s="2"/>
      <c r="J542" s="3" t="s">
        <v>110</v>
      </c>
      <c r="K542" s="3" t="s">
        <v>3186</v>
      </c>
      <c r="L542" s="3" t="str">
        <f>VLOOKUP($A542,Hebrew!$A:$S,9,0)</f>
        <v>פטריק וינטור</v>
      </c>
      <c r="M542" s="2"/>
      <c r="N542" s="2"/>
      <c r="O542" s="3" t="s">
        <v>26</v>
      </c>
      <c r="P542" s="3" t="s">
        <v>3353</v>
      </c>
      <c r="Q542" s="3">
        <f>VLOOKUP($A542,Hebrew!$A:$S,13,0)</f>
        <v>0</v>
      </c>
      <c r="R542" s="3" t="s">
        <v>1215</v>
      </c>
      <c r="S542" s="3" t="s">
        <v>2314</v>
      </c>
      <c r="T542" s="3" t="s">
        <v>3358</v>
      </c>
      <c r="U542" s="3" t="s">
        <v>3353</v>
      </c>
      <c r="V542" s="3" t="s">
        <v>1459</v>
      </c>
      <c r="W542" s="2"/>
      <c r="X542" s="2"/>
      <c r="Y542" s="2"/>
    </row>
    <row r="543" spans="1:25" x14ac:dyDescent="0.2">
      <c r="A543" s="3">
        <v>382</v>
      </c>
      <c r="B543" s="6" t="s">
        <v>3359</v>
      </c>
      <c r="C543" s="3" t="s">
        <v>3360</v>
      </c>
      <c r="D543" s="3" t="str">
        <f>VLOOKUP(A543,Hebrew!A:C,3,0)</f>
        <v>גדי קדם, ששישה מבני משפחתו נרצחו ב-7 באוקטובר, הותקף במהלך הפגנה באיילון.</v>
      </c>
      <c r="E543" s="3" t="s">
        <v>3361</v>
      </c>
      <c r="F543" s="3" t="str">
        <f>VLOOKUP($A543,Hebrew!$A:$S,4,0)</f>
        <v>גדי קדם, ששישה מבני משפחתו נרצחו ב-7 באוקטובר, הפגין באיילון לשחרור החטופים, כאשר הותקף על ידי פעיל ימין שהחזיק בשלט שעליו כתוב "שמאלנים בוגדים."</v>
      </c>
      <c r="G543" s="3" t="s">
        <v>1773</v>
      </c>
      <c r="H543" s="3" t="s">
        <v>1773</v>
      </c>
      <c r="I543" s="3" t="s">
        <v>1773</v>
      </c>
      <c r="J543" s="3" t="s">
        <v>348</v>
      </c>
      <c r="K543" s="3" t="s">
        <v>3362</v>
      </c>
      <c r="L543" s="3" t="str">
        <f>VLOOKUP($A543,Hebrew!$A:$S,9,0)</f>
        <v>אבי כהן</v>
      </c>
      <c r="M543" s="2"/>
      <c r="N543" s="2"/>
      <c r="O543" s="3" t="s">
        <v>39</v>
      </c>
      <c r="P543" s="3" t="s">
        <v>1530</v>
      </c>
      <c r="Q543" s="3" t="str">
        <f>VLOOKUP($A543,Hebrew!$A:$S,13,0)</f>
        <v>תל אביב</v>
      </c>
      <c r="R543" s="3" t="s">
        <v>1215</v>
      </c>
      <c r="S543" s="3" t="s">
        <v>413</v>
      </c>
      <c r="T543" s="3" t="s">
        <v>3363</v>
      </c>
      <c r="U543" s="2"/>
      <c r="V543" s="3" t="s">
        <v>60</v>
      </c>
      <c r="W543" s="2"/>
      <c r="X543" s="2"/>
      <c r="Y543" s="2"/>
    </row>
    <row r="544" spans="1:25" x14ac:dyDescent="0.2">
      <c r="A544" s="3">
        <v>1479</v>
      </c>
      <c r="B544" s="4" t="s">
        <v>3364</v>
      </c>
      <c r="C544" s="3" t="s">
        <v>3365</v>
      </c>
      <c r="D544" s="3" t="str">
        <f>VLOOKUP(A544,Hebrew!A:C,3,0)</f>
        <v>לא מראים את עזה: גדעון לוי על כך שהעיתונות הישראלית אינה מסקרת את המחיר האמיתי של המלחמה</v>
      </c>
      <c r="E544" s="3" t="s">
        <v>3366</v>
      </c>
      <c r="F544" s="3" t="str">
        <f>VLOOKUP($A544,Hebrew!$A:$S,4,0)</f>
        <v>גדעון לוי דן בכשלים של התקשורת הישראלית בסיקור המלחמה בעזה, מדגיש את הזנחת הנפגעים הפלסטינים ואת המיקוד בנרטיבים ישראליים.</v>
      </c>
      <c r="G544" s="3" t="s">
        <v>506</v>
      </c>
      <c r="H544" s="3" t="s">
        <v>506</v>
      </c>
      <c r="I544" s="3" t="s">
        <v>506</v>
      </c>
      <c r="J544" s="3" t="s">
        <v>2935</v>
      </c>
      <c r="K544" s="3" t="s">
        <v>3367</v>
      </c>
      <c r="L544" s="3" t="str">
        <f>VLOOKUP($A544,Hebrew!$A:$S,9,0)</f>
        <v>איימי גודמן, חואן גונזלס</v>
      </c>
      <c r="M544" s="2"/>
      <c r="N544" s="2"/>
      <c r="O544" s="3" t="s">
        <v>26</v>
      </c>
      <c r="P544" s="3" t="s">
        <v>60</v>
      </c>
      <c r="Q544" s="3" t="str">
        <f>VLOOKUP($A544,Hebrew!$A:$S,13,0)</f>
        <v>ישראל</v>
      </c>
      <c r="R544" s="3" t="s">
        <v>1225</v>
      </c>
      <c r="S544" s="3" t="s">
        <v>413</v>
      </c>
      <c r="T544" s="3" t="s">
        <v>3368</v>
      </c>
      <c r="U544" s="2"/>
      <c r="V544" s="3" t="s">
        <v>60</v>
      </c>
      <c r="W544" s="2"/>
      <c r="X544" s="2"/>
      <c r="Y544" s="2"/>
    </row>
    <row r="545" spans="1:25" x14ac:dyDescent="0.2">
      <c r="A545" s="3">
        <v>314</v>
      </c>
      <c r="B545" s="4" t="s">
        <v>3369</v>
      </c>
      <c r="C545" s="3" t="s">
        <v>3370</v>
      </c>
      <c r="D545" s="3" t="str">
        <f>VLOOKUP(A545,Hebrew!A:C,3,0)</f>
        <v>חברי ממשלת ישראל והקואליציה השלטת קוראים להעברת אוכלוסייה במהלך כנס ליישוב מחדש של עזה</v>
      </c>
      <c r="E545" s="3" t="s">
        <v>3371</v>
      </c>
      <c r="F545" s="3" t="str">
        <f>VLOOKUP($A545,Hebrew!$A:$S,4,0)</f>
        <v>יותר מ-25 פקידי ממשלה וחברי קואליציה השתתפו בכנס הקורא להתיישבות יהודית ברצועת עזה, דנו בתוכניות ליוזמות התיישבות חדשות והביעו דעות שנויות במחלוקת על העברת אוכלוסייה.</v>
      </c>
      <c r="G545" s="3" t="s">
        <v>1113</v>
      </c>
      <c r="H545" s="3" t="s">
        <v>1113</v>
      </c>
      <c r="I545" s="3" t="s">
        <v>1113</v>
      </c>
      <c r="J545" s="3" t="s">
        <v>1193</v>
      </c>
      <c r="K545" s="3" t="s">
        <v>3372</v>
      </c>
      <c r="L545" s="3" t="str">
        <f>VLOOKUP($A545,Hebrew!$A:$S,9,0)</f>
        <v>אינבר טויזר</v>
      </c>
      <c r="M545" s="2"/>
      <c r="N545" s="2"/>
      <c r="O545" s="3" t="s">
        <v>39</v>
      </c>
      <c r="P545" s="3" t="s">
        <v>168</v>
      </c>
      <c r="Q545" s="3" t="str">
        <f>VLOOKUP($A545,Hebrew!$A:$S,13,0)</f>
        <v>ירושלים</v>
      </c>
      <c r="R545" s="3" t="s">
        <v>2018</v>
      </c>
      <c r="S545" s="3" t="s">
        <v>397</v>
      </c>
      <c r="T545" s="3" t="s">
        <v>3373</v>
      </c>
      <c r="U545" s="3" t="s">
        <v>253</v>
      </c>
      <c r="V545" s="3" t="s">
        <v>709</v>
      </c>
      <c r="W545" s="3" t="s">
        <v>3374</v>
      </c>
      <c r="X545" s="2"/>
      <c r="Y545" s="2"/>
    </row>
    <row r="546" spans="1:25" x14ac:dyDescent="0.2">
      <c r="A546" s="3">
        <v>1482</v>
      </c>
      <c r="B546" s="4" t="s">
        <v>3375</v>
      </c>
      <c r="C546" s="3" t="s">
        <v>3376</v>
      </c>
      <c r="D546" s="3" t="str">
        <f>VLOOKUP(A546,Hebrew!A:C,3,0)</f>
        <v>גרטה טונברג נתקלת בתגובה נגדית על פוסט פרו-פלסטיני</v>
      </c>
      <c r="E546" s="3" t="s">
        <v>3377</v>
      </c>
      <c r="F546" s="3" t="str">
        <f>VLOOKUP($A546,Hebrew!$A:$S,4,0)</f>
        <v>גרטה תונברג מתמודדת עם תגובות נזעמות על פוסטים שפרסמה כסולידריות עם אנשים בעזה. הפוסטים כללו דימויים שנויים במחלוקת והובילו לביקורת משמעותית.</v>
      </c>
      <c r="G546" s="3" t="s">
        <v>3378</v>
      </c>
      <c r="H546" s="2"/>
      <c r="I546" s="2"/>
      <c r="J546" s="3" t="s">
        <v>3379</v>
      </c>
      <c r="K546" s="3" t="s">
        <v>3380</v>
      </c>
      <c r="L546" s="3" t="str">
        <f>VLOOKUP($A546,Hebrew!$A:$S,9,0)</f>
        <v>קלייר רות</v>
      </c>
      <c r="M546" s="2"/>
      <c r="N546" s="2"/>
      <c r="O546" s="3" t="s">
        <v>26</v>
      </c>
      <c r="P546" s="2"/>
      <c r="Q546" s="3">
        <f>VLOOKUP($A546,Hebrew!$A:$S,13,0)</f>
        <v>0</v>
      </c>
      <c r="R546" s="3" t="s">
        <v>1215</v>
      </c>
      <c r="S546" s="3" t="s">
        <v>397</v>
      </c>
      <c r="T546" s="3" t="s">
        <v>3381</v>
      </c>
      <c r="U546" s="3" t="s">
        <v>314</v>
      </c>
      <c r="V546" s="3" t="s">
        <v>709</v>
      </c>
      <c r="W546" s="2"/>
      <c r="X546" s="2"/>
      <c r="Y546" s="2"/>
    </row>
    <row r="547" spans="1:25" x14ac:dyDescent="0.2">
      <c r="A547" s="3">
        <v>378</v>
      </c>
      <c r="B547" s="4" t="s">
        <v>3382</v>
      </c>
      <c r="C547" s="3" t="s">
        <v>3383</v>
      </c>
      <c r="D547" s="3" t="str">
        <f>VLOOKUP(A547,Hebrew!A:C,3,0)</f>
        <v>חמאס מציע עסקה: החטופים ישוחררו לאחר הפסקת אש של שישה שבועות</v>
      </c>
      <c r="E547" s="3" t="s">
        <v>3384</v>
      </c>
      <c r="F547" s="3" t="str">
        <f>VLOOKUP($A547,Hebrew!$A:$S,4,0)</f>
        <v>חמאס הציע עסקה שכוללת את שחרור החטופים לאחר הפסקת אש של 42 יום, לפי מקורות פלסטיניים וערביים המצויים בפרטי המו"מ. העסקה תכלול את הסרת המצור מעזה.</v>
      </c>
      <c r="G547" s="3" t="s">
        <v>2714</v>
      </c>
      <c r="H547" s="3" t="s">
        <v>2714</v>
      </c>
      <c r="I547" s="3" t="s">
        <v>2714</v>
      </c>
      <c r="J547" s="3" t="s">
        <v>36</v>
      </c>
      <c r="K547" s="3" t="s">
        <v>3385</v>
      </c>
      <c r="L547" s="3" t="str">
        <f>VLOOKUP($A547,Hebrew!$A:$S,9,0)</f>
        <v>ג'קי חורי, יונתן ליס, בן סמואלס</v>
      </c>
      <c r="M547" s="2"/>
      <c r="N547" s="2"/>
      <c r="O547" s="3" t="s">
        <v>39</v>
      </c>
      <c r="P547" s="3" t="s">
        <v>1459</v>
      </c>
      <c r="Q547" s="3" t="str">
        <f>VLOOKUP($A547,Hebrew!$A:$S,13,0)</f>
        <v>ישראל, רצועת עזה</v>
      </c>
      <c r="R547" s="3" t="s">
        <v>1215</v>
      </c>
      <c r="S547" s="3" t="s">
        <v>397</v>
      </c>
      <c r="T547" s="3" t="s">
        <v>3386</v>
      </c>
      <c r="U547" s="3" t="s">
        <v>3387</v>
      </c>
      <c r="V547" s="3" t="s">
        <v>1459</v>
      </c>
      <c r="W547" s="3" t="s">
        <v>729</v>
      </c>
      <c r="X547" s="2"/>
      <c r="Y547" s="2"/>
    </row>
    <row r="548" spans="1:25" x14ac:dyDescent="0.2">
      <c r="A548" s="3">
        <v>1943</v>
      </c>
      <c r="B548" s="4" t="s">
        <v>3388</v>
      </c>
      <c r="C548" s="3" t="s">
        <v>3389</v>
      </c>
      <c r="D548" s="3" t="str">
        <f>VLOOKUP(A548,Hebrew!A:C,3,0)</f>
        <v>הרווארד לא תנקוט יותר בעמדות בנושאים שאינם משפיעים על 'פונקציות הליבה' שלה.</v>
      </c>
      <c r="E548" s="3" t="s">
        <v>3390</v>
      </c>
      <c r="F548" s="3" t="str">
        <f>VLOOKUP($A548,Hebrew!$A:$S,4,0)</f>
        <v>אוניברסיטת הרווארד הודיעה שהיא לא תנקוט יותר עמדות רשמיות בנושאי מדיניות שאינם משפיעים ישירות על הפונקציות המרכזיות שלה, ותדבר רק על ענייני האוניברסיטה. ההודעה הגיעה לאחר מחאות של סטודנטים על המלחמה בעזה.</v>
      </c>
      <c r="G548" s="3" t="s">
        <v>2642</v>
      </c>
      <c r="H548" s="2"/>
      <c r="I548" s="2"/>
      <c r="J548" s="3" t="s">
        <v>110</v>
      </c>
      <c r="K548" s="3" t="s">
        <v>3391</v>
      </c>
      <c r="L548" s="3" t="str">
        <f>VLOOKUP($A548,Hebrew!$A:$S,9,0)</f>
        <v>גלוריה אולאדיפו</v>
      </c>
      <c r="M548" s="2"/>
      <c r="N548" s="2"/>
      <c r="O548" s="3" t="s">
        <v>26</v>
      </c>
      <c r="P548" s="3" t="s">
        <v>3392</v>
      </c>
      <c r="Q548" s="3" t="str">
        <f>VLOOKUP($A548,Hebrew!$A:$S,13,0)</f>
        <v>אוניברסיטת הרווארד</v>
      </c>
      <c r="R548" s="3" t="s">
        <v>1215</v>
      </c>
      <c r="S548" s="3" t="s">
        <v>397</v>
      </c>
      <c r="T548" s="3" t="s">
        <v>3393</v>
      </c>
      <c r="U548" s="2"/>
      <c r="V548" s="3" t="s">
        <v>3394</v>
      </c>
      <c r="W548" s="2"/>
      <c r="X548" s="2"/>
      <c r="Y548" s="2"/>
    </row>
    <row r="549" spans="1:25" x14ac:dyDescent="0.2">
      <c r="A549" s="3">
        <v>1275</v>
      </c>
      <c r="B549" s="4" t="s">
        <v>3395</v>
      </c>
      <c r="C549" s="3" t="s">
        <v>3396</v>
      </c>
      <c r="D549" s="3" t="str">
        <f>VLOOKUP(A549,Hebrew!A:C,3,0)</f>
        <v>עזה: תקיפה ישראלית שהביאה למותם של 106 אזרחים - פשע מלחמה לכאורה</v>
      </c>
      <c r="E549" s="3" t="s">
        <v>3397</v>
      </c>
      <c r="F549" s="3" t="str">
        <f>VLOOKUP($A549,Hebrew!$A:$S,4,0)</f>
        <v>ארגון Human Rights Watch מדווח על תקיפה אווירית ישראלית בעזה שהביאה למותם של לפחות 106 אזרחים, כולל 54 ילדים, ב-31 באוקטובר 2023, ומאפיין זאת כפשע מלחמה לכאורה. הארגון ממליץ לממשלות להפסיק את מכירת הנשק לישראל ולתמוך בחקירה של בית הדין הפלילי הבינלאומי.</v>
      </c>
      <c r="G549" s="3" t="s">
        <v>2669</v>
      </c>
      <c r="H549" s="3" t="s">
        <v>3398</v>
      </c>
      <c r="I549" s="3" t="s">
        <v>3398</v>
      </c>
      <c r="J549" s="3" t="s">
        <v>3399</v>
      </c>
      <c r="K549" s="2"/>
      <c r="L549" s="3">
        <f>VLOOKUP($A549,Hebrew!$A:$S,9,0)</f>
        <v>0</v>
      </c>
      <c r="M549" s="2"/>
      <c r="N549" s="2"/>
      <c r="O549" s="3" t="s">
        <v>26</v>
      </c>
      <c r="P549" s="3" t="s">
        <v>3400</v>
      </c>
      <c r="Q549" s="3" t="str">
        <f>VLOOKUP($A549,Hebrew!$A:$S,13,0)</f>
        <v>בניין המהנדסים, מדרום למחנה הפליטים נוסייראת</v>
      </c>
      <c r="R549" s="3" t="s">
        <v>1215</v>
      </c>
      <c r="S549" s="3" t="s">
        <v>2005</v>
      </c>
      <c r="T549" s="3" t="s">
        <v>3401</v>
      </c>
      <c r="U549" s="3" t="s">
        <v>3402</v>
      </c>
      <c r="V549" s="3" t="s">
        <v>3403</v>
      </c>
      <c r="W549" s="2"/>
      <c r="X549" s="2"/>
      <c r="Y549" s="2"/>
    </row>
    <row r="550" spans="1:25" x14ac:dyDescent="0.2">
      <c r="A550" s="3">
        <v>920</v>
      </c>
      <c r="B550" s="4" t="s">
        <v>3404</v>
      </c>
      <c r="C550" s="3" t="s">
        <v>3405</v>
      </c>
      <c r="D550" s="3" t="str">
        <f>VLOOKUP(A550,Hebrew!A:C,3,0)</f>
        <v>עזה: "הכלא הפתוח" של ישראל לאחר 15 שנים</v>
      </c>
      <c r="E550" s="3" t="s">
        <v>3406</v>
      </c>
      <c r="F550" s="3" t="str">
        <f>VLOOKUP($A550,Hebrew!$A:$S,4,0)</f>
        <v>ארגון Human Rights Watch מדווח על השפעת מדיניות הסגר של ישראל על תושבי עזה, מציין את יום השנה החמישה עשר לסגר ומדגיש את השפעותיו על זכויות האדם ועל ההזדמנויות הנקרות בפניהם.</v>
      </c>
      <c r="G550" s="3" t="s">
        <v>3407</v>
      </c>
      <c r="H550" s="3" t="s">
        <v>3408</v>
      </c>
      <c r="I550" s="3" t="s">
        <v>3407</v>
      </c>
      <c r="J550" s="3" t="s">
        <v>3399</v>
      </c>
      <c r="K550" s="2"/>
      <c r="L550" s="3">
        <f>VLOOKUP($A550,Hebrew!$A:$S,9,0)</f>
        <v>0</v>
      </c>
      <c r="M550" s="2"/>
      <c r="N550" s="2"/>
      <c r="O550" s="3" t="s">
        <v>26</v>
      </c>
      <c r="P550" s="3" t="s">
        <v>1459</v>
      </c>
      <c r="Q550" s="3" t="str">
        <f>VLOOKUP($A550,Hebrew!$A:$S,13,0)</f>
        <v>ישראל, רצועת עזה</v>
      </c>
      <c r="R550" s="3" t="s">
        <v>28</v>
      </c>
      <c r="S550" s="3" t="s">
        <v>397</v>
      </c>
      <c r="T550" s="3" t="s">
        <v>3409</v>
      </c>
      <c r="U550" s="3" t="s">
        <v>3410</v>
      </c>
      <c r="V550" s="3" t="s">
        <v>27</v>
      </c>
      <c r="W550" s="2"/>
      <c r="X550" s="2"/>
      <c r="Y550" s="2"/>
    </row>
    <row r="551" spans="1:25" x14ac:dyDescent="0.2">
      <c r="A551" s="3">
        <v>995</v>
      </c>
      <c r="B551" s="4" t="s">
        <v>3411</v>
      </c>
      <c r="C551" s="3" t="s">
        <v>3412</v>
      </c>
      <c r="D551" s="3" t="str">
        <f>VLOOKUP(A551,Hebrew!A:C,3,0)</f>
        <v>ישראל הואשמה בפשעי מלחמה נגד האנושות בעקבות גירוש כפוי בעזה</v>
      </c>
      <c r="E551" s="3" t="s">
        <v>3413</v>
      </c>
      <c r="F551" s="3" t="str">
        <f>VLOOKUP($A551,Hebrew!$A:$S,4,0)</f>
        <v>ארגון Human Rights Watch מדווח כי צווי הפינוי של ישראל מהווים גירוש כפוי מכוון של אזרחים פלסטינים בעזה, המהווה פשעי נגד האנושות.</v>
      </c>
      <c r="G551" s="3" t="s">
        <v>1257</v>
      </c>
      <c r="H551" s="3" t="s">
        <v>3414</v>
      </c>
      <c r="I551" s="2"/>
      <c r="J551" s="3" t="s">
        <v>110</v>
      </c>
      <c r="K551" s="3" t="s">
        <v>3035</v>
      </c>
      <c r="L551" s="3" t="str">
        <f>VLOOKUP($A551,Hebrew!$A:$S,9,0)</f>
        <v>פיטר בומונט</v>
      </c>
      <c r="M551" s="3" t="s">
        <v>3399</v>
      </c>
      <c r="N551" s="4" t="s">
        <v>3415</v>
      </c>
      <c r="O551" s="3" t="s">
        <v>26</v>
      </c>
      <c r="P551" s="3" t="s">
        <v>1459</v>
      </c>
      <c r="Q551" s="3" t="str">
        <f>VLOOKUP($A551,Hebrew!$A:$S,13,0)</f>
        <v>ישראל, רצועת עזה</v>
      </c>
      <c r="R551" s="3" t="s">
        <v>1215</v>
      </c>
      <c r="S551" s="3" t="s">
        <v>397</v>
      </c>
      <c r="T551" s="3" t="s">
        <v>3416</v>
      </c>
      <c r="U551" s="3" t="s">
        <v>3417</v>
      </c>
      <c r="V551" s="3" t="s">
        <v>27</v>
      </c>
      <c r="W551" s="2"/>
      <c r="X551" s="2"/>
      <c r="Y551" s="2"/>
    </row>
    <row r="552" spans="1:25" x14ac:dyDescent="0.2">
      <c r="A552" s="3">
        <v>1120</v>
      </c>
      <c r="B552" s="4" t="s">
        <v>3418</v>
      </c>
      <c r="C552" s="3" t="s">
        <v>3419</v>
      </c>
      <c r="D552" s="3" t="str">
        <f>VLOOKUP(A552,Hebrew!A:C,3,0)</f>
        <v>כ-4,000 פלסטינים הועברו ממקום מגוריהם בגדה המערבית בשנת 2023</v>
      </c>
      <c r="E552" s="3" t="s">
        <v>3420</v>
      </c>
      <c r="F552" s="3" t="str">
        <f>VLOOKUP($A552,Hebrew!$A:$S,4,0)</f>
        <v>בשנת 2023, כ-4,000 פלסטינים נעקרו מבתיהם בגדה המערבית בשל מדיניות ופרקטיקות ישראליות, מספר העקירוץ הגבוה ביותר שנרשם על ידי OCHA בשנה אחת (OCHA החלה לאסוף נתונים בשנת 2009).</v>
      </c>
      <c r="G552" s="3" t="s">
        <v>1552</v>
      </c>
      <c r="H552" s="3" t="s">
        <v>3421</v>
      </c>
      <c r="I552" s="3" t="s">
        <v>994</v>
      </c>
      <c r="J552" s="3" t="s">
        <v>1223</v>
      </c>
      <c r="K552" s="3" t="s">
        <v>1223</v>
      </c>
      <c r="L552" s="3" t="str">
        <f>VLOOKUP($A552,Hebrew!$A:$S,9,0)</f>
        <v>OCHA (המשרד של האומות המאוחדות לתיאום עניינים הומניטריים)</v>
      </c>
      <c r="M552" s="2"/>
      <c r="N552" s="2"/>
      <c r="O552" s="3" t="s">
        <v>26</v>
      </c>
      <c r="P552" s="3" t="s">
        <v>245</v>
      </c>
      <c r="Q552" s="3" t="str">
        <f>VLOOKUP($A552,Hebrew!$A:$S,13,0)</f>
        <v>הגדה המערבית</v>
      </c>
      <c r="R552" s="3" t="s">
        <v>28</v>
      </c>
      <c r="S552" s="3" t="s">
        <v>397</v>
      </c>
      <c r="T552" s="3" t="s">
        <v>3422</v>
      </c>
      <c r="U552" s="3" t="s">
        <v>3423</v>
      </c>
      <c r="V552" s="3" t="s">
        <v>245</v>
      </c>
      <c r="W552" s="2"/>
      <c r="X552" s="2"/>
      <c r="Y552" s="2"/>
    </row>
    <row r="553" spans="1:25" x14ac:dyDescent="0.2">
      <c r="A553" s="3">
        <v>403</v>
      </c>
      <c r="B553" s="4" t="s">
        <v>3424</v>
      </c>
      <c r="C553" s="3" t="s">
        <v>3425</v>
      </c>
      <c r="D553" s="3" t="str">
        <f>VLOOKUP(A553,Hebrew!A:C,3,0)</f>
        <v>אין ספק שנתניהו מונע עסקת חטופים</v>
      </c>
      <c r="E553" s="3" t="s">
        <v>3426</v>
      </c>
      <c r="F553" s="3" t="str">
        <f>VLOOKUP($A553,Hebrew!$A:$S,4,0)</f>
        <v>בראיון בלעדי, דובר לשעבר של משפחות החטופים, חיים רובינשטיין, חושף כי נתניהו מונע עסקה לשחרור החטופים ודן בלחצים ממשרד ראש הממשלה.</v>
      </c>
      <c r="G553" s="3" t="s">
        <v>3088</v>
      </c>
      <c r="H553" s="3" t="s">
        <v>2608</v>
      </c>
      <c r="I553" s="3" t="s">
        <v>2136</v>
      </c>
      <c r="J553" s="3" t="s">
        <v>3427</v>
      </c>
      <c r="K553" s="3" t="s">
        <v>3428</v>
      </c>
      <c r="L553" s="3" t="str">
        <f>VLOOKUP($A553,Hebrew!$A:$S,9,0)</f>
        <v>גידיון אלון</v>
      </c>
      <c r="M553" s="2"/>
      <c r="N553" s="2"/>
      <c r="O553" s="3" t="s">
        <v>39</v>
      </c>
      <c r="P553" s="3" t="s">
        <v>3429</v>
      </c>
      <c r="Q553" s="3" t="str">
        <f>VLOOKUP($A553,Hebrew!$A:$S,13,0)</f>
        <v>ישראל, קטר, רצועת עזה</v>
      </c>
      <c r="R553" s="3" t="s">
        <v>1215</v>
      </c>
      <c r="S553" s="3" t="s">
        <v>397</v>
      </c>
      <c r="T553" s="3" t="s">
        <v>3430</v>
      </c>
      <c r="U553" s="3" t="s">
        <v>3431</v>
      </c>
      <c r="V553" s="3" t="s">
        <v>709</v>
      </c>
      <c r="W553" s="3" t="s">
        <v>1460</v>
      </c>
      <c r="X553" s="2"/>
      <c r="Y553" s="2"/>
    </row>
    <row r="554" spans="1:25" x14ac:dyDescent="0.2">
      <c r="A554" s="3">
        <v>292</v>
      </c>
      <c r="B554" s="4" t="s">
        <v>3432</v>
      </c>
      <c r="C554" s="3" t="s">
        <v>3433</v>
      </c>
      <c r="D554" s="3" t="str">
        <f>VLOOKUP(A554,Hebrew!A:C,3,0)</f>
        <v>עזה: ישראל הפילה מאות פצצות במשקל טון, מראה ניתוח</v>
      </c>
      <c r="E554" s="3" t="s">
        <v>3434</v>
      </c>
      <c r="F554" s="3" t="str">
        <f>VLOOKUP($A554,Hebrew!$A:$S,4,0)</f>
        <v>ישראל הפילה מאות פצצות במשקל טון, שככל הנראה יוצרו בארצות הברית, באזורים צפופים מאוד בעזה במהלך החודש הראשון של הסכסוך, שגרמו למספר גדול של הרוגים ולהרס רב.</v>
      </c>
      <c r="G554" s="3" t="s">
        <v>3149</v>
      </c>
      <c r="H554" s="3" t="s">
        <v>2608</v>
      </c>
      <c r="I554" s="3" t="s">
        <v>3435</v>
      </c>
      <c r="J554" s="3" t="s">
        <v>135</v>
      </c>
      <c r="K554" s="3" t="s">
        <v>3436</v>
      </c>
      <c r="L554" s="3" t="str">
        <f>VLOOKUP($A554,Hebrew!$A:$S,9,0)</f>
        <v>תמרה קיבלאווי, אלגרה גודווין, ג'יאנלוקה מצופiore, נימה אלבגיר</v>
      </c>
      <c r="M554" s="2"/>
      <c r="N554" s="2"/>
      <c r="O554" s="3" t="s">
        <v>26</v>
      </c>
      <c r="P554" s="3" t="s">
        <v>27</v>
      </c>
      <c r="Q554" s="3" t="str">
        <f>VLOOKUP($A554,Hebrew!$A:$S,13,0)</f>
        <v>רצועת עזה</v>
      </c>
      <c r="R554" s="3" t="s">
        <v>1215</v>
      </c>
      <c r="S554" s="3" t="s">
        <v>2314</v>
      </c>
      <c r="T554" s="3" t="s">
        <v>3437</v>
      </c>
      <c r="U554" s="3" t="s">
        <v>2925</v>
      </c>
      <c r="V554" s="3" t="s">
        <v>3438</v>
      </c>
      <c r="W554" s="2"/>
      <c r="X554" s="2"/>
      <c r="Y554" s="2"/>
    </row>
    <row r="555" spans="1:25" x14ac:dyDescent="0.2">
      <c r="A555" s="3">
        <v>1507</v>
      </c>
      <c r="B555" s="4" t="s">
        <v>3439</v>
      </c>
      <c r="C555" s="3" t="s">
        <v>3440</v>
      </c>
      <c r="D555" s="3" t="str">
        <f>VLOOKUP(A555,Hebrew!A:C,3,0)</f>
        <v>ישראל מנסה להוציא את אונר"א מרצועת עזה מבלי למצוא תחליף.</v>
      </c>
      <c r="E555" s="3" t="s">
        <v>3441</v>
      </c>
      <c r="F555" s="3" t="str">
        <f>VLOOKUP($A555,Hebrew!$A:$S,4,0)</f>
        <v>ישראל מגבירה את המאמצים להחליש את נוכחות אונר"א ברצועת עזה, בגדה המערבית ובמזרח ירושלים, במטרה לערער את השלטון האזרחי של חמאס בעזה. בינתיים, מספר מדינות שהפסיקו לממן את אונר"א חידשו את המימון שלהן.</v>
      </c>
      <c r="G555" s="3" t="s">
        <v>2520</v>
      </c>
      <c r="H555" s="2"/>
      <c r="I555" s="2"/>
      <c r="J555" s="3" t="s">
        <v>36</v>
      </c>
      <c r="K555" s="3" t="s">
        <v>3442</v>
      </c>
      <c r="L555" s="3" t="str">
        <f>VLOOKUP($A555,Hebrew!$A:$S,9,0)</f>
        <v>יניב קובוביץ', ג'קי חורי</v>
      </c>
      <c r="M555" s="2"/>
      <c r="N555" s="2"/>
      <c r="O555" s="3" t="s">
        <v>39</v>
      </c>
      <c r="P555" s="3" t="s">
        <v>3443</v>
      </c>
      <c r="Q555" s="3" t="str">
        <f>VLOOKUP($A555,Hebrew!$A:$S,13,0)</f>
        <v>הגדה המערבית, רצטעת עזה, מזרח ירושלים</v>
      </c>
      <c r="R555" s="3" t="s">
        <v>1215</v>
      </c>
      <c r="S555" s="3" t="s">
        <v>397</v>
      </c>
      <c r="T555" s="3" t="s">
        <v>3444</v>
      </c>
      <c r="U555" s="3" t="s">
        <v>3445</v>
      </c>
      <c r="V555" s="3" t="s">
        <v>3446</v>
      </c>
      <c r="W555" s="2"/>
      <c r="X555" s="2"/>
      <c r="Y555" s="2"/>
    </row>
    <row r="556" spans="1:25" x14ac:dyDescent="0.2">
      <c r="A556" s="3">
        <v>748</v>
      </c>
      <c r="B556" s="6" t="s">
        <v>3447</v>
      </c>
      <c r="C556" s="3" t="s">
        <v>3448</v>
      </c>
      <c r="D556" s="3" t="str">
        <f>VLOOKUP(A556,Hebrew!A:C,3,0)</f>
        <v>דרמה בתל השומר: ישראל מורה להחזיר ילדים פלסטינים הסובלים מסרטן לעזה</v>
      </c>
      <c r="E556" s="3" t="s">
        <v>3449</v>
      </c>
      <c r="F556" s="3" t="str">
        <f>VLOOKUP($A556,Hebrew!$A:$S,4,0)</f>
        <v>ישראל הורתה על הוצאת כ-20 ילדים ומבוגרים מעזה, שהם חולי סרטן העוברים טיפולים או בשיקום במוסדות רפואיים בישראל ובירושלים המזרחית, חזרה לעזה. ארגוני זכויות האדם מתנגדים למהלך, ומביעים דאגות חמורות לגבי חוסר היכולת של המטופלים לקבל טיפול רפואי הולם במערכת הבריאות ההרוסה של עזה, כמו גם לגבי בטיחותם של המטופלים ושל המלוים אותם לנוכח העימות הצבאי המתמשך.</v>
      </c>
      <c r="G556" s="3" t="s">
        <v>1955</v>
      </c>
      <c r="H556" s="3" t="s">
        <v>1955</v>
      </c>
      <c r="I556" s="2"/>
      <c r="J556" s="3" t="s">
        <v>258</v>
      </c>
      <c r="K556" s="3" t="s">
        <v>3450</v>
      </c>
      <c r="L556" s="3" t="str">
        <f>VLOOKUP($A556,Hebrew!$A:$S,9,0)</f>
        <v>אדיר ינקו</v>
      </c>
      <c r="M556" s="2"/>
      <c r="N556" s="2"/>
      <c r="O556" s="3" t="s">
        <v>39</v>
      </c>
      <c r="P556" s="3" t="s">
        <v>3451</v>
      </c>
      <c r="Q556" s="3" t="str">
        <f>VLOOKUP($A556,Hebrew!$A:$S,13,0)</f>
        <v>בית החולים תל השומר, בית החולים אוגוסטה ויקטוריה, בית החולים סנט ג'ון</v>
      </c>
      <c r="R556" s="3" t="s">
        <v>1215</v>
      </c>
      <c r="S556" s="3" t="s">
        <v>29</v>
      </c>
      <c r="T556" s="3" t="s">
        <v>3452</v>
      </c>
      <c r="U556" s="3" t="s">
        <v>3453</v>
      </c>
      <c r="V556" s="3" t="s">
        <v>3454</v>
      </c>
      <c r="W556" s="2"/>
      <c r="X556" s="2"/>
      <c r="Y556" s="2"/>
    </row>
    <row r="557" spans="1:25" x14ac:dyDescent="0.2">
      <c r="A557" s="3">
        <v>2043</v>
      </c>
      <c r="B557" s="4" t="s">
        <v>3455</v>
      </c>
      <c r="C557" s="3" t="s">
        <v>3456</v>
      </c>
      <c r="D557" s="3" t="str">
        <f>VLOOKUP(A557,Hebrew!A:C,3,0)</f>
        <v>חמאס אינם לוחמי חירות | מו"ל "הארץ" מבהיר את דבריו, ממשלת נתניהו מאיימת להטיל סנקציות על העיתון</v>
      </c>
      <c r="E557" s="3" t="s">
        <v>3457</v>
      </c>
      <c r="F557" s="3" t="str">
        <f>VLOOKUP($A557,Hebrew!$A:$S,4,0)</f>
        <v>מו"ל "הארץ", עמוס שוקן, מבהיר את דבריו הקודמים על חמאס ועל פעולות ישראל, בעוד שהממשלה של נתניהו מאיימת בסנקציות נגד העיתון. מספר שרים ומשרדי ממשלה מודיעים על צעדים נגד "הארץ".</v>
      </c>
      <c r="G557" s="3" t="s">
        <v>192</v>
      </c>
      <c r="H557" s="3" t="s">
        <v>100</v>
      </c>
      <c r="I557" s="3" t="s">
        <v>100</v>
      </c>
      <c r="J557" s="6" t="s">
        <v>36</v>
      </c>
      <c r="K557" s="3" t="s">
        <v>244</v>
      </c>
      <c r="L557" s="3" t="str">
        <f>VLOOKUP($A557,Hebrew!$A:$S,9,0)</f>
        <v>אידו דוד כהן</v>
      </c>
      <c r="M557" s="2"/>
      <c r="N557" s="2"/>
      <c r="O557" s="3" t="s">
        <v>26</v>
      </c>
      <c r="P557" s="3" t="s">
        <v>60</v>
      </c>
      <c r="Q557" s="3" t="str">
        <f>VLOOKUP($A557,Hebrew!$A:$S,13,0)</f>
        <v>ישראל</v>
      </c>
      <c r="R557" s="3" t="s">
        <v>1215</v>
      </c>
      <c r="S557" s="3" t="s">
        <v>397</v>
      </c>
      <c r="T557" s="3" t="s">
        <v>3458</v>
      </c>
      <c r="U557" s="3" t="s">
        <v>2721</v>
      </c>
      <c r="V557" s="3" t="s">
        <v>60</v>
      </c>
      <c r="W557" s="2"/>
      <c r="X557" s="2"/>
      <c r="Y557" s="2"/>
    </row>
    <row r="558" spans="1:25" x14ac:dyDescent="0.2">
      <c r="A558" s="3">
        <v>1578</v>
      </c>
      <c r="B558" s="4" t="s">
        <v>3459</v>
      </c>
      <c r="C558" s="3" t="s">
        <v>3460</v>
      </c>
      <c r="D558" s="3" t="str">
        <f>VLOOKUP(A558,Hebrew!A:C,3,0)</f>
        <v>ישראל תוקפת את אמנסטי על הממצאים שלה לגבי 'פשעי מלחמה, מכל הצדדים' ומכנה זאת 'אנטישמיות'</v>
      </c>
      <c r="E558" s="3" t="s">
        <v>3461</v>
      </c>
      <c r="F558" s="3" t="str">
        <f>VLOOKUP($A558,Hebrew!$A:$S,4,0)</f>
        <v>ישראל מתחה ביקורת על אמנסטי אינטרנשיונל בטענה שהוא מוטה, לאחר שהארגון הצהיר כי כל הצדדים בסכסוך ביצעו הפרות חמורות של החוק ההומניטרי הבינלאומי וקרא להפסקת אש מיידית מכל הצדדים.</v>
      </c>
      <c r="G558" s="3" t="s">
        <v>3462</v>
      </c>
      <c r="H558" s="2"/>
      <c r="I558" s="2"/>
      <c r="J558" s="3" t="s">
        <v>3463</v>
      </c>
      <c r="K558" s="3" t="s">
        <v>3464</v>
      </c>
      <c r="L558" s="3" t="str">
        <f>VLOOKUP($A558,Hebrew!$A:$S,9,0)</f>
        <v>פול דליסון, פיטר וילקה</v>
      </c>
      <c r="M558" s="2"/>
      <c r="N558" s="2"/>
      <c r="O558" s="3" t="s">
        <v>26</v>
      </c>
      <c r="P558" s="3" t="s">
        <v>2992</v>
      </c>
      <c r="Q558" s="3" t="str">
        <f>VLOOKUP($A558,Hebrew!$A:$S,13,0)</f>
        <v>בינלאומי</v>
      </c>
      <c r="R558" s="3" t="s">
        <v>1215</v>
      </c>
      <c r="S558" s="3" t="s">
        <v>397</v>
      </c>
      <c r="T558" s="3" t="s">
        <v>3465</v>
      </c>
      <c r="U558" s="3" t="s">
        <v>3466</v>
      </c>
      <c r="V558" s="3" t="s">
        <v>27</v>
      </c>
      <c r="W558" s="2"/>
      <c r="X558" s="2"/>
      <c r="Y558" s="2"/>
    </row>
    <row r="559" spans="1:25" x14ac:dyDescent="0.2">
      <c r="A559" s="3">
        <v>135</v>
      </c>
      <c r="B559" s="4" t="s">
        <v>3467</v>
      </c>
      <c r="C559" s="3" t="s">
        <v>3468</v>
      </c>
      <c r="D559" s="3" t="str">
        <f>VLOOKUP(A559,Hebrew!A:C,3,0)</f>
        <v>חצי מהתושבים בעזה בסיכון לרעב, מזהיר האו"ם</v>
      </c>
      <c r="E559" s="3" t="s">
        <v>3469</v>
      </c>
      <c r="F559" s="3" t="str">
        <f>VLOOKUP($A559,Hebrew!$A:$S,4,0)</f>
        <v>האו"ם מזהיר כי חצי מהאוכלוסייה בעזה בסיכון לרעב בשל המשבר ההומניטרי המתמשך שהוחמר על ידי המלחמה. יותר מ-90 אחוז מהפלסטינים ברצועת עזה אומרים שהם רגילים לעבור יום שלם ללא אוכל.</v>
      </c>
      <c r="G559" s="3" t="s">
        <v>2725</v>
      </c>
      <c r="H559" s="2"/>
      <c r="I559" s="2"/>
      <c r="J559" s="3" t="s">
        <v>173</v>
      </c>
      <c r="K559" s="3" t="s">
        <v>3470</v>
      </c>
      <c r="L559" s="3" t="str">
        <f>VLOOKUP($A559,Hebrew!$A:$S,9,0)</f>
        <v>ליאם סטאק, גאיה גופטה, אבו בכר בשיר</v>
      </c>
      <c r="M559" s="2"/>
      <c r="N559" s="6" t="s">
        <v>3471</v>
      </c>
      <c r="O559" s="3" t="s">
        <v>26</v>
      </c>
      <c r="P559" s="3" t="s">
        <v>27</v>
      </c>
      <c r="Q559" s="3" t="str">
        <f>VLOOKUP($A559,Hebrew!$A:$S,13,0)</f>
        <v>רצועת עזה</v>
      </c>
      <c r="R559" s="3" t="s">
        <v>1215</v>
      </c>
      <c r="S559" s="3" t="s">
        <v>397</v>
      </c>
      <c r="T559" s="3" t="s">
        <v>3472</v>
      </c>
      <c r="U559" s="3" t="s">
        <v>3473</v>
      </c>
      <c r="V559" s="3" t="s">
        <v>27</v>
      </c>
      <c r="W559" s="3" t="s">
        <v>3474</v>
      </c>
      <c r="X559" s="2"/>
      <c r="Y559" s="2"/>
    </row>
    <row r="560" spans="1:25" x14ac:dyDescent="0.2">
      <c r="A560" s="3">
        <v>142</v>
      </c>
      <c r="B560" s="4" t="s">
        <v>3475</v>
      </c>
      <c r="C560" s="3" t="s">
        <v>3476</v>
      </c>
      <c r="D560" s="3" t="str">
        <f>VLOOKUP(A560,Hebrew!A:C,3,0)</f>
        <v>בית החולים אל-נאסר הנתון במצור 'אינו מתפקד', אומר מנהל ארגון הבריאות העולמי.</v>
      </c>
      <c r="E560" s="3" t="s">
        <v>3477</v>
      </c>
      <c r="F560" s="3" t="str">
        <f>VLOOKUP($A560,Hebrew!$A:$S,4,0)</f>
        <v>ארגון הבריאות העולמי דיווח כי בית החולים אל-נאסר בחאן יונס - בית החולים הגדול ביותר שנותר פועל ברצועה - אינו מתפקד יותר בעקבות הפעולות הצבאיות של צה"ל. כ-20 מתוך 200 המטופלים שעדיין שוהים שם נאלצו לעבור לבתי חולים אחרים.</v>
      </c>
      <c r="G560" s="3" t="s">
        <v>1291</v>
      </c>
      <c r="H560" s="3" t="s">
        <v>1291</v>
      </c>
      <c r="I560" s="3" t="s">
        <v>1291</v>
      </c>
      <c r="J560" s="3" t="s">
        <v>173</v>
      </c>
      <c r="K560" s="3" t="s">
        <v>3478</v>
      </c>
      <c r="L560" s="3" t="str">
        <f>VLOOKUP($A560,Hebrew!$A:$S,9,0)</f>
        <v>וויווק שנקאר, אפרת ליבני</v>
      </c>
      <c r="M560" s="2"/>
      <c r="N560" s="2"/>
      <c r="O560" s="3" t="s">
        <v>26</v>
      </c>
      <c r="P560" s="3" t="s">
        <v>3201</v>
      </c>
      <c r="Q560" s="3" t="str">
        <f>VLOOKUP($A560,Hebrew!$A:$S,13,0)</f>
        <v>בית החולים נאסר</v>
      </c>
      <c r="R560" s="3" t="s">
        <v>1215</v>
      </c>
      <c r="S560" s="3" t="s">
        <v>397</v>
      </c>
      <c r="T560" s="3" t="s">
        <v>3479</v>
      </c>
      <c r="U560" s="3" t="s">
        <v>3480</v>
      </c>
      <c r="V560" s="3" t="s">
        <v>3201</v>
      </c>
      <c r="W560" s="2"/>
      <c r="X560" s="2"/>
      <c r="Y560" s="2"/>
    </row>
    <row r="561" spans="1:25" x14ac:dyDescent="0.2">
      <c r="A561" s="3">
        <v>148</v>
      </c>
      <c r="B561" s="4" t="s">
        <v>3481</v>
      </c>
      <c r="C561" s="3" t="s">
        <v>3482</v>
      </c>
      <c r="D561" s="3" t="str">
        <f>VLOOKUP(A561,Hebrew!A:C,3,0)</f>
        <v>דיווח על ההשלכות מעימותים ברצועת עזה ובישראל</v>
      </c>
      <c r="E561" s="3" t="s">
        <v>3483</v>
      </c>
      <c r="F561" s="3" t="str">
        <f>VLOOKUP($A561,Hebrew!$A:$S,4,0)</f>
        <v>דיווח על ההשלכות מעימותים ברצועת עזה - יום 160</v>
      </c>
      <c r="G561" s="3" t="s">
        <v>2561</v>
      </c>
      <c r="H561" s="3" t="s">
        <v>2561</v>
      </c>
      <c r="I561" s="3" t="s">
        <v>2561</v>
      </c>
      <c r="J561" s="3" t="s">
        <v>1223</v>
      </c>
      <c r="K561" s="3" t="s">
        <v>1223</v>
      </c>
      <c r="L561" s="3" t="str">
        <f>VLOOKUP($A561,Hebrew!$A:$S,9,0)</f>
        <v>OCHA (המשרד של האומות המאוחדות לתיאום עניינים הומניטריים)</v>
      </c>
      <c r="M561" s="2"/>
      <c r="N561" s="2"/>
      <c r="O561" s="3" t="s">
        <v>26</v>
      </c>
      <c r="P561" s="3" t="s">
        <v>709</v>
      </c>
      <c r="Q561" s="3" t="str">
        <f>VLOOKUP($A561,Hebrew!$A:$S,13,0)</f>
        <v>רצועת עזה, ישראל</v>
      </c>
      <c r="R561" s="3" t="s">
        <v>28</v>
      </c>
      <c r="S561" s="3" t="s">
        <v>29</v>
      </c>
      <c r="T561" s="3" t="s">
        <v>3484</v>
      </c>
      <c r="U561" s="3" t="s">
        <v>3485</v>
      </c>
      <c r="V561" s="3" t="s">
        <v>27</v>
      </c>
      <c r="W561" s="2"/>
      <c r="X561" s="2"/>
      <c r="Y561" s="2"/>
    </row>
    <row r="562" spans="1:25" x14ac:dyDescent="0.2">
      <c r="A562" s="3">
        <v>147</v>
      </c>
      <c r="B562" s="4" t="s">
        <v>3486</v>
      </c>
      <c r="C562" s="3" t="s">
        <v>3482</v>
      </c>
      <c r="D562" s="3" t="str">
        <f>VLOOKUP(A562,Hebrew!A:C,3,0)</f>
        <v>דיווח על ההשלכות מעימותים ברצועת עזה ובישראל</v>
      </c>
      <c r="E562" s="3" t="s">
        <v>3487</v>
      </c>
      <c r="F562" s="3" t="str">
        <f>VLOOKUP($A562,Hebrew!$A:$S,4,0)</f>
        <v>דיווח על ההשלכות מעימותים ברצועת עזה - יום 125</v>
      </c>
      <c r="G562" s="3" t="s">
        <v>1145</v>
      </c>
      <c r="H562" s="3" t="s">
        <v>1145</v>
      </c>
      <c r="I562" s="3" t="s">
        <v>1145</v>
      </c>
      <c r="J562" s="3" t="s">
        <v>1223</v>
      </c>
      <c r="K562" s="3" t="s">
        <v>1223</v>
      </c>
      <c r="L562" s="3" t="str">
        <f>VLOOKUP($A562,Hebrew!$A:$S,9,0)</f>
        <v>OCHA (משרד האו"ם לתיאום עניינים הומניטריים)</v>
      </c>
      <c r="M562" s="2"/>
      <c r="N562" s="2"/>
      <c r="O562" s="3" t="s">
        <v>26</v>
      </c>
      <c r="P562" s="3" t="s">
        <v>709</v>
      </c>
      <c r="Q562" s="3" t="str">
        <f>VLOOKUP($A562,Hebrew!$A:$S,13,0)</f>
        <v>רצועת עזה, ישראל</v>
      </c>
      <c r="R562" s="3" t="s">
        <v>28</v>
      </c>
      <c r="S562" s="3" t="s">
        <v>29</v>
      </c>
      <c r="T562" s="3" t="s">
        <v>3484</v>
      </c>
      <c r="U562" s="3" t="s">
        <v>3485</v>
      </c>
      <c r="V562" s="3" t="s">
        <v>27</v>
      </c>
      <c r="W562" s="2"/>
      <c r="X562" s="2"/>
      <c r="Y562" s="2"/>
    </row>
    <row r="563" spans="1:25" x14ac:dyDescent="0.2">
      <c r="A563" s="3">
        <v>150</v>
      </c>
      <c r="B563" s="4" t="s">
        <v>3488</v>
      </c>
      <c r="C563" s="3" t="s">
        <v>3489</v>
      </c>
      <c r="D563" s="3" t="str">
        <f>VLOOKUP(A563,Hebrew!A:C,3,0)</f>
        <v>דיווח על ההשלכות מעימותים ברצועת עזה ובישראל - יום 175</v>
      </c>
      <c r="E563" s="3" t="s">
        <v>3490</v>
      </c>
      <c r="F563" s="3" t="str">
        <f>VLOOKUP($A563,Hebrew!$A:$S,4,0)</f>
        <v>דיווח על ההשלכות מעימותים ברצועת עזה - יום 175</v>
      </c>
      <c r="G563" s="3" t="s">
        <v>3491</v>
      </c>
      <c r="H563" s="3" t="s">
        <v>3491</v>
      </c>
      <c r="I563" s="3" t="s">
        <v>3491</v>
      </c>
      <c r="J563" s="3" t="s">
        <v>1223</v>
      </c>
      <c r="K563" s="3" t="s">
        <v>1223</v>
      </c>
      <c r="L563" s="3" t="str">
        <f>VLOOKUP($A563,Hebrew!$A:$S,9,0)</f>
        <v>OCHA (משרד האו"ם לתיאום עניינים הומניטריים)</v>
      </c>
      <c r="M563" s="2"/>
      <c r="N563" s="2"/>
      <c r="O563" s="3" t="s">
        <v>26</v>
      </c>
      <c r="P563" s="3" t="s">
        <v>709</v>
      </c>
      <c r="Q563" s="3" t="str">
        <f>VLOOKUP($A563,Hebrew!$A:$S,13,0)</f>
        <v>רצועת עזה, ישראל</v>
      </c>
      <c r="R563" s="3" t="s">
        <v>28</v>
      </c>
      <c r="S563" s="3" t="s">
        <v>29</v>
      </c>
      <c r="T563" s="3" t="s">
        <v>3484</v>
      </c>
      <c r="U563" s="3" t="s">
        <v>3485</v>
      </c>
      <c r="V563" s="3" t="s">
        <v>27</v>
      </c>
      <c r="W563" s="2"/>
      <c r="X563" s="2"/>
      <c r="Y563" s="2"/>
    </row>
    <row r="564" spans="1:25" x14ac:dyDescent="0.2">
      <c r="A564" s="3">
        <v>325</v>
      </c>
      <c r="B564" s="4" t="s">
        <v>3492</v>
      </c>
      <c r="C564" s="3" t="s">
        <v>3493</v>
      </c>
      <c r="D564" s="3" t="str">
        <f>VLOOKUP(A564,Hebrew!A:C,3,0)</f>
        <v>מתנחלים ישראלים עזבו את עזה ב-2005. עכשיו הם רואים הזדמנות לחזור.</v>
      </c>
      <c r="E564" s="3" t="s">
        <v>3494</v>
      </c>
      <c r="F564" s="3" t="str">
        <f>VLOOKUP($A564,Hebrew!$A:$S,4,0)</f>
        <v>מתנחלים ישראלים משתוקקים לשוב ולהתיישב בעזה ומנסים לגייס תמיכה להתיישבות יהודית שם. הנושא מדגיש את העובדה שישראל לא החליטה כיצד לנהל את עזה לאחר המלחמה.</v>
      </c>
      <c r="G564" s="3" t="s">
        <v>1145</v>
      </c>
      <c r="H564" s="2"/>
      <c r="I564" s="2"/>
      <c r="J564" s="3" t="s">
        <v>173</v>
      </c>
      <c r="K564" s="3" t="s">
        <v>3495</v>
      </c>
      <c r="L564" s="3" t="str">
        <f>VLOOKUP($A564,Hebrew!$A:$S,9,0)</f>
        <v>נתן אודנהיימר</v>
      </c>
      <c r="M564" s="2"/>
      <c r="N564" s="2"/>
      <c r="O564" s="3" t="s">
        <v>26</v>
      </c>
      <c r="P564" s="3" t="s">
        <v>27</v>
      </c>
      <c r="Q564" s="3" t="str">
        <f>VLOOKUP($A564,Hebrew!$A:$S,13,0)</f>
        <v>רצועת עזה</v>
      </c>
      <c r="R564" s="3" t="s">
        <v>1215</v>
      </c>
      <c r="S564" s="3" t="s">
        <v>397</v>
      </c>
      <c r="T564" s="3" t="s">
        <v>3496</v>
      </c>
      <c r="U564" s="3" t="s">
        <v>253</v>
      </c>
      <c r="V564" s="3" t="s">
        <v>27</v>
      </c>
      <c r="W564" s="2"/>
      <c r="X564" s="2"/>
      <c r="Y564" s="2"/>
    </row>
    <row r="565" spans="1:25" x14ac:dyDescent="0.2">
      <c r="A565" s="3">
        <v>388</v>
      </c>
      <c r="B565" s="4" t="s">
        <v>3497</v>
      </c>
      <c r="C565" s="3" t="s">
        <v>3498</v>
      </c>
      <c r="D565" s="3" t="str">
        <f>VLOOKUP(A565,Hebrew!A:C,3,0)</f>
        <v>מה אפשר לדעת על שני החטופים שישראל חילצה מרפיח</v>
      </c>
      <c r="E565" s="3" t="s">
        <v>3499</v>
      </c>
      <c r="F565" s="3" t="str">
        <f>VLOOKUP($A565,Hebrew!$A:$S,4,0)</f>
        <v>דו"ח על חילוץ שני החטופים, פרננדו סימון מרמן ולואיס הר, על ידי כוחות הביטחון הישראלים ברפיח. הדו"ח מדגיש את מצבם ואת ההקשר של החילוץ, ומציין בקצרה כי "עשרות פלסטינים" נהרגו.</v>
      </c>
      <c r="G565" s="3" t="s">
        <v>1267</v>
      </c>
      <c r="H565" s="3" t="s">
        <v>1267</v>
      </c>
      <c r="I565" s="3" t="s">
        <v>1267</v>
      </c>
      <c r="J565" s="3" t="s">
        <v>173</v>
      </c>
      <c r="K565" s="3" t="s">
        <v>3500</v>
      </c>
      <c r="L565" s="3" t="str">
        <f>VLOOKUP($A565,Hebrew!$A:$S,9,0)</f>
        <v>מייק אייבס, מתיו אמפוקי ביג</v>
      </c>
      <c r="M565" s="2"/>
      <c r="N565" s="2"/>
      <c r="O565" s="3" t="s">
        <v>26</v>
      </c>
      <c r="P565" s="3" t="s">
        <v>709</v>
      </c>
      <c r="Q565" s="3" t="str">
        <f>VLOOKUP($A565,Hebrew!$A:$S,13,0)</f>
        <v>רצועת עזה, ישראל</v>
      </c>
      <c r="R565" s="3" t="s">
        <v>1215</v>
      </c>
      <c r="S565" s="3" t="s">
        <v>397</v>
      </c>
      <c r="T565" s="3" t="s">
        <v>3501</v>
      </c>
      <c r="U565" s="3" t="s">
        <v>43</v>
      </c>
      <c r="V565" s="3" t="s">
        <v>3251</v>
      </c>
      <c r="W565" s="2"/>
      <c r="X565" s="2"/>
      <c r="Y565" s="2"/>
    </row>
    <row r="566" spans="1:25" x14ac:dyDescent="0.2">
      <c r="A566" s="3">
        <v>712</v>
      </c>
      <c r="B566" s="4" t="s">
        <v>3502</v>
      </c>
      <c r="C566" s="3" t="s">
        <v>3503</v>
      </c>
      <c r="D566" s="3" t="str">
        <f>VLOOKUP(A566,Hebrew!A:C,3,0)</f>
        <v>פקיד אמריקאי האשים את ישראל בהטרדה מינית של נשים פלסטיניות.</v>
      </c>
      <c r="E566" s="3" t="s">
        <v>3504</v>
      </c>
      <c r="F566" s="3" t="str">
        <f>VLOOKUP($A566,Hebrew!$A:$S,4,0)</f>
        <v>לדברי גנרל ישראלי לשעבר פקיד במשרד החוץ האמריקאי האשים את ישראל בהטרדה מינית של נשים פלסטיניות "באופן שיטתי".</v>
      </c>
      <c r="G566" s="3" t="s">
        <v>2370</v>
      </c>
      <c r="H566" s="2"/>
      <c r="I566" s="2"/>
      <c r="J566" s="3" t="s">
        <v>3247</v>
      </c>
      <c r="K566" s="3" t="s">
        <v>3505</v>
      </c>
      <c r="L566" s="3" t="str">
        <f>VLOOKUP($A566,Hebrew!$A:$S,9,0)</f>
        <v>אמיר אביבי, רדיו 103 FM</v>
      </c>
      <c r="M566" s="2"/>
      <c r="N566" s="2"/>
      <c r="O566" s="3" t="s">
        <v>26</v>
      </c>
      <c r="P566" s="3" t="s">
        <v>3506</v>
      </c>
      <c r="Q566" s="3" t="str">
        <f>VLOOKUP($A566,Hebrew!$A:$S,13,0)</f>
        <v>רצועת עזה, וושינגטון</v>
      </c>
      <c r="R566" s="3" t="s">
        <v>1225</v>
      </c>
      <c r="S566" s="3" t="s">
        <v>397</v>
      </c>
      <c r="T566" s="3" t="s">
        <v>3507</v>
      </c>
      <c r="U566" s="3" t="s">
        <v>2693</v>
      </c>
      <c r="V566" s="3" t="s">
        <v>27</v>
      </c>
      <c r="W566" s="2"/>
      <c r="X566" s="2"/>
      <c r="Y566" s="2"/>
    </row>
    <row r="567" spans="1:25" x14ac:dyDescent="0.2">
      <c r="A567" s="3">
        <v>730</v>
      </c>
      <c r="B567" s="4" t="s">
        <v>3508</v>
      </c>
      <c r="C567" s="3" t="s">
        <v>3509</v>
      </c>
      <c r="D567" s="3" t="str">
        <f>VLOOKUP(A567,Hebrew!A:C,3,0)</f>
        <v>בתוך הבסיס שבו ישראל כלאו אלפי תושבי עזה</v>
      </c>
      <c r="E567" s="3" t="s">
        <v>3510</v>
      </c>
      <c r="F567" s="3" t="str">
        <f>VLOOKUP($A567,Hebrew!$A:$S,4,0)</f>
        <v>דו"ח המבוסס על שיחות עם מפקדי צה"ל, חיילים ועצירים פלסטינים ששוחררו, על התנאים והטיפול בעצירים במחנה המעצר הזמני בבסיס צה"ל שדה תימן בישראל מאז התקפות 7 באוקטובר.</v>
      </c>
      <c r="G567" s="3" t="s">
        <v>2706</v>
      </c>
      <c r="H567" s="3" t="s">
        <v>2608</v>
      </c>
      <c r="I567" s="2"/>
      <c r="J567" s="3" t="s">
        <v>173</v>
      </c>
      <c r="K567" s="3" t="s">
        <v>3511</v>
      </c>
      <c r="L567" s="3" t="str">
        <f>VLOOKUP($A567,Hebrew!$A:$S,9,0)</f>
        <v>פטריק קינגסלי, בילאל שבייר</v>
      </c>
      <c r="M567" s="2"/>
      <c r="N567" s="2"/>
      <c r="O567" s="3" t="s">
        <v>26</v>
      </c>
      <c r="P567" s="3" t="s">
        <v>1459</v>
      </c>
      <c r="Q567" s="3" t="str">
        <f>VLOOKUP($A567,Hebrew!$A:$S,13,0)</f>
        <v>ישראל, רצועת עזה</v>
      </c>
      <c r="R567" s="3" t="s">
        <v>1215</v>
      </c>
      <c r="S567" s="3" t="s">
        <v>397</v>
      </c>
      <c r="T567" s="3" t="s">
        <v>3512</v>
      </c>
      <c r="U567" s="3" t="s">
        <v>3513</v>
      </c>
      <c r="V567" s="3" t="s">
        <v>3514</v>
      </c>
      <c r="W567" s="2"/>
      <c r="X567" s="2"/>
      <c r="Y567" s="2"/>
    </row>
    <row r="568" spans="1:25" x14ac:dyDescent="0.2">
      <c r="A568" s="3">
        <v>234</v>
      </c>
      <c r="B568" s="4" t="s">
        <v>3515</v>
      </c>
      <c r="C568" s="3" t="s">
        <v>3516</v>
      </c>
      <c r="D568" s="3" t="str">
        <f>VLOOKUP(A568,Hebrew!A:C,3,0)</f>
        <v>סגן מנהל רשות העתיקות בישראל בודק עתיקות בעזה</v>
      </c>
      <c r="E568" s="3" t="s">
        <v>3517</v>
      </c>
      <c r="F568" s="3" t="str">
        <f>VLOOKUP($A568,Hebrew!$A:$S,4,0)</f>
        <v>סגן מנהל רשות העתיקות בישראל נשלח לבדוק ממצאים ארכיאולוגיים שנמצאו במחסן בעזה. הסרטון שהוא העלה כולל מדבקת "וואו!" על רקע אמפורות עתיקות וממצאים נוספים.</v>
      </c>
      <c r="G568" s="3" t="s">
        <v>3518</v>
      </c>
      <c r="H568" s="2"/>
      <c r="I568" s="2"/>
      <c r="J568" s="3" t="s">
        <v>393</v>
      </c>
      <c r="K568" s="3" t="s">
        <v>3519</v>
      </c>
      <c r="L568" s="3" t="str">
        <f>VLOOKUP($A568,Hebrew!$A:$S,9,0)</f>
        <v>עמק שווה (@EmekShavehHeb)</v>
      </c>
      <c r="M568" s="2"/>
      <c r="N568" s="2"/>
      <c r="O568" s="3" t="s">
        <v>39</v>
      </c>
      <c r="P568" s="3" t="s">
        <v>60</v>
      </c>
      <c r="Q568" s="3" t="str">
        <f>VLOOKUP($A568,Hebrew!$A:$S,13,0)</f>
        <v>רצועת עזה</v>
      </c>
      <c r="R568" s="3" t="s">
        <v>396</v>
      </c>
      <c r="S568" s="3" t="s">
        <v>413</v>
      </c>
      <c r="T568" s="3" t="s">
        <v>3520</v>
      </c>
      <c r="U568" s="3" t="s">
        <v>3521</v>
      </c>
      <c r="V568" s="3" t="s">
        <v>27</v>
      </c>
      <c r="W568" s="2"/>
      <c r="X568" s="2"/>
      <c r="Y568" s="2"/>
    </row>
    <row r="569" spans="1:25" x14ac:dyDescent="0.2">
      <c r="A569" s="3">
        <v>236</v>
      </c>
      <c r="B569" s="4" t="s">
        <v>3522</v>
      </c>
      <c r="C569" s="3" t="s">
        <v>3523</v>
      </c>
      <c r="D569" s="3" t="str">
        <f>VLOOKUP(A569,Hebrew!A:C,3,0)</f>
        <v>חיילים ישראלים קוראים את מגילת אסתר בבית החולים שיפא בעזה</v>
      </c>
      <c r="E569" s="3" t="s">
        <v>3524</v>
      </c>
      <c r="F569" s="3" t="str">
        <f>VLOOKUP($A569,Hebrew!$A:$S,4,0)</f>
        <v>קבוצת חיילים ישראלים מתפללים וקוראים בספר אסתר בתוך בית החולים שיפא במהלך הפשיטה השנייה על בית החולים.</v>
      </c>
      <c r="G569" s="3" t="s">
        <v>2370</v>
      </c>
      <c r="H569" s="2"/>
      <c r="I569" s="2"/>
      <c r="J569" s="3" t="s">
        <v>393</v>
      </c>
      <c r="K569" s="3" t="s">
        <v>411</v>
      </c>
      <c r="L569" s="3" t="str">
        <f>VLOOKUP($A569,Hebrew!$A:$S,9,0)</f>
        <v>Khaled Yousry (@KhaledYousry22)</v>
      </c>
      <c r="M569" s="2"/>
      <c r="N569" s="2"/>
      <c r="O569" s="3" t="s">
        <v>26</v>
      </c>
      <c r="P569" s="3" t="s">
        <v>2926</v>
      </c>
      <c r="Q569" s="3" t="str">
        <f>VLOOKUP($A569,Hebrew!$A:$S,13,0)</f>
        <v>בית החולים א-שיפא</v>
      </c>
      <c r="R569" s="3" t="s">
        <v>396</v>
      </c>
      <c r="S569" s="3" t="s">
        <v>413</v>
      </c>
      <c r="T569" s="3" t="s">
        <v>3525</v>
      </c>
      <c r="U569" s="3" t="s">
        <v>43</v>
      </c>
      <c r="V569" s="3" t="s">
        <v>3526</v>
      </c>
      <c r="W569" s="2"/>
      <c r="X569" s="2"/>
      <c r="Y569" s="2"/>
    </row>
    <row r="570" spans="1:25" x14ac:dyDescent="0.2">
      <c r="A570" s="3">
        <v>242</v>
      </c>
      <c r="B570" s="4" t="s">
        <v>3527</v>
      </c>
      <c r="C570" s="3" t="s">
        <v>3528</v>
      </c>
      <c r="D570" s="3" t="str">
        <f>VLOOKUP(A570,Hebrew!A:C,3,0)</f>
        <v>תחקיר NBC: תקיפות אוויריות קטלניות ב'אזורי ביטחון' בעזה.</v>
      </c>
      <c r="E570" s="3" t="s">
        <v>3529</v>
      </c>
      <c r="F570" s="3" t="str">
        <f>VLOOKUP($A570,Hebrew!$A:$S,4,0)</f>
        <v>תחקיר חדשות NBC גילה כי לפחות שבע תקיפות קטלניות של ישראל כווונו לאזורים בדרום עזה אשר צה"ל הישראלי קבע כאזורי פינוי בטוחים. התקיפות כווונו לאזורים במוואסי, במחנה הפליטים תל אל-סולטאן, בשכונת אל-זוהור ובמחנה אל-שבורה.</v>
      </c>
      <c r="G570" s="3" t="s">
        <v>483</v>
      </c>
      <c r="H570" s="3" t="s">
        <v>1037</v>
      </c>
      <c r="I570" s="3" t="s">
        <v>3046</v>
      </c>
      <c r="J570" s="3" t="s">
        <v>393</v>
      </c>
      <c r="K570" s="3" t="s">
        <v>3530</v>
      </c>
      <c r="L570" s="3" t="str">
        <f>VLOOKUP($A570,Hebrew!$A:$S,9,0)</f>
        <v>Hala Gorani (@HalaGorani)</v>
      </c>
      <c r="M570" s="3" t="s">
        <v>3531</v>
      </c>
      <c r="N570" s="2"/>
      <c r="O570" s="3" t="s">
        <v>412</v>
      </c>
      <c r="P570" s="3" t="s">
        <v>989</v>
      </c>
      <c r="Q570" s="3" t="str">
        <f>VLOOKUP($A570,Hebrew!$A:$S,13,0)</f>
        <v>רצועת עזה</v>
      </c>
      <c r="R570" s="3" t="s">
        <v>396</v>
      </c>
      <c r="S570" s="3" t="s">
        <v>413</v>
      </c>
      <c r="T570" s="3" t="s">
        <v>3532</v>
      </c>
      <c r="U570" s="3" t="s">
        <v>3533</v>
      </c>
      <c r="V570" s="3" t="s">
        <v>3534</v>
      </c>
      <c r="W570" s="2"/>
      <c r="X570" s="2"/>
      <c r="Y570" s="2"/>
    </row>
    <row r="571" spans="1:25" hidden="1" x14ac:dyDescent="0.2">
      <c r="A571" s="3">
        <v>243</v>
      </c>
      <c r="B571" s="4" t="s">
        <v>3535</v>
      </c>
      <c r="C571" s="3" t="s">
        <v>3536</v>
      </c>
      <c r="D571" s="3" t="e">
        <f>VLOOKUP(A571,Hebrew!A:C,3,0)</f>
        <v>#N/A</v>
      </c>
      <c r="E571" s="3" t="s">
        <v>3537</v>
      </c>
      <c r="F571" s="3" t="e">
        <f>VLOOKUP($A571,Hebrew!$A:$S,4,0)</f>
        <v>#N/A</v>
      </c>
      <c r="G571" s="3" t="s">
        <v>3538</v>
      </c>
      <c r="H571" s="3" t="s">
        <v>67</v>
      </c>
      <c r="I571" s="3" t="s">
        <v>3539</v>
      </c>
      <c r="J571" s="3" t="s">
        <v>393</v>
      </c>
      <c r="K571" s="3" t="s">
        <v>3540</v>
      </c>
      <c r="L571" s="3" t="e">
        <f>VLOOKUP($A571,Hebrew!$A:$S,9,0)</f>
        <v>#N/A</v>
      </c>
      <c r="M571" s="2"/>
      <c r="N571" s="6" t="s">
        <v>3541</v>
      </c>
      <c r="O571" s="3" t="s">
        <v>26</v>
      </c>
      <c r="P571" s="3" t="s">
        <v>989</v>
      </c>
      <c r="Q571" s="3" t="e">
        <f>VLOOKUP($A571,Hebrew!$A:$S,13,0)</f>
        <v>#N/A</v>
      </c>
      <c r="R571" s="3" t="s">
        <v>396</v>
      </c>
      <c r="S571" s="3" t="s">
        <v>413</v>
      </c>
      <c r="T571" s="3" t="s">
        <v>3542</v>
      </c>
      <c r="U571" s="3" t="s">
        <v>3543</v>
      </c>
      <c r="V571" s="3" t="s">
        <v>27</v>
      </c>
      <c r="W571" s="2"/>
      <c r="X571" s="2"/>
      <c r="Y571" s="2"/>
    </row>
    <row r="572" spans="1:25" hidden="1" x14ac:dyDescent="0.2">
      <c r="A572" s="3">
        <v>244</v>
      </c>
      <c r="B572" s="4" t="s">
        <v>3544</v>
      </c>
      <c r="C572" s="3" t="s">
        <v>3545</v>
      </c>
      <c r="D572" s="3" t="e">
        <f>VLOOKUP(A572,Hebrew!A:C,3,0)</f>
        <v>#N/A</v>
      </c>
      <c r="E572" s="3" t="s">
        <v>3546</v>
      </c>
      <c r="F572" s="3" t="e">
        <f>VLOOKUP($A572,Hebrew!$A:$S,4,0)</f>
        <v>#N/A</v>
      </c>
      <c r="G572" s="3" t="s">
        <v>506</v>
      </c>
      <c r="H572" s="3" t="s">
        <v>506</v>
      </c>
      <c r="I572" s="3" t="s">
        <v>506</v>
      </c>
      <c r="J572" s="3" t="s">
        <v>393</v>
      </c>
      <c r="K572" s="3" t="s">
        <v>3547</v>
      </c>
      <c r="L572" s="3" t="e">
        <f>VLOOKUP($A572,Hebrew!$A:$S,9,0)</f>
        <v>#N/A</v>
      </c>
      <c r="M572" s="2"/>
      <c r="N572" s="6" t="s">
        <v>3548</v>
      </c>
      <c r="O572" s="3" t="s">
        <v>26</v>
      </c>
      <c r="P572" s="3" t="s">
        <v>3549</v>
      </c>
      <c r="Q572" s="3" t="e">
        <f>VLOOKUP($A572,Hebrew!$A:$S,13,0)</f>
        <v>#N/A</v>
      </c>
      <c r="R572" s="3" t="s">
        <v>396</v>
      </c>
      <c r="S572" s="3" t="s">
        <v>413</v>
      </c>
      <c r="T572" s="3" t="s">
        <v>3550</v>
      </c>
      <c r="U572" s="3" t="s">
        <v>43</v>
      </c>
      <c r="V572" s="3" t="s">
        <v>27</v>
      </c>
      <c r="W572" s="2"/>
      <c r="X572" s="2"/>
      <c r="Y572" s="2"/>
    </row>
    <row r="573" spans="1:25" hidden="1" x14ac:dyDescent="0.2">
      <c r="A573" s="3">
        <v>1928</v>
      </c>
      <c r="B573" s="4" t="s">
        <v>3551</v>
      </c>
      <c r="C573" s="3" t="s">
        <v>3552</v>
      </c>
      <c r="D573" s="3" t="e">
        <f>VLOOKUP(A573,Hebrew!A:C,3,0)</f>
        <v>#N/A</v>
      </c>
      <c r="E573" s="3" t="s">
        <v>3553</v>
      </c>
      <c r="F573" s="3" t="e">
        <f>VLOOKUP($A573,Hebrew!$A:$S,4,0)</f>
        <v>#N/A</v>
      </c>
      <c r="G573" s="3" t="s">
        <v>683</v>
      </c>
      <c r="H573" s="3" t="s">
        <v>483</v>
      </c>
      <c r="I573" s="3" t="s">
        <v>483</v>
      </c>
      <c r="J573" s="3" t="s">
        <v>3554</v>
      </c>
      <c r="K573" s="3" t="s">
        <v>3555</v>
      </c>
      <c r="L573" s="3" t="e">
        <f>VLOOKUP($A573,Hebrew!$A:$S,9,0)</f>
        <v>#N/A</v>
      </c>
      <c r="M573" s="2"/>
      <c r="N573" s="2"/>
      <c r="O573" s="3" t="s">
        <v>26</v>
      </c>
      <c r="P573" s="3" t="s">
        <v>3556</v>
      </c>
      <c r="Q573" s="3" t="e">
        <f>VLOOKUP($A573,Hebrew!$A:$S,13,0)</f>
        <v>#N/A</v>
      </c>
      <c r="R573" s="3" t="s">
        <v>1215</v>
      </c>
      <c r="S573" s="3" t="s">
        <v>29</v>
      </c>
      <c r="T573" s="3" t="s">
        <v>3557</v>
      </c>
      <c r="U573" s="3" t="s">
        <v>95</v>
      </c>
      <c r="V573" s="2"/>
      <c r="W573" s="2"/>
      <c r="X573" s="2"/>
      <c r="Y573" s="2"/>
    </row>
    <row r="574" spans="1:25" hidden="1" x14ac:dyDescent="0.2">
      <c r="A574" s="3">
        <v>2197</v>
      </c>
      <c r="B574" s="4" t="s">
        <v>3558</v>
      </c>
      <c r="C574" s="3" t="s">
        <v>3559</v>
      </c>
      <c r="D574" s="3" t="e">
        <f>VLOOKUP(A574,Hebrew!A:C,3,0)</f>
        <v>#N/A</v>
      </c>
      <c r="E574" s="3" t="s">
        <v>3560</v>
      </c>
      <c r="F574" s="3" t="e">
        <f>VLOOKUP($A574,Hebrew!$A:$S,4,0)</f>
        <v>#N/A</v>
      </c>
      <c r="G574" s="3" t="s">
        <v>199</v>
      </c>
      <c r="H574" s="3" t="s">
        <v>199</v>
      </c>
      <c r="I574" s="3" t="s">
        <v>199</v>
      </c>
      <c r="J574" s="3" t="s">
        <v>393</v>
      </c>
      <c r="K574" s="3" t="s">
        <v>1315</v>
      </c>
      <c r="L574" s="3" t="e">
        <f>VLOOKUP($A574,Hebrew!$A:$S,9,0)</f>
        <v>#N/A</v>
      </c>
      <c r="M574" s="2"/>
      <c r="N574" s="2"/>
      <c r="O574" s="3" t="s">
        <v>26</v>
      </c>
      <c r="P574" s="3" t="s">
        <v>51</v>
      </c>
      <c r="Q574" s="3" t="e">
        <f>VLOOKUP($A574,Hebrew!$A:$S,13,0)</f>
        <v>#N/A</v>
      </c>
      <c r="R574" s="3" t="s">
        <v>396</v>
      </c>
      <c r="S574" s="3" t="s">
        <v>29</v>
      </c>
      <c r="T574" s="3" t="s">
        <v>3561</v>
      </c>
      <c r="U574" s="3" t="s">
        <v>3562</v>
      </c>
      <c r="V574" s="3" t="s">
        <v>3563</v>
      </c>
      <c r="W574" s="2"/>
      <c r="X574" s="2"/>
      <c r="Y574" s="2"/>
    </row>
    <row r="575" spans="1:25" hidden="1" x14ac:dyDescent="0.2">
      <c r="A575" s="3">
        <v>264</v>
      </c>
      <c r="B575" s="4" t="s">
        <v>3564</v>
      </c>
      <c r="C575" s="3" t="s">
        <v>3565</v>
      </c>
      <c r="D575" s="3" t="e">
        <f>VLOOKUP(A575,Hebrew!A:C,3,0)</f>
        <v>#N/A</v>
      </c>
      <c r="E575" s="3" t="s">
        <v>3566</v>
      </c>
      <c r="F575" s="3" t="e">
        <f>VLOOKUP($A575,Hebrew!$A:$S,4,0)</f>
        <v>#N/A</v>
      </c>
      <c r="G575" s="3" t="s">
        <v>3567</v>
      </c>
      <c r="H575" s="2"/>
      <c r="I575" s="2"/>
      <c r="J575" s="3" t="s">
        <v>393</v>
      </c>
      <c r="K575" s="3" t="s">
        <v>3568</v>
      </c>
      <c r="L575" s="3" t="e">
        <f>VLOOKUP($A575,Hebrew!$A:$S,9,0)</f>
        <v>#N/A</v>
      </c>
      <c r="M575" s="3" t="s">
        <v>36</v>
      </c>
      <c r="N575" s="6" t="s">
        <v>3569</v>
      </c>
      <c r="O575" s="3" t="s">
        <v>39</v>
      </c>
      <c r="P575" s="3" t="s">
        <v>60</v>
      </c>
      <c r="Q575" s="3" t="e">
        <f>VLOOKUP($A575,Hebrew!$A:$S,13,0)</f>
        <v>#N/A</v>
      </c>
      <c r="R575" s="3" t="s">
        <v>396</v>
      </c>
      <c r="S575" s="3" t="s">
        <v>397</v>
      </c>
      <c r="T575" s="3" t="s">
        <v>3570</v>
      </c>
      <c r="U575" s="3" t="s">
        <v>253</v>
      </c>
      <c r="V575" s="3" t="s">
        <v>3571</v>
      </c>
      <c r="W575" s="3" t="s">
        <v>3572</v>
      </c>
      <c r="X575" s="2"/>
      <c r="Y575" s="2"/>
    </row>
    <row r="576" spans="1:25" hidden="1" x14ac:dyDescent="0.2">
      <c r="A576" s="3">
        <v>272</v>
      </c>
      <c r="B576" s="4" t="s">
        <v>3573</v>
      </c>
      <c r="C576" s="3" t="s">
        <v>3574</v>
      </c>
      <c r="D576" s="3" t="e">
        <f>VLOOKUP(A576,Hebrew!A:C,3,0)</f>
        <v>#N/A</v>
      </c>
      <c r="E576" s="3" t="s">
        <v>3575</v>
      </c>
      <c r="F576" s="3" t="e">
        <f>VLOOKUP($A576,Hebrew!$A:$S,4,0)</f>
        <v>#N/A</v>
      </c>
      <c r="G576" s="3" t="s">
        <v>552</v>
      </c>
      <c r="H576" s="2"/>
      <c r="I576" s="2"/>
      <c r="J576" s="3" t="s">
        <v>393</v>
      </c>
      <c r="K576" s="3" t="s">
        <v>453</v>
      </c>
      <c r="L576" s="3" t="e">
        <f>VLOOKUP($A576,Hebrew!$A:$S,9,0)</f>
        <v>#N/A</v>
      </c>
      <c r="M576" s="2"/>
      <c r="N576" s="2"/>
      <c r="O576" s="3" t="s">
        <v>26</v>
      </c>
      <c r="P576" s="3" t="s">
        <v>27</v>
      </c>
      <c r="Q576" s="3" t="e">
        <f>VLOOKUP($A576,Hebrew!$A:$S,13,0)</f>
        <v>#N/A</v>
      </c>
      <c r="R576" s="3" t="s">
        <v>396</v>
      </c>
      <c r="S576" s="3" t="s">
        <v>397</v>
      </c>
      <c r="T576" s="3" t="s">
        <v>3576</v>
      </c>
      <c r="U576" s="3" t="s">
        <v>2981</v>
      </c>
      <c r="V576" s="3" t="s">
        <v>27</v>
      </c>
      <c r="W576" s="2"/>
      <c r="X576" s="2"/>
      <c r="Y576" s="2"/>
    </row>
    <row r="577" spans="1:25" hidden="1" x14ac:dyDescent="0.2">
      <c r="A577" s="3">
        <v>274</v>
      </c>
      <c r="B577" s="4" t="s">
        <v>3577</v>
      </c>
      <c r="C577" s="3" t="s">
        <v>3578</v>
      </c>
      <c r="D577" s="3" t="e">
        <f>VLOOKUP(A577,Hebrew!A:C,3,0)</f>
        <v>#N/A</v>
      </c>
      <c r="E577" s="3" t="s">
        <v>3579</v>
      </c>
      <c r="F577" s="3" t="e">
        <f>VLOOKUP($A577,Hebrew!$A:$S,4,0)</f>
        <v>#N/A</v>
      </c>
      <c r="G577" s="3" t="s">
        <v>751</v>
      </c>
      <c r="H577" s="2"/>
      <c r="I577" s="2"/>
      <c r="J577" s="3" t="s">
        <v>393</v>
      </c>
      <c r="K577" s="3" t="s">
        <v>453</v>
      </c>
      <c r="L577" s="3" t="e">
        <f>VLOOKUP($A577,Hebrew!$A:$S,9,0)</f>
        <v>#N/A</v>
      </c>
      <c r="M577" s="2"/>
      <c r="N577" s="2"/>
      <c r="O577" s="3" t="s">
        <v>26</v>
      </c>
      <c r="P577" s="3" t="s">
        <v>2330</v>
      </c>
      <c r="Q577" s="3" t="e">
        <f>VLOOKUP($A577,Hebrew!$A:$S,13,0)</f>
        <v>#N/A</v>
      </c>
      <c r="R577" s="3" t="s">
        <v>396</v>
      </c>
      <c r="S577" s="3" t="s">
        <v>2314</v>
      </c>
      <c r="T577" s="3" t="s">
        <v>3580</v>
      </c>
      <c r="U577" s="3" t="s">
        <v>43</v>
      </c>
      <c r="V577" s="3" t="s">
        <v>3581</v>
      </c>
      <c r="W577" s="2"/>
      <c r="X577" s="2"/>
      <c r="Y577" s="2"/>
    </row>
    <row r="578" spans="1:25" hidden="1" x14ac:dyDescent="0.2">
      <c r="A578" s="3">
        <v>275</v>
      </c>
      <c r="B578" s="4" t="s">
        <v>3582</v>
      </c>
      <c r="C578" s="3" t="s">
        <v>3583</v>
      </c>
      <c r="D578" s="3" t="e">
        <f>VLOOKUP(A578,Hebrew!A:C,3,0)</f>
        <v>#N/A</v>
      </c>
      <c r="E578" s="3" t="s">
        <v>3584</v>
      </c>
      <c r="F578" s="3" t="e">
        <f>VLOOKUP($A578,Hebrew!$A:$S,4,0)</f>
        <v>#N/A</v>
      </c>
      <c r="G578" s="3" t="s">
        <v>1252</v>
      </c>
      <c r="H578" s="2"/>
      <c r="I578" s="2"/>
      <c r="J578" s="3" t="s">
        <v>393</v>
      </c>
      <c r="K578" s="3" t="s">
        <v>453</v>
      </c>
      <c r="L578" s="3" t="e">
        <f>VLOOKUP($A578,Hebrew!$A:$S,9,0)</f>
        <v>#N/A</v>
      </c>
      <c r="M578" s="2"/>
      <c r="N578" s="2"/>
      <c r="O578" s="3" t="s">
        <v>426</v>
      </c>
      <c r="P578" s="3" t="s">
        <v>3585</v>
      </c>
      <c r="Q578" s="3" t="e">
        <f>VLOOKUP($A578,Hebrew!$A:$S,13,0)</f>
        <v>#N/A</v>
      </c>
      <c r="R578" s="3" t="s">
        <v>396</v>
      </c>
      <c r="S578" s="3" t="s">
        <v>2314</v>
      </c>
      <c r="T578" s="3" t="s">
        <v>3586</v>
      </c>
      <c r="U578" s="3" t="s">
        <v>43</v>
      </c>
      <c r="V578" s="3" t="s">
        <v>1109</v>
      </c>
      <c r="W578" s="2"/>
      <c r="X578" s="2"/>
      <c r="Y578" s="2"/>
    </row>
    <row r="579" spans="1:25" hidden="1" x14ac:dyDescent="0.2">
      <c r="A579" s="3">
        <v>1366</v>
      </c>
      <c r="B579" s="4" t="s">
        <v>3587</v>
      </c>
      <c r="C579" s="3" t="s">
        <v>3588</v>
      </c>
      <c r="D579" s="3" t="e">
        <f>VLOOKUP(A579,Hebrew!A:C,3,0)</f>
        <v>#N/A</v>
      </c>
      <c r="E579" s="3" t="s">
        <v>3589</v>
      </c>
      <c r="F579" s="3" t="e">
        <f>VLOOKUP($A579,Hebrew!$A:$S,4,0)</f>
        <v>#N/A</v>
      </c>
      <c r="G579" s="3" t="s">
        <v>3590</v>
      </c>
      <c r="H579" s="3" t="s">
        <v>3591</v>
      </c>
      <c r="I579" s="3" t="s">
        <v>2405</v>
      </c>
      <c r="J579" s="3" t="s">
        <v>393</v>
      </c>
      <c r="K579" s="3" t="s">
        <v>3592</v>
      </c>
      <c r="L579" s="3" t="e">
        <f>VLOOKUP($A579,Hebrew!$A:$S,9,0)</f>
        <v>#N/A</v>
      </c>
      <c r="M579" s="3" t="s">
        <v>1324</v>
      </c>
      <c r="N579" s="2"/>
      <c r="O579" s="3" t="s">
        <v>26</v>
      </c>
      <c r="P579" s="3" t="s">
        <v>3593</v>
      </c>
      <c r="Q579" s="3" t="e">
        <f>VLOOKUP($A579,Hebrew!$A:$S,13,0)</f>
        <v>#N/A</v>
      </c>
      <c r="R579" s="3" t="s">
        <v>396</v>
      </c>
      <c r="S579" s="3" t="s">
        <v>405</v>
      </c>
      <c r="T579" s="3" t="s">
        <v>3594</v>
      </c>
      <c r="U579" s="3" t="s">
        <v>43</v>
      </c>
      <c r="V579" s="3" t="s">
        <v>3595</v>
      </c>
      <c r="W579" s="2"/>
      <c r="X579" s="2"/>
      <c r="Y579" s="2"/>
    </row>
    <row r="580" spans="1:25" hidden="1" x14ac:dyDescent="0.2">
      <c r="A580" s="3">
        <v>1369</v>
      </c>
      <c r="B580" s="4" t="s">
        <v>3596</v>
      </c>
      <c r="C580" s="3" t="s">
        <v>3597</v>
      </c>
      <c r="D580" s="3" t="e">
        <f>VLOOKUP(A580,Hebrew!A:C,3,0)</f>
        <v>#N/A</v>
      </c>
      <c r="E580" s="3" t="s">
        <v>3598</v>
      </c>
      <c r="F580" s="3" t="e">
        <f>VLOOKUP($A580,Hebrew!$A:$S,4,0)</f>
        <v>#N/A</v>
      </c>
      <c r="G580" s="3" t="s">
        <v>1761</v>
      </c>
      <c r="H580" s="3" t="s">
        <v>677</v>
      </c>
      <c r="I580" s="3" t="s">
        <v>3046</v>
      </c>
      <c r="J580" s="3" t="s">
        <v>393</v>
      </c>
      <c r="K580" s="3" t="s">
        <v>3599</v>
      </c>
      <c r="L580" s="3" t="e">
        <f>VLOOKUP($A580,Hebrew!$A:$S,9,0)</f>
        <v>#N/A</v>
      </c>
      <c r="M580" s="2"/>
      <c r="N580" s="2"/>
      <c r="O580" s="3" t="s">
        <v>39</v>
      </c>
      <c r="P580" s="3" t="s">
        <v>3600</v>
      </c>
      <c r="Q580" s="3" t="e">
        <f>VLOOKUP($A580,Hebrew!$A:$S,13,0)</f>
        <v>#N/A</v>
      </c>
      <c r="R580" s="3" t="s">
        <v>396</v>
      </c>
      <c r="S580" s="3" t="s">
        <v>405</v>
      </c>
      <c r="T580" s="3" t="s">
        <v>3601</v>
      </c>
      <c r="U580" s="3" t="s">
        <v>43</v>
      </c>
      <c r="V580" s="3" t="s">
        <v>245</v>
      </c>
      <c r="W580" s="2"/>
      <c r="X580" s="2"/>
      <c r="Y580" s="2"/>
    </row>
    <row r="581" spans="1:25" hidden="1" x14ac:dyDescent="0.2">
      <c r="A581" s="3">
        <v>2116</v>
      </c>
      <c r="B581" s="4" t="s">
        <v>3602</v>
      </c>
      <c r="C581" s="3" t="s">
        <v>3603</v>
      </c>
      <c r="D581" s="3" t="e">
        <f>VLOOKUP(A581,Hebrew!A:C,3,0)</f>
        <v>#N/A</v>
      </c>
      <c r="E581" s="3" t="s">
        <v>3604</v>
      </c>
      <c r="F581" s="3" t="e">
        <f>VLOOKUP($A581,Hebrew!$A:$S,4,0)</f>
        <v>#N/A</v>
      </c>
      <c r="G581" s="3" t="s">
        <v>3605</v>
      </c>
      <c r="H581" s="2"/>
      <c r="I581" s="2"/>
      <c r="J581" s="3" t="s">
        <v>393</v>
      </c>
      <c r="K581" s="3" t="s">
        <v>3606</v>
      </c>
      <c r="L581" s="3" t="e">
        <f>VLOOKUP($A581,Hebrew!$A:$S,9,0)</f>
        <v>#N/A</v>
      </c>
      <c r="M581" s="3" t="s">
        <v>1324</v>
      </c>
      <c r="N581" s="3" t="s">
        <v>3607</v>
      </c>
      <c r="O581" s="3" t="s">
        <v>1011</v>
      </c>
      <c r="P581" s="3" t="s">
        <v>3608</v>
      </c>
      <c r="Q581" s="3" t="e">
        <f>VLOOKUP($A581,Hebrew!$A:$S,13,0)</f>
        <v>#N/A</v>
      </c>
      <c r="R581" s="3" t="s">
        <v>396</v>
      </c>
      <c r="S581" s="3" t="s">
        <v>405</v>
      </c>
      <c r="T581" s="3" t="s">
        <v>3609</v>
      </c>
      <c r="U581" s="3" t="s">
        <v>652</v>
      </c>
      <c r="V581" s="3" t="s">
        <v>3610</v>
      </c>
      <c r="W581" s="2"/>
      <c r="X581" s="2"/>
      <c r="Y581" s="2"/>
    </row>
    <row r="582" spans="1:25" hidden="1" x14ac:dyDescent="0.2">
      <c r="A582" s="3">
        <v>2219</v>
      </c>
      <c r="B582" s="4" t="s">
        <v>3611</v>
      </c>
      <c r="C582" s="3" t="s">
        <v>3612</v>
      </c>
      <c r="D582" s="3" t="e">
        <f>VLOOKUP(A582,Hebrew!A:C,3,0)</f>
        <v>#N/A</v>
      </c>
      <c r="E582" s="3" t="s">
        <v>3613</v>
      </c>
      <c r="F582" s="3" t="e">
        <f>VLOOKUP($A582,Hebrew!$A:$S,4,0)</f>
        <v>#N/A</v>
      </c>
      <c r="G582" s="3" t="s">
        <v>2478</v>
      </c>
      <c r="H582" s="2"/>
      <c r="I582" s="2"/>
      <c r="J582" s="3" t="s">
        <v>393</v>
      </c>
      <c r="K582" s="3" t="s">
        <v>1258</v>
      </c>
      <c r="L582" s="3" t="e">
        <f>VLOOKUP($A582,Hebrew!$A:$S,9,0)</f>
        <v>#N/A</v>
      </c>
      <c r="M582" s="2"/>
      <c r="N582" s="2"/>
      <c r="O582" s="3" t="s">
        <v>645</v>
      </c>
      <c r="P582" s="3" t="s">
        <v>3614</v>
      </c>
      <c r="Q582" s="3" t="e">
        <f>VLOOKUP($A582,Hebrew!$A:$S,13,0)</f>
        <v>#N/A</v>
      </c>
      <c r="R582" s="3" t="s">
        <v>396</v>
      </c>
      <c r="S582" s="3" t="s">
        <v>405</v>
      </c>
      <c r="T582" s="3" t="s">
        <v>3615</v>
      </c>
      <c r="U582" s="3" t="s">
        <v>43</v>
      </c>
      <c r="V582" s="3" t="s">
        <v>3616</v>
      </c>
      <c r="W582" s="2"/>
      <c r="X582" s="2"/>
      <c r="Y582" s="2"/>
    </row>
    <row r="583" spans="1:25" hidden="1" x14ac:dyDescent="0.2">
      <c r="A583" s="3">
        <v>37</v>
      </c>
      <c r="B583" s="4" t="s">
        <v>3617</v>
      </c>
      <c r="C583" s="3" t="s">
        <v>3618</v>
      </c>
      <c r="D583" s="3" t="e">
        <f>VLOOKUP(A583,Hebrew!A:C,3,0)</f>
        <v>#N/A</v>
      </c>
      <c r="E583" s="3" t="s">
        <v>3619</v>
      </c>
      <c r="F583" s="3" t="e">
        <f>VLOOKUP($A583,Hebrew!$A:$S,4,0)</f>
        <v>#N/A</v>
      </c>
      <c r="G583" s="3" t="s">
        <v>3620</v>
      </c>
      <c r="H583" s="3" t="s">
        <v>3620</v>
      </c>
      <c r="I583" s="3" t="s">
        <v>3620</v>
      </c>
      <c r="J583" s="3" t="s">
        <v>275</v>
      </c>
      <c r="K583" s="3" t="s">
        <v>3621</v>
      </c>
      <c r="L583" s="3" t="e">
        <f>VLOOKUP($A583,Hebrew!$A:$S,9,0)</f>
        <v>#N/A</v>
      </c>
      <c r="M583" s="2"/>
      <c r="N583" s="2"/>
      <c r="O583" s="3" t="s">
        <v>26</v>
      </c>
      <c r="P583" s="3" t="s">
        <v>212</v>
      </c>
      <c r="Q583" s="3" t="e">
        <f>VLOOKUP($A583,Hebrew!$A:$S,13,0)</f>
        <v>#N/A</v>
      </c>
      <c r="R583" s="3" t="s">
        <v>2018</v>
      </c>
      <c r="S583" s="3" t="s">
        <v>29</v>
      </c>
      <c r="T583" s="3" t="s">
        <v>3622</v>
      </c>
      <c r="U583" s="3" t="s">
        <v>3623</v>
      </c>
      <c r="V583" s="3" t="s">
        <v>212</v>
      </c>
      <c r="W583" s="2"/>
      <c r="X583" s="2"/>
      <c r="Y583" s="2"/>
    </row>
    <row r="584" spans="1:25" hidden="1" x14ac:dyDescent="0.2">
      <c r="A584" s="3">
        <v>36</v>
      </c>
      <c r="B584" s="4" t="s">
        <v>3624</v>
      </c>
      <c r="C584" s="3" t="s">
        <v>3625</v>
      </c>
      <c r="D584" s="3" t="e">
        <f>VLOOKUP(A584,Hebrew!A:C,3,0)</f>
        <v>#N/A</v>
      </c>
      <c r="E584" s="3" t="s">
        <v>3626</v>
      </c>
      <c r="F584" s="3" t="e">
        <f>VLOOKUP($A584,Hebrew!$A:$S,4,0)</f>
        <v>#N/A</v>
      </c>
      <c r="G584" s="3" t="s">
        <v>1043</v>
      </c>
      <c r="H584" s="2"/>
      <c r="I584" s="2"/>
      <c r="J584" s="3" t="s">
        <v>3627</v>
      </c>
      <c r="K584" s="3" t="s">
        <v>3628</v>
      </c>
      <c r="L584" s="3" t="e">
        <f>VLOOKUP($A584,Hebrew!$A:$S,9,0)</f>
        <v>#N/A</v>
      </c>
      <c r="M584" s="2"/>
      <c r="N584" s="2"/>
      <c r="O584" s="3" t="s">
        <v>39</v>
      </c>
      <c r="P584" s="3" t="s">
        <v>27</v>
      </c>
      <c r="Q584" s="3" t="e">
        <f>VLOOKUP($A584,Hebrew!$A:$S,13,0)</f>
        <v>#N/A</v>
      </c>
      <c r="R584" s="3" t="s">
        <v>1215</v>
      </c>
      <c r="S584" s="3" t="s">
        <v>29</v>
      </c>
      <c r="T584" s="3" t="s">
        <v>3629</v>
      </c>
      <c r="U584" s="3" t="s">
        <v>314</v>
      </c>
      <c r="V584" s="3" t="s">
        <v>27</v>
      </c>
      <c r="W584" s="2"/>
      <c r="X584" s="2"/>
      <c r="Y584" s="2"/>
    </row>
    <row r="585" spans="1:25" hidden="1" x14ac:dyDescent="0.2">
      <c r="A585" s="3">
        <v>39</v>
      </c>
      <c r="B585" s="4" t="s">
        <v>3630</v>
      </c>
      <c r="C585" s="3" t="s">
        <v>3631</v>
      </c>
      <c r="D585" s="3" t="e">
        <f>VLOOKUP(A585,Hebrew!A:C,3,0)</f>
        <v>#N/A</v>
      </c>
      <c r="E585" s="3" t="s">
        <v>3632</v>
      </c>
      <c r="F585" s="3" t="e">
        <f>VLOOKUP($A585,Hebrew!$A:$S,4,0)</f>
        <v>#N/A</v>
      </c>
      <c r="G585" s="3" t="s">
        <v>3633</v>
      </c>
      <c r="H585" s="3" t="s">
        <v>3634</v>
      </c>
      <c r="I585" s="3" t="s">
        <v>3634</v>
      </c>
      <c r="J585" s="3" t="s">
        <v>3635</v>
      </c>
      <c r="K585" s="3" t="s">
        <v>3636</v>
      </c>
      <c r="L585" s="3" t="e">
        <f>VLOOKUP($A585,Hebrew!$A:$S,9,0)</f>
        <v>#N/A</v>
      </c>
      <c r="M585" s="2"/>
      <c r="N585" s="2"/>
      <c r="O585" s="3" t="s">
        <v>39</v>
      </c>
      <c r="P585" s="3" t="s">
        <v>3637</v>
      </c>
      <c r="Q585" s="3" t="e">
        <f>VLOOKUP($A585,Hebrew!$A:$S,13,0)</f>
        <v>#N/A</v>
      </c>
      <c r="R585" s="3" t="s">
        <v>1215</v>
      </c>
      <c r="S585" s="3" t="s">
        <v>29</v>
      </c>
      <c r="T585" s="3" t="s">
        <v>3638</v>
      </c>
      <c r="U585" s="3" t="s">
        <v>3639</v>
      </c>
      <c r="V585" s="3" t="s">
        <v>3640</v>
      </c>
      <c r="W585" s="2"/>
      <c r="X585" s="2"/>
      <c r="Y585" s="2"/>
    </row>
    <row r="586" spans="1:25" hidden="1" x14ac:dyDescent="0.2">
      <c r="A586" s="3">
        <v>1192</v>
      </c>
      <c r="B586" s="4" t="s">
        <v>3641</v>
      </c>
      <c r="C586" s="3" t="s">
        <v>3642</v>
      </c>
      <c r="D586" s="3" t="e">
        <f>VLOOKUP(A586,Hebrew!A:C,3,0)</f>
        <v>#N/A</v>
      </c>
      <c r="E586" s="3" t="s">
        <v>3643</v>
      </c>
      <c r="F586" s="3" t="e">
        <f>VLOOKUP($A586,Hebrew!$A:$S,4,0)</f>
        <v>#N/A</v>
      </c>
      <c r="G586" s="3" t="s">
        <v>745</v>
      </c>
      <c r="H586" s="2"/>
      <c r="I586" s="2"/>
      <c r="J586" s="3" t="s">
        <v>393</v>
      </c>
      <c r="K586" s="3" t="s">
        <v>739</v>
      </c>
      <c r="L586" s="3" t="e">
        <f>VLOOKUP($A586,Hebrew!$A:$S,9,0)</f>
        <v>#N/A</v>
      </c>
      <c r="M586" s="2"/>
      <c r="N586" s="2"/>
      <c r="O586" s="3" t="s">
        <v>26</v>
      </c>
      <c r="P586" s="3" t="s">
        <v>113</v>
      </c>
      <c r="Q586" s="3" t="e">
        <f>VLOOKUP($A586,Hebrew!$A:$S,13,0)</f>
        <v>#N/A</v>
      </c>
      <c r="R586" s="3" t="s">
        <v>396</v>
      </c>
      <c r="S586" s="3" t="s">
        <v>455</v>
      </c>
      <c r="T586" s="3" t="s">
        <v>3644</v>
      </c>
      <c r="U586" s="3" t="s">
        <v>43</v>
      </c>
      <c r="V586" s="3" t="s">
        <v>3645</v>
      </c>
      <c r="W586" s="2"/>
      <c r="X586" s="2"/>
      <c r="Y586" s="2"/>
    </row>
    <row r="587" spans="1:25" hidden="1" x14ac:dyDescent="0.2">
      <c r="A587" s="3">
        <v>2027</v>
      </c>
      <c r="B587" s="4" t="s">
        <v>3646</v>
      </c>
      <c r="C587" s="3" t="s">
        <v>3647</v>
      </c>
      <c r="D587" s="3" t="e">
        <f>VLOOKUP(A587,Hebrew!A:C,3,0)</f>
        <v>#N/A</v>
      </c>
      <c r="E587" s="3" t="s">
        <v>3648</v>
      </c>
      <c r="F587" s="3" t="e">
        <f>VLOOKUP($A587,Hebrew!$A:$S,4,0)</f>
        <v>#N/A</v>
      </c>
      <c r="G587" s="3" t="s">
        <v>2460</v>
      </c>
      <c r="H587" s="2"/>
      <c r="I587" s="2"/>
      <c r="J587" s="3" t="s">
        <v>36</v>
      </c>
      <c r="K587" s="3" t="s">
        <v>3649</v>
      </c>
      <c r="L587" s="3" t="e">
        <f>VLOOKUP($A587,Hebrew!$A:$S,9,0)</f>
        <v>#N/A</v>
      </c>
      <c r="M587" s="2"/>
      <c r="N587" s="2"/>
      <c r="O587" s="3" t="s">
        <v>39</v>
      </c>
      <c r="P587" s="3" t="s">
        <v>461</v>
      </c>
      <c r="Q587" s="3" t="e">
        <f>VLOOKUP($A587,Hebrew!$A:$S,13,0)</f>
        <v>#N/A</v>
      </c>
      <c r="R587" s="3" t="s">
        <v>1215</v>
      </c>
      <c r="S587" s="3" t="s">
        <v>397</v>
      </c>
      <c r="T587" s="3" t="s">
        <v>3650</v>
      </c>
      <c r="U587" s="3" t="s">
        <v>3651</v>
      </c>
      <c r="V587" s="3" t="s">
        <v>3652</v>
      </c>
      <c r="W587" s="3" t="s">
        <v>1356</v>
      </c>
      <c r="X587" s="2"/>
      <c r="Y587" s="2"/>
    </row>
    <row r="588" spans="1:25" x14ac:dyDescent="0.2">
      <c r="A588" s="3">
        <v>730</v>
      </c>
      <c r="B588" s="4" t="s">
        <v>3508</v>
      </c>
      <c r="C588" s="3" t="s">
        <v>3509</v>
      </c>
      <c r="D588" s="3" t="str">
        <f>VLOOKUP(A588,Hebrew!A:C,3,0)</f>
        <v>בתוך הבסיס שבו ישראל כלאו אלפי תושבי עזה</v>
      </c>
      <c r="E588" s="3" t="s">
        <v>3510</v>
      </c>
      <c r="F588" s="3" t="str">
        <f>VLOOKUP($A588,Hebrew!$A:$S,4,0)</f>
        <v>דו"ח המבוסס על שיחות עם מפקדי צה"ל, חיילים ועצירים פלסטינים ששוחררו, על התנאים והטיפול בעצירים במחנה המעצר הזמני בבסיס צה"ל שדה תימן בישראל מאז התקפות 7 באוקטובר.</v>
      </c>
      <c r="G588" s="3" t="s">
        <v>2706</v>
      </c>
      <c r="H588" s="3" t="s">
        <v>2608</v>
      </c>
      <c r="I588" s="2"/>
      <c r="J588" s="3" t="s">
        <v>173</v>
      </c>
      <c r="K588" s="3" t="s">
        <v>3511</v>
      </c>
      <c r="L588" s="3" t="str">
        <f>VLOOKUP($A588,Hebrew!$A:$S,9,0)</f>
        <v>פטריק קינגסלי, בילאל שבייר</v>
      </c>
      <c r="M588" s="2"/>
      <c r="N588" s="2"/>
      <c r="O588" s="3" t="s">
        <v>26</v>
      </c>
      <c r="P588" s="3" t="s">
        <v>1459</v>
      </c>
      <c r="Q588" s="3" t="str">
        <f>VLOOKUP($A588,Hebrew!$A:$S,13,0)</f>
        <v>ישראל, רצועת עזה</v>
      </c>
      <c r="R588" s="3" t="s">
        <v>1215</v>
      </c>
      <c r="S588" s="3" t="s">
        <v>397</v>
      </c>
      <c r="T588" s="3" t="s">
        <v>3512</v>
      </c>
      <c r="U588" s="3" t="s">
        <v>3513</v>
      </c>
      <c r="V588" s="3" t="s">
        <v>3514</v>
      </c>
      <c r="W588" s="2"/>
      <c r="X588" s="2"/>
      <c r="Y588" s="2"/>
    </row>
    <row r="589" spans="1:25" hidden="1" x14ac:dyDescent="0.2">
      <c r="A589" s="3">
        <v>731</v>
      </c>
      <c r="B589" s="4" t="s">
        <v>3653</v>
      </c>
      <c r="C589" s="3" t="s">
        <v>3654</v>
      </c>
      <c r="D589" s="3" t="e">
        <f>VLOOKUP(A589,Hebrew!A:C,3,0)</f>
        <v>#N/A</v>
      </c>
      <c r="E589" s="3" t="s">
        <v>3655</v>
      </c>
      <c r="F589" s="3" t="e">
        <f>VLOOKUP($A589,Hebrew!$A:$S,4,0)</f>
        <v>#N/A</v>
      </c>
      <c r="G589" s="3" t="s">
        <v>1552</v>
      </c>
      <c r="H589" s="2"/>
      <c r="I589" s="2"/>
      <c r="J589" s="3" t="s">
        <v>173</v>
      </c>
      <c r="K589" s="3" t="s">
        <v>3656</v>
      </c>
      <c r="L589" s="3" t="e">
        <f>VLOOKUP($A589,Hebrew!$A:$S,9,0)</f>
        <v>#N/A</v>
      </c>
      <c r="M589" s="2"/>
      <c r="N589" s="2"/>
      <c r="O589" s="3" t="s">
        <v>26</v>
      </c>
      <c r="P589" s="3" t="s">
        <v>27</v>
      </c>
      <c r="Q589" s="3" t="e">
        <f>VLOOKUP($A589,Hebrew!$A:$S,13,0)</f>
        <v>#N/A</v>
      </c>
      <c r="R589" s="3" t="s">
        <v>1215</v>
      </c>
      <c r="S589" s="3" t="s">
        <v>397</v>
      </c>
      <c r="T589" s="3" t="s">
        <v>3657</v>
      </c>
      <c r="U589" s="3" t="s">
        <v>43</v>
      </c>
      <c r="V589" s="3" t="s">
        <v>27</v>
      </c>
      <c r="W589" s="2"/>
      <c r="X589" s="2"/>
      <c r="Y589" s="2"/>
    </row>
    <row r="590" spans="1:25" hidden="1" x14ac:dyDescent="0.2">
      <c r="A590" s="3">
        <v>728</v>
      </c>
      <c r="B590" s="4" t="s">
        <v>3658</v>
      </c>
      <c r="C590" s="3" t="s">
        <v>3659</v>
      </c>
      <c r="D590" s="3" t="e">
        <f>VLOOKUP(A590,Hebrew!A:C,3,0)</f>
        <v>#N/A</v>
      </c>
      <c r="E590" s="3" t="s">
        <v>3660</v>
      </c>
      <c r="F590" s="3" t="e">
        <f>VLOOKUP($A590,Hebrew!$A:$S,4,0)</f>
        <v>#N/A</v>
      </c>
      <c r="G590" s="3" t="s">
        <v>3620</v>
      </c>
      <c r="H590" s="2"/>
      <c r="I590" s="2"/>
      <c r="J590" s="3" t="s">
        <v>173</v>
      </c>
      <c r="K590" s="3" t="s">
        <v>3661</v>
      </c>
      <c r="L590" s="3" t="e">
        <f>VLOOKUP($A590,Hebrew!$A:$S,9,0)</f>
        <v>#N/A</v>
      </c>
      <c r="M590" s="2"/>
      <c r="N590" s="2"/>
      <c r="O590" s="3" t="s">
        <v>26</v>
      </c>
      <c r="P590" s="3" t="s">
        <v>27</v>
      </c>
      <c r="Q590" s="3" t="e">
        <f>VLOOKUP($A590,Hebrew!$A:$S,13,0)</f>
        <v>#N/A</v>
      </c>
      <c r="R590" s="3" t="s">
        <v>61</v>
      </c>
      <c r="S590" s="3" t="s">
        <v>413</v>
      </c>
      <c r="T590" s="3" t="s">
        <v>3662</v>
      </c>
      <c r="U590" s="3" t="s">
        <v>43</v>
      </c>
      <c r="V590" s="3" t="s">
        <v>27</v>
      </c>
      <c r="W590" s="2"/>
      <c r="X590" s="2"/>
      <c r="Y590" s="2"/>
    </row>
    <row r="591" spans="1:25" hidden="1" x14ac:dyDescent="0.2">
      <c r="A591" s="3">
        <v>727</v>
      </c>
      <c r="B591" s="4" t="s">
        <v>3663</v>
      </c>
      <c r="C591" s="3" t="s">
        <v>3664</v>
      </c>
      <c r="D591" s="3" t="e">
        <f>VLOOKUP(A591,Hebrew!A:C,3,0)</f>
        <v>#N/A</v>
      </c>
      <c r="E591" s="3" t="s">
        <v>3665</v>
      </c>
      <c r="F591" s="3" t="e">
        <f>VLOOKUP($A591,Hebrew!$A:$S,4,0)</f>
        <v>#N/A</v>
      </c>
      <c r="G591" s="3" t="s">
        <v>3666</v>
      </c>
      <c r="H591" s="3" t="s">
        <v>2608</v>
      </c>
      <c r="I591" s="3" t="s">
        <v>3666</v>
      </c>
      <c r="J591" s="3" t="s">
        <v>173</v>
      </c>
      <c r="K591" s="3" t="s">
        <v>3667</v>
      </c>
      <c r="L591" s="3" t="e">
        <f>VLOOKUP($A591,Hebrew!$A:$S,9,0)</f>
        <v>#N/A</v>
      </c>
      <c r="M591" s="2"/>
      <c r="N591" s="2"/>
      <c r="O591" s="3" t="s">
        <v>26</v>
      </c>
      <c r="P591" s="3" t="s">
        <v>1459</v>
      </c>
      <c r="Q591" s="3" t="e">
        <f>VLOOKUP($A591,Hebrew!$A:$S,13,0)</f>
        <v>#N/A</v>
      </c>
      <c r="R591" s="3" t="s">
        <v>1215</v>
      </c>
      <c r="S591" s="3" t="s">
        <v>397</v>
      </c>
      <c r="T591" s="3" t="s">
        <v>3668</v>
      </c>
      <c r="U591" s="3" t="s">
        <v>3669</v>
      </c>
      <c r="V591" s="3" t="s">
        <v>27</v>
      </c>
      <c r="W591" s="3" t="s">
        <v>3670</v>
      </c>
      <c r="X591" s="2"/>
      <c r="Y591" s="2"/>
    </row>
    <row r="592" spans="1:25" hidden="1" x14ac:dyDescent="0.2">
      <c r="A592" s="3">
        <v>729</v>
      </c>
      <c r="B592" s="4" t="s">
        <v>3671</v>
      </c>
      <c r="C592" s="3" t="s">
        <v>3672</v>
      </c>
      <c r="D592" s="3" t="e">
        <f>VLOOKUP(A592,Hebrew!A:C,3,0)</f>
        <v>#N/A</v>
      </c>
      <c r="E592" s="3" t="s">
        <v>3673</v>
      </c>
      <c r="F592" s="3" t="e">
        <f>VLOOKUP($A592,Hebrew!$A:$S,4,0)</f>
        <v>#N/A</v>
      </c>
      <c r="G592" s="3" t="s">
        <v>3140</v>
      </c>
      <c r="H592" s="2"/>
      <c r="I592" s="2"/>
      <c r="J592" s="3" t="s">
        <v>173</v>
      </c>
      <c r="K592" s="3" t="s">
        <v>3674</v>
      </c>
      <c r="L592" s="3" t="e">
        <f>VLOOKUP($A592,Hebrew!$A:$S,9,0)</f>
        <v>#N/A</v>
      </c>
      <c r="M592" s="2"/>
      <c r="N592" s="2"/>
      <c r="O592" s="3" t="s">
        <v>26</v>
      </c>
      <c r="P592" s="3" t="s">
        <v>1459</v>
      </c>
      <c r="Q592" s="3" t="e">
        <f>VLOOKUP($A592,Hebrew!$A:$S,13,0)</f>
        <v>#N/A</v>
      </c>
      <c r="R592" s="3" t="s">
        <v>1215</v>
      </c>
      <c r="S592" s="3" t="s">
        <v>397</v>
      </c>
      <c r="T592" s="3" t="s">
        <v>3675</v>
      </c>
      <c r="U592" s="3" t="s">
        <v>3676</v>
      </c>
      <c r="V592" s="3" t="s">
        <v>60</v>
      </c>
      <c r="W592" s="2"/>
      <c r="X592" s="2"/>
      <c r="Y592" s="2"/>
    </row>
    <row r="593" spans="1:25" hidden="1" x14ac:dyDescent="0.2">
      <c r="A593" s="3">
        <v>968</v>
      </c>
      <c r="B593" s="4" t="s">
        <v>3677</v>
      </c>
      <c r="C593" s="3" t="s">
        <v>3678</v>
      </c>
      <c r="D593" s="3" t="e">
        <f>VLOOKUP(A593,Hebrew!A:C,3,0)</f>
        <v>#N/A</v>
      </c>
      <c r="E593" s="3" t="s">
        <v>3679</v>
      </c>
      <c r="F593" s="3" t="e">
        <f>VLOOKUP($A593,Hebrew!$A:$S,4,0)</f>
        <v>#N/A</v>
      </c>
      <c r="G593" s="3" t="s">
        <v>3680</v>
      </c>
      <c r="H593" s="3" t="s">
        <v>3681</v>
      </c>
      <c r="I593" s="3" t="s">
        <v>3681</v>
      </c>
      <c r="J593" s="3" t="s">
        <v>173</v>
      </c>
      <c r="K593" s="3" t="s">
        <v>3682</v>
      </c>
      <c r="L593" s="3" t="e">
        <f>VLOOKUP($A593,Hebrew!$A:$S,9,0)</f>
        <v>#N/A</v>
      </c>
      <c r="M593" s="2"/>
      <c r="N593" s="2"/>
      <c r="O593" s="3" t="s">
        <v>26</v>
      </c>
      <c r="P593" s="3" t="s">
        <v>3683</v>
      </c>
      <c r="Q593" s="3" t="e">
        <f>VLOOKUP($A593,Hebrew!$A:$S,13,0)</f>
        <v>#N/A</v>
      </c>
      <c r="R593" s="3" t="s">
        <v>61</v>
      </c>
      <c r="S593" s="3" t="s">
        <v>29</v>
      </c>
      <c r="T593" s="3" t="s">
        <v>3684</v>
      </c>
      <c r="U593" s="3" t="s">
        <v>3685</v>
      </c>
      <c r="V593" s="3" t="s">
        <v>60</v>
      </c>
      <c r="W593" s="3" t="s">
        <v>1460</v>
      </c>
      <c r="X593" s="2"/>
      <c r="Y593" s="2"/>
    </row>
    <row r="594" spans="1:25" hidden="1" x14ac:dyDescent="0.2">
      <c r="A594" s="3">
        <v>966</v>
      </c>
      <c r="B594" s="4" t="s">
        <v>3686</v>
      </c>
      <c r="C594" s="3" t="s">
        <v>3687</v>
      </c>
      <c r="D594" s="3" t="e">
        <f>VLOOKUP(A594,Hebrew!A:C,3,0)</f>
        <v>#N/A</v>
      </c>
      <c r="E594" s="3" t="s">
        <v>3688</v>
      </c>
      <c r="F594" s="3" t="e">
        <f>VLOOKUP($A594,Hebrew!$A:$S,4,0)</f>
        <v>#N/A</v>
      </c>
      <c r="G594" s="3" t="s">
        <v>1002</v>
      </c>
      <c r="H594" s="2"/>
      <c r="I594" s="2"/>
      <c r="J594" s="3" t="s">
        <v>173</v>
      </c>
      <c r="K594" s="3" t="s">
        <v>3689</v>
      </c>
      <c r="L594" s="3" t="e">
        <f>VLOOKUP($A594,Hebrew!$A:$S,9,0)</f>
        <v>#N/A</v>
      </c>
      <c r="M594" s="2"/>
      <c r="N594" s="2"/>
      <c r="O594" s="3" t="s">
        <v>26</v>
      </c>
      <c r="P594" s="3" t="s">
        <v>3690</v>
      </c>
      <c r="Q594" s="3" t="e">
        <f>VLOOKUP($A594,Hebrew!$A:$S,13,0)</f>
        <v>#N/A</v>
      </c>
      <c r="R594" s="3" t="s">
        <v>61</v>
      </c>
      <c r="S594" s="3" t="s">
        <v>397</v>
      </c>
      <c r="T594" s="3" t="s">
        <v>3691</v>
      </c>
      <c r="U594" s="3" t="s">
        <v>1374</v>
      </c>
      <c r="V594" s="3" t="s">
        <v>3692</v>
      </c>
      <c r="W594" s="3" t="s">
        <v>3693</v>
      </c>
      <c r="X594" s="2"/>
      <c r="Y594" s="2"/>
    </row>
    <row r="595" spans="1:25" hidden="1" x14ac:dyDescent="0.2">
      <c r="A595" s="3">
        <v>969</v>
      </c>
      <c r="B595" s="4" t="s">
        <v>3694</v>
      </c>
      <c r="C595" s="3" t="s">
        <v>3695</v>
      </c>
      <c r="D595" s="3" t="e">
        <f>VLOOKUP(A595,Hebrew!A:C,3,0)</f>
        <v>#N/A</v>
      </c>
      <c r="E595" s="3" t="s">
        <v>3696</v>
      </c>
      <c r="F595" s="3" t="e">
        <f>VLOOKUP($A595,Hebrew!$A:$S,4,0)</f>
        <v>#N/A</v>
      </c>
      <c r="G595" s="3" t="s">
        <v>2763</v>
      </c>
      <c r="H595" s="2"/>
      <c r="I595" s="2"/>
      <c r="J595" s="3" t="s">
        <v>173</v>
      </c>
      <c r="K595" s="3" t="s">
        <v>3697</v>
      </c>
      <c r="L595" s="3" t="e">
        <f>VLOOKUP($A595,Hebrew!$A:$S,9,0)</f>
        <v>#N/A</v>
      </c>
      <c r="M595" s="2"/>
      <c r="N595" s="2"/>
      <c r="O595" s="3" t="s">
        <v>26</v>
      </c>
      <c r="P595" s="3" t="s">
        <v>2992</v>
      </c>
      <c r="Q595" s="3" t="e">
        <f>VLOOKUP($A595,Hebrew!$A:$S,13,0)</f>
        <v>#N/A</v>
      </c>
      <c r="R595" s="3" t="s">
        <v>1215</v>
      </c>
      <c r="S595" s="3" t="s">
        <v>29</v>
      </c>
      <c r="T595" s="3" t="s">
        <v>3698</v>
      </c>
      <c r="U595" s="3" t="s">
        <v>3699</v>
      </c>
      <c r="V595" s="3" t="s">
        <v>3394</v>
      </c>
      <c r="W595" s="2"/>
      <c r="X595" s="2"/>
      <c r="Y595" s="2"/>
    </row>
    <row r="596" spans="1:25" hidden="1" x14ac:dyDescent="0.2">
      <c r="A596" s="3">
        <v>1780</v>
      </c>
      <c r="B596" s="4" t="s">
        <v>3700</v>
      </c>
      <c r="C596" s="3" t="s">
        <v>3701</v>
      </c>
      <c r="D596" s="3" t="e">
        <f>VLOOKUP(A596,Hebrew!A:C,3,0)</f>
        <v>#N/A</v>
      </c>
      <c r="E596" s="3" t="s">
        <v>3702</v>
      </c>
      <c r="F596" s="3" t="e">
        <f>VLOOKUP($A596,Hebrew!$A:$S,4,0)</f>
        <v>#N/A</v>
      </c>
      <c r="G596" s="3" t="s">
        <v>2359</v>
      </c>
      <c r="H596" s="2"/>
      <c r="I596" s="2"/>
      <c r="J596" s="3" t="s">
        <v>173</v>
      </c>
      <c r="K596" s="3" t="s">
        <v>3703</v>
      </c>
      <c r="L596" s="3" t="e">
        <f>VLOOKUP($A596,Hebrew!$A:$S,9,0)</f>
        <v>#N/A</v>
      </c>
      <c r="M596" s="2"/>
      <c r="N596" s="2"/>
      <c r="O596" s="3" t="s">
        <v>26</v>
      </c>
      <c r="P596" s="3" t="s">
        <v>3704</v>
      </c>
      <c r="Q596" s="3" t="e">
        <f>VLOOKUP($A596,Hebrew!$A:$S,13,0)</f>
        <v>#N/A</v>
      </c>
      <c r="R596" s="3" t="s">
        <v>1215</v>
      </c>
      <c r="S596" s="3" t="s">
        <v>29</v>
      </c>
      <c r="T596" s="3" t="s">
        <v>3705</v>
      </c>
      <c r="U596" s="3" t="s">
        <v>2693</v>
      </c>
      <c r="V596" s="3" t="s">
        <v>3706</v>
      </c>
      <c r="W596" s="3" t="s">
        <v>2533</v>
      </c>
      <c r="X596" s="2"/>
      <c r="Y596" s="2"/>
    </row>
    <row r="597" spans="1:25" hidden="1" x14ac:dyDescent="0.2">
      <c r="A597" s="3">
        <v>1775</v>
      </c>
      <c r="B597" s="4" t="s">
        <v>3707</v>
      </c>
      <c r="C597" s="3" t="s">
        <v>3708</v>
      </c>
      <c r="D597" s="3" t="e">
        <f>VLOOKUP(A597,Hebrew!A:C,3,0)</f>
        <v>#N/A</v>
      </c>
      <c r="E597" s="3" t="s">
        <v>3709</v>
      </c>
      <c r="F597" s="3" t="e">
        <f>VLOOKUP($A597,Hebrew!$A:$S,4,0)</f>
        <v>#N/A</v>
      </c>
      <c r="G597" s="3" t="s">
        <v>2955</v>
      </c>
      <c r="H597" s="3" t="s">
        <v>3378</v>
      </c>
      <c r="I597" s="3" t="s">
        <v>3378</v>
      </c>
      <c r="J597" s="3" t="s">
        <v>173</v>
      </c>
      <c r="K597" s="3" t="s">
        <v>3710</v>
      </c>
      <c r="L597" s="3" t="e">
        <f>VLOOKUP($A597,Hebrew!$A:$S,9,0)</f>
        <v>#N/A</v>
      </c>
      <c r="M597" s="2"/>
      <c r="N597" s="6" t="s">
        <v>3711</v>
      </c>
      <c r="O597" s="3" t="s">
        <v>26</v>
      </c>
      <c r="P597" s="3" t="s">
        <v>3394</v>
      </c>
      <c r="Q597" s="3" t="e">
        <f>VLOOKUP($A597,Hebrew!$A:$S,13,0)</f>
        <v>#N/A</v>
      </c>
      <c r="R597" s="3" t="s">
        <v>1215</v>
      </c>
      <c r="S597" s="3" t="s">
        <v>29</v>
      </c>
      <c r="T597" s="3" t="s">
        <v>3712</v>
      </c>
      <c r="U597" s="3" t="s">
        <v>3713</v>
      </c>
      <c r="V597" s="3" t="s">
        <v>3714</v>
      </c>
      <c r="W597" s="3" t="s">
        <v>2533</v>
      </c>
      <c r="X597" s="2"/>
      <c r="Y597" s="2"/>
    </row>
    <row r="598" spans="1:25" hidden="1" x14ac:dyDescent="0.2">
      <c r="A598" s="3">
        <v>1612</v>
      </c>
      <c r="B598" s="4" t="s">
        <v>3715</v>
      </c>
      <c r="C598" s="3" t="s">
        <v>3716</v>
      </c>
      <c r="D598" s="3" t="e">
        <f>VLOOKUP(A598,Hebrew!A:C,3,0)</f>
        <v>#N/A</v>
      </c>
      <c r="E598" s="3" t="s">
        <v>3717</v>
      </c>
      <c r="F598" s="3" t="e">
        <f>VLOOKUP($A598,Hebrew!$A:$S,4,0)</f>
        <v>#N/A</v>
      </c>
      <c r="G598" s="3" t="s">
        <v>3718</v>
      </c>
      <c r="H598" s="2"/>
      <c r="I598" s="3" t="s">
        <v>3088</v>
      </c>
      <c r="J598" s="3" t="s">
        <v>110</v>
      </c>
      <c r="K598" s="3" t="s">
        <v>3719</v>
      </c>
      <c r="L598" s="3" t="e">
        <f>VLOOKUP($A598,Hebrew!$A:$S,9,0)</f>
        <v>#N/A</v>
      </c>
      <c r="M598" s="2"/>
      <c r="N598" s="2"/>
      <c r="O598" s="3" t="s">
        <v>26</v>
      </c>
      <c r="P598" s="3" t="s">
        <v>27</v>
      </c>
      <c r="Q598" s="3" t="e">
        <f>VLOOKUP($A598,Hebrew!$A:$S,13,0)</f>
        <v>#N/A</v>
      </c>
      <c r="R598" s="3" t="s">
        <v>1215</v>
      </c>
      <c r="S598" s="3" t="s">
        <v>29</v>
      </c>
      <c r="T598" s="3" t="s">
        <v>3720</v>
      </c>
      <c r="U598" s="3" t="s">
        <v>3721</v>
      </c>
      <c r="V598" s="3" t="s">
        <v>27</v>
      </c>
      <c r="W598" s="2"/>
      <c r="X598" s="2"/>
      <c r="Y598" s="2"/>
    </row>
    <row r="599" spans="1:25" hidden="1" x14ac:dyDescent="0.2">
      <c r="A599" s="3">
        <v>885</v>
      </c>
      <c r="B599" s="4" t="s">
        <v>3722</v>
      </c>
      <c r="C599" s="3" t="s">
        <v>3723</v>
      </c>
      <c r="D599" s="3" t="e">
        <f>VLOOKUP(A599,Hebrew!A:C,3,0)</f>
        <v>#N/A</v>
      </c>
      <c r="E599" s="3" t="s">
        <v>3724</v>
      </c>
      <c r="F599" s="3" t="e">
        <f>VLOOKUP($A599,Hebrew!$A:$S,4,0)</f>
        <v>#N/A</v>
      </c>
      <c r="G599" s="3" t="s">
        <v>3718</v>
      </c>
      <c r="H599" s="3" t="s">
        <v>2608</v>
      </c>
      <c r="I599" s="3" t="s">
        <v>3019</v>
      </c>
      <c r="J599" s="3" t="s">
        <v>3725</v>
      </c>
      <c r="K599" s="3" t="s">
        <v>3726</v>
      </c>
      <c r="L599" s="3" t="e">
        <f>VLOOKUP($A599,Hebrew!$A:$S,9,0)</f>
        <v>#N/A</v>
      </c>
      <c r="M599" s="2"/>
      <c r="N599" s="6" t="s">
        <v>3727</v>
      </c>
      <c r="O599" s="3" t="s">
        <v>26</v>
      </c>
      <c r="P599" s="3" t="s">
        <v>1459</v>
      </c>
      <c r="Q599" s="3" t="e">
        <f>VLOOKUP($A599,Hebrew!$A:$S,13,0)</f>
        <v>#N/A</v>
      </c>
      <c r="R599" s="3" t="s">
        <v>28</v>
      </c>
      <c r="S599" s="3" t="s">
        <v>397</v>
      </c>
      <c r="T599" s="3" t="s">
        <v>3728</v>
      </c>
      <c r="U599" s="3" t="s">
        <v>3729</v>
      </c>
      <c r="V599" s="3" t="s">
        <v>1459</v>
      </c>
      <c r="W599" s="3" t="s">
        <v>3182</v>
      </c>
      <c r="X599" s="2"/>
      <c r="Y599" s="2"/>
    </row>
    <row r="600" spans="1:25" hidden="1" x14ac:dyDescent="0.2">
      <c r="A600" s="3">
        <v>1030</v>
      </c>
      <c r="B600" s="4" t="s">
        <v>3730</v>
      </c>
      <c r="C600" s="3" t="s">
        <v>3731</v>
      </c>
      <c r="D600" s="3" t="e">
        <f>VLOOKUP(A600,Hebrew!A:C,3,0)</f>
        <v>#N/A</v>
      </c>
      <c r="E600" s="3" t="s">
        <v>3732</v>
      </c>
      <c r="F600" s="3" t="e">
        <f>VLOOKUP($A600,Hebrew!$A:$S,4,0)</f>
        <v>#N/A</v>
      </c>
      <c r="G600" s="3" t="s">
        <v>3733</v>
      </c>
      <c r="H600" s="2"/>
      <c r="I600" s="2"/>
      <c r="J600" s="3" t="s">
        <v>393</v>
      </c>
      <c r="K600" s="3" t="s">
        <v>491</v>
      </c>
      <c r="L600" s="3" t="e">
        <f>VLOOKUP($A600,Hebrew!$A:$S,9,0)</f>
        <v>#N/A</v>
      </c>
      <c r="M600" s="2"/>
      <c r="N600" s="4" t="s">
        <v>3734</v>
      </c>
      <c r="O600" s="3" t="s">
        <v>426</v>
      </c>
      <c r="P600" s="3" t="s">
        <v>245</v>
      </c>
      <c r="Q600" s="3" t="e">
        <f>VLOOKUP($A600,Hebrew!$A:$S,13,0)</f>
        <v>#N/A</v>
      </c>
      <c r="R600" s="3" t="s">
        <v>396</v>
      </c>
      <c r="S600" s="3" t="s">
        <v>405</v>
      </c>
      <c r="T600" s="3" t="s">
        <v>3735</v>
      </c>
      <c r="U600" s="3" t="s">
        <v>3736</v>
      </c>
      <c r="V600" s="3" t="s">
        <v>245</v>
      </c>
      <c r="W600" s="2"/>
      <c r="X600" s="2"/>
      <c r="Y600" s="2"/>
    </row>
    <row r="601" spans="1:25" hidden="1" x14ac:dyDescent="0.2">
      <c r="A601" s="3">
        <v>4</v>
      </c>
      <c r="B601" s="4" t="s">
        <v>3737</v>
      </c>
      <c r="C601" s="3" t="s">
        <v>3738</v>
      </c>
      <c r="D601" s="3" t="e">
        <f>VLOOKUP(A601,Hebrew!A:C,3,0)</f>
        <v>#N/A</v>
      </c>
      <c r="E601" s="3" t="s">
        <v>3739</v>
      </c>
      <c r="F601" s="3" t="e">
        <f>VLOOKUP($A601,Hebrew!$A:$S,4,0)</f>
        <v>#N/A</v>
      </c>
      <c r="G601" s="3" t="s">
        <v>3740</v>
      </c>
      <c r="H601" s="3" t="s">
        <v>67</v>
      </c>
      <c r="I601" s="3" t="s">
        <v>3741</v>
      </c>
      <c r="J601" s="3" t="s">
        <v>3399</v>
      </c>
      <c r="K601" s="3" t="s">
        <v>3399</v>
      </c>
      <c r="L601" s="3" t="e">
        <f>VLOOKUP($A601,Hebrew!$A:$S,9,0)</f>
        <v>#N/A</v>
      </c>
      <c r="M601" s="2"/>
      <c r="N601" s="2"/>
      <c r="O601" s="3" t="s">
        <v>1553</v>
      </c>
      <c r="P601" s="3" t="s">
        <v>27</v>
      </c>
      <c r="Q601" s="3" t="e">
        <f>VLOOKUP($A601,Hebrew!$A:$S,13,0)</f>
        <v>#N/A</v>
      </c>
      <c r="R601" s="3" t="s">
        <v>28</v>
      </c>
      <c r="S601" s="3" t="s">
        <v>455</v>
      </c>
      <c r="T601" s="3" t="s">
        <v>3742</v>
      </c>
      <c r="U601" s="3" t="s">
        <v>3743</v>
      </c>
      <c r="V601" s="3" t="s">
        <v>3744</v>
      </c>
      <c r="W601" s="3" t="s">
        <v>3745</v>
      </c>
      <c r="X601" s="2"/>
      <c r="Y601" s="2"/>
    </row>
    <row r="602" spans="1:25" hidden="1" x14ac:dyDescent="0.2">
      <c r="A602" s="3">
        <v>1712</v>
      </c>
      <c r="B602" s="4" t="s">
        <v>3746</v>
      </c>
      <c r="C602" s="3" t="s">
        <v>3747</v>
      </c>
      <c r="D602" s="3" t="e">
        <f>VLOOKUP(A602,Hebrew!A:C,3,0)</f>
        <v>#N/A</v>
      </c>
      <c r="E602" s="3" t="s">
        <v>3748</v>
      </c>
      <c r="F602" s="3" t="e">
        <f>VLOOKUP($A602,Hebrew!$A:$S,4,0)</f>
        <v>#N/A</v>
      </c>
      <c r="G602" s="3" t="s">
        <v>1267</v>
      </c>
      <c r="H602" s="2"/>
      <c r="I602" s="2"/>
      <c r="J602" s="3" t="s">
        <v>1324</v>
      </c>
      <c r="K602" s="3" t="s">
        <v>3749</v>
      </c>
      <c r="L602" s="3" t="e">
        <f>VLOOKUP($A602,Hebrew!$A:$S,9,0)</f>
        <v>#N/A</v>
      </c>
      <c r="M602" s="2"/>
      <c r="N602" s="2"/>
      <c r="O602" s="3" t="s">
        <v>26</v>
      </c>
      <c r="P602" s="3" t="s">
        <v>439</v>
      </c>
      <c r="Q602" s="3" t="e">
        <f>VLOOKUP($A602,Hebrew!$A:$S,13,0)</f>
        <v>#N/A</v>
      </c>
      <c r="R602" s="3" t="s">
        <v>2018</v>
      </c>
      <c r="S602" s="3" t="s">
        <v>413</v>
      </c>
      <c r="T602" s="3" t="s">
        <v>3750</v>
      </c>
      <c r="U602" s="3" t="s">
        <v>2721</v>
      </c>
      <c r="V602" s="3" t="s">
        <v>3751</v>
      </c>
      <c r="W602" s="2"/>
      <c r="X602" s="2"/>
      <c r="Y602" s="2"/>
    </row>
    <row r="603" spans="1:25" hidden="1" x14ac:dyDescent="0.2">
      <c r="A603" s="3">
        <v>798</v>
      </c>
      <c r="B603" s="4" t="s">
        <v>3752</v>
      </c>
      <c r="C603" s="3" t="s">
        <v>3753</v>
      </c>
      <c r="D603" s="3" t="e">
        <f>VLOOKUP(A603,Hebrew!A:C,3,0)</f>
        <v>#N/A</v>
      </c>
      <c r="E603" s="3" t="s">
        <v>3754</v>
      </c>
      <c r="F603" s="3" t="e">
        <f>VLOOKUP($A603,Hebrew!$A:$S,4,0)</f>
        <v>#N/A</v>
      </c>
      <c r="G603" s="3" t="s">
        <v>1565</v>
      </c>
      <c r="H603" s="3" t="s">
        <v>1565</v>
      </c>
      <c r="I603" s="3" t="s">
        <v>1565</v>
      </c>
      <c r="J603" s="3" t="s">
        <v>393</v>
      </c>
      <c r="K603" s="3" t="s">
        <v>453</v>
      </c>
      <c r="L603" s="3" t="e">
        <f>VLOOKUP($A603,Hebrew!$A:$S,9,0)</f>
        <v>#N/A</v>
      </c>
      <c r="M603" s="2"/>
      <c r="N603" s="2"/>
      <c r="O603" s="3" t="s">
        <v>426</v>
      </c>
      <c r="P603" s="3" t="s">
        <v>439</v>
      </c>
      <c r="Q603" s="3" t="e">
        <f>VLOOKUP($A603,Hebrew!$A:$S,13,0)</f>
        <v>#N/A</v>
      </c>
      <c r="R603" s="3" t="s">
        <v>396</v>
      </c>
      <c r="S603" s="3" t="s">
        <v>982</v>
      </c>
      <c r="T603" s="3" t="s">
        <v>3755</v>
      </c>
      <c r="U603" s="3" t="s">
        <v>43</v>
      </c>
      <c r="V603" s="3" t="s">
        <v>439</v>
      </c>
      <c r="W603" s="2"/>
      <c r="X603" s="2"/>
      <c r="Y603" s="2"/>
    </row>
    <row r="604" spans="1:25" hidden="1" x14ac:dyDescent="0.2">
      <c r="A604" s="3">
        <v>12</v>
      </c>
      <c r="B604" s="6" t="s">
        <v>3756</v>
      </c>
      <c r="C604" s="3" t="s">
        <v>3757</v>
      </c>
      <c r="D604" s="3" t="e">
        <f>VLOOKUP(A604,Hebrew!A:C,3,0)</f>
        <v>#N/A</v>
      </c>
      <c r="E604" s="3" t="s">
        <v>3758</v>
      </c>
      <c r="F604" s="3" t="e">
        <f>VLOOKUP($A604,Hebrew!$A:$S,4,0)</f>
        <v>#N/A</v>
      </c>
      <c r="G604" s="3" t="s">
        <v>3255</v>
      </c>
      <c r="H604" s="3" t="s">
        <v>2641</v>
      </c>
      <c r="I604" s="3" t="s">
        <v>1247</v>
      </c>
      <c r="J604" s="3" t="s">
        <v>1684</v>
      </c>
      <c r="K604" s="3" t="s">
        <v>3759</v>
      </c>
      <c r="L604" s="3" t="e">
        <f>VLOOKUP($A604,Hebrew!$A:$S,9,0)</f>
        <v>#N/A</v>
      </c>
      <c r="M604" s="3" t="s">
        <v>3760</v>
      </c>
      <c r="N604" s="6" t="s">
        <v>3761</v>
      </c>
      <c r="O604" s="3" t="s">
        <v>26</v>
      </c>
      <c r="P604" s="3" t="s">
        <v>212</v>
      </c>
      <c r="Q604" s="3" t="e">
        <f>VLOOKUP($A604,Hebrew!$A:$S,13,0)</f>
        <v>#N/A</v>
      </c>
      <c r="R604" s="3" t="s">
        <v>1215</v>
      </c>
      <c r="S604" s="3" t="s">
        <v>413</v>
      </c>
      <c r="T604" s="3" t="s">
        <v>3762</v>
      </c>
      <c r="U604" s="3" t="s">
        <v>3763</v>
      </c>
      <c r="V604" s="3" t="s">
        <v>212</v>
      </c>
      <c r="W604" s="2"/>
      <c r="X604" s="2"/>
      <c r="Y604" s="2"/>
    </row>
    <row r="605" spans="1:25" hidden="1" x14ac:dyDescent="0.2">
      <c r="A605" s="3">
        <v>1422</v>
      </c>
      <c r="B605" s="4" t="s">
        <v>3764</v>
      </c>
      <c r="C605" s="3" t="s">
        <v>3765</v>
      </c>
      <c r="D605" s="3" t="e">
        <f>VLOOKUP(A605,Hebrew!A:C,3,0)</f>
        <v>#N/A</v>
      </c>
      <c r="E605" s="3" t="s">
        <v>3766</v>
      </c>
      <c r="F605" s="3" t="e">
        <f>VLOOKUP($A605,Hebrew!$A:$S,4,0)</f>
        <v>#N/A</v>
      </c>
      <c r="G605" s="3" t="s">
        <v>2052</v>
      </c>
      <c r="H605" s="3" t="s">
        <v>946</v>
      </c>
      <c r="I605" s="2"/>
      <c r="J605" s="3" t="s">
        <v>393</v>
      </c>
      <c r="K605" s="3" t="s">
        <v>589</v>
      </c>
      <c r="L605" s="3" t="e">
        <f>VLOOKUP($A605,Hebrew!$A:$S,9,0)</f>
        <v>#N/A</v>
      </c>
      <c r="M605" s="2"/>
      <c r="N605" s="2"/>
      <c r="O605" s="3" t="s">
        <v>26</v>
      </c>
      <c r="P605" s="2"/>
      <c r="Q605" s="3" t="e">
        <f>VLOOKUP($A605,Hebrew!$A:$S,13,0)</f>
        <v>#N/A</v>
      </c>
      <c r="R605" s="3" t="s">
        <v>396</v>
      </c>
      <c r="S605" s="3" t="s">
        <v>397</v>
      </c>
      <c r="T605" s="3" t="s">
        <v>3767</v>
      </c>
      <c r="U605" s="2"/>
      <c r="V605" s="2"/>
      <c r="W605" s="3" t="s">
        <v>3768</v>
      </c>
      <c r="X605" s="2"/>
      <c r="Y605" s="2"/>
    </row>
    <row r="606" spans="1:25" hidden="1" x14ac:dyDescent="0.2">
      <c r="A606" s="3">
        <v>1423</v>
      </c>
      <c r="B606" s="4" t="s">
        <v>3769</v>
      </c>
      <c r="C606" s="3" t="s">
        <v>3770</v>
      </c>
      <c r="D606" s="3" t="e">
        <f>VLOOKUP(A606,Hebrew!A:C,3,0)</f>
        <v>#N/A</v>
      </c>
      <c r="E606" s="3" t="s">
        <v>3771</v>
      </c>
      <c r="F606" s="3" t="e">
        <f>VLOOKUP($A606,Hebrew!$A:$S,4,0)</f>
        <v>#N/A</v>
      </c>
      <c r="G606" s="3" t="s">
        <v>1722</v>
      </c>
      <c r="H606" s="2"/>
      <c r="I606" s="2"/>
      <c r="J606" s="3" t="s">
        <v>393</v>
      </c>
      <c r="K606" s="3" t="s">
        <v>589</v>
      </c>
      <c r="L606" s="3" t="e">
        <f>VLOOKUP($A606,Hebrew!$A:$S,9,0)</f>
        <v>#N/A</v>
      </c>
      <c r="M606" s="2"/>
      <c r="N606" s="2"/>
      <c r="O606" s="3" t="s">
        <v>26</v>
      </c>
      <c r="P606" s="2"/>
      <c r="Q606" s="3" t="e">
        <f>VLOOKUP($A606,Hebrew!$A:$S,13,0)</f>
        <v>#N/A</v>
      </c>
      <c r="R606" s="3" t="s">
        <v>396</v>
      </c>
      <c r="S606" s="3" t="s">
        <v>397</v>
      </c>
      <c r="T606" s="3" t="s">
        <v>3772</v>
      </c>
      <c r="U606" s="2"/>
      <c r="V606" s="2"/>
      <c r="W606" s="2"/>
      <c r="X606" s="2"/>
      <c r="Y606" s="2"/>
    </row>
    <row r="607" spans="1:25" hidden="1" x14ac:dyDescent="0.2">
      <c r="A607" s="3">
        <v>258</v>
      </c>
      <c r="B607" s="4" t="s">
        <v>3773</v>
      </c>
      <c r="C607" s="3" t="s">
        <v>3774</v>
      </c>
      <c r="D607" s="3" t="e">
        <f>VLOOKUP(A607,Hebrew!A:C,3,0)</f>
        <v>#N/A</v>
      </c>
      <c r="E607" s="3" t="s">
        <v>3775</v>
      </c>
      <c r="F607" s="3" t="e">
        <f>VLOOKUP($A607,Hebrew!$A:$S,4,0)</f>
        <v>#N/A</v>
      </c>
      <c r="G607" s="3" t="s">
        <v>3776</v>
      </c>
      <c r="H607" s="2"/>
      <c r="I607" s="2"/>
      <c r="J607" s="3" t="s">
        <v>393</v>
      </c>
      <c r="K607" s="3" t="s">
        <v>3777</v>
      </c>
      <c r="L607" s="3" t="e">
        <f>VLOOKUP($A607,Hebrew!$A:$S,9,0)</f>
        <v>#N/A</v>
      </c>
      <c r="M607" s="2"/>
      <c r="N607" s="2"/>
      <c r="O607" s="3" t="s">
        <v>39</v>
      </c>
      <c r="P607" s="3" t="s">
        <v>439</v>
      </c>
      <c r="Q607" s="3" t="e">
        <f>VLOOKUP($A607,Hebrew!$A:$S,13,0)</f>
        <v>#N/A</v>
      </c>
      <c r="R607" s="3" t="s">
        <v>396</v>
      </c>
      <c r="S607" s="3" t="s">
        <v>405</v>
      </c>
      <c r="T607" s="3" t="s">
        <v>3778</v>
      </c>
      <c r="U607" s="3" t="s">
        <v>43</v>
      </c>
      <c r="V607" s="3" t="s">
        <v>1228</v>
      </c>
      <c r="W607" s="2"/>
      <c r="X607" s="2"/>
      <c r="Y607" s="2"/>
    </row>
    <row r="608" spans="1:25" hidden="1" x14ac:dyDescent="0.2">
      <c r="A608" s="3">
        <v>260</v>
      </c>
      <c r="B608" s="4" t="s">
        <v>3779</v>
      </c>
      <c r="C608" s="3" t="s">
        <v>3780</v>
      </c>
      <c r="D608" s="3" t="e">
        <f>VLOOKUP(A608,Hebrew!A:C,3,0)</f>
        <v>#N/A</v>
      </c>
      <c r="E608" s="3" t="s">
        <v>3781</v>
      </c>
      <c r="F608" s="3" t="e">
        <f>VLOOKUP($A608,Hebrew!$A:$S,4,0)</f>
        <v>#N/A</v>
      </c>
      <c r="G608" s="3" t="s">
        <v>745</v>
      </c>
      <c r="H608" s="2"/>
      <c r="I608" s="2"/>
      <c r="J608" s="3" t="s">
        <v>393</v>
      </c>
      <c r="K608" s="3" t="s">
        <v>491</v>
      </c>
      <c r="L608" s="3" t="e">
        <f>VLOOKUP($A608,Hebrew!$A:$S,9,0)</f>
        <v>#N/A</v>
      </c>
      <c r="M608" s="2"/>
      <c r="N608" s="2"/>
      <c r="O608" s="3" t="s">
        <v>26</v>
      </c>
      <c r="P608" s="3" t="s">
        <v>3782</v>
      </c>
      <c r="Q608" s="3" t="e">
        <f>VLOOKUP($A608,Hebrew!$A:$S,13,0)</f>
        <v>#N/A</v>
      </c>
      <c r="R608" s="3" t="s">
        <v>396</v>
      </c>
      <c r="S608" s="3" t="s">
        <v>413</v>
      </c>
      <c r="T608" s="3" t="s">
        <v>3783</v>
      </c>
      <c r="U608" s="3" t="s">
        <v>43</v>
      </c>
      <c r="V608" s="3" t="s">
        <v>3784</v>
      </c>
      <c r="W608" s="2"/>
      <c r="X608" s="2"/>
      <c r="Y608" s="2"/>
    </row>
    <row r="609" spans="1:25" hidden="1" x14ac:dyDescent="0.2">
      <c r="A609" s="3">
        <v>262</v>
      </c>
      <c r="B609" s="4" t="s">
        <v>3785</v>
      </c>
      <c r="C609" s="3" t="s">
        <v>3786</v>
      </c>
      <c r="D609" s="3" t="e">
        <f>VLOOKUP(A609,Hebrew!A:C,3,0)</f>
        <v>#N/A</v>
      </c>
      <c r="E609" s="3" t="s">
        <v>3787</v>
      </c>
      <c r="F609" s="3" t="e">
        <f>VLOOKUP($A609,Hebrew!$A:$S,4,0)</f>
        <v>#N/A</v>
      </c>
      <c r="G609" s="3" t="s">
        <v>1267</v>
      </c>
      <c r="H609" s="2"/>
      <c r="I609" s="2"/>
      <c r="J609" s="3" t="s">
        <v>393</v>
      </c>
      <c r="K609" s="3" t="s">
        <v>491</v>
      </c>
      <c r="L609" s="3" t="e">
        <f>VLOOKUP($A609,Hebrew!$A:$S,9,0)</f>
        <v>#N/A</v>
      </c>
      <c r="M609" s="2"/>
      <c r="N609" s="2"/>
      <c r="O609" s="3" t="s">
        <v>26</v>
      </c>
      <c r="P609" s="3" t="s">
        <v>27</v>
      </c>
      <c r="Q609" s="3" t="e">
        <f>VLOOKUP($A609,Hebrew!$A:$S,13,0)</f>
        <v>#N/A</v>
      </c>
      <c r="R609" s="3" t="s">
        <v>396</v>
      </c>
      <c r="S609" s="3" t="s">
        <v>413</v>
      </c>
      <c r="T609" s="3" t="s">
        <v>3788</v>
      </c>
      <c r="U609" s="3" t="s">
        <v>43</v>
      </c>
      <c r="V609" s="3" t="s">
        <v>27</v>
      </c>
      <c r="W609" s="2"/>
      <c r="X609" s="2"/>
      <c r="Y609" s="2"/>
    </row>
    <row r="610" spans="1:25" hidden="1" x14ac:dyDescent="0.2">
      <c r="A610" s="3">
        <v>263</v>
      </c>
      <c r="B610" s="4" t="s">
        <v>3789</v>
      </c>
      <c r="C610" s="3" t="s">
        <v>3790</v>
      </c>
      <c r="D610" s="3" t="e">
        <f>VLOOKUP(A610,Hebrew!A:C,3,0)</f>
        <v>#N/A</v>
      </c>
      <c r="E610" s="3" t="s">
        <v>3791</v>
      </c>
      <c r="F610" s="3" t="e">
        <f>VLOOKUP($A610,Hebrew!$A:$S,4,0)</f>
        <v>#N/A</v>
      </c>
      <c r="G610" s="3" t="s">
        <v>810</v>
      </c>
      <c r="H610" s="2"/>
      <c r="I610" s="2"/>
      <c r="J610" s="3" t="s">
        <v>393</v>
      </c>
      <c r="K610" s="3" t="s">
        <v>3792</v>
      </c>
      <c r="L610" s="3" t="e">
        <f>VLOOKUP($A610,Hebrew!$A:$S,9,0)</f>
        <v>#N/A</v>
      </c>
      <c r="M610" s="2"/>
      <c r="N610" s="6" t="s">
        <v>3793</v>
      </c>
      <c r="O610" s="3" t="s">
        <v>26</v>
      </c>
      <c r="P610" s="3" t="s">
        <v>27</v>
      </c>
      <c r="Q610" s="3" t="e">
        <f>VLOOKUP($A610,Hebrew!$A:$S,13,0)</f>
        <v>#N/A</v>
      </c>
      <c r="R610" s="3" t="s">
        <v>396</v>
      </c>
      <c r="S610" s="3" t="s">
        <v>29</v>
      </c>
      <c r="T610" s="3" t="s">
        <v>3794</v>
      </c>
      <c r="U610" s="3" t="s">
        <v>43</v>
      </c>
      <c r="V610" s="3" t="s">
        <v>27</v>
      </c>
      <c r="W610" s="2"/>
      <c r="X610" s="2"/>
      <c r="Y610" s="2"/>
    </row>
    <row r="611" spans="1:25" hidden="1" x14ac:dyDescent="0.2">
      <c r="A611" s="3">
        <v>265</v>
      </c>
      <c r="B611" s="4" t="s">
        <v>3795</v>
      </c>
      <c r="C611" s="3" t="s">
        <v>3796</v>
      </c>
      <c r="D611" s="3" t="e">
        <f>VLOOKUP(A611,Hebrew!A:C,3,0)</f>
        <v>#N/A</v>
      </c>
      <c r="E611" s="3" t="s">
        <v>3797</v>
      </c>
      <c r="F611" s="3" t="e">
        <f>VLOOKUP($A611,Hebrew!$A:$S,4,0)</f>
        <v>#N/A</v>
      </c>
      <c r="G611" s="3" t="s">
        <v>3798</v>
      </c>
      <c r="H611" s="2"/>
      <c r="I611" s="2"/>
      <c r="J611" s="3" t="s">
        <v>393</v>
      </c>
      <c r="K611" s="3" t="s">
        <v>3799</v>
      </c>
      <c r="L611" s="3" t="e">
        <f>VLOOKUP($A611,Hebrew!$A:$S,9,0)</f>
        <v>#N/A</v>
      </c>
      <c r="M611" s="2"/>
      <c r="N611" s="2"/>
      <c r="O611" s="3" t="s">
        <v>39</v>
      </c>
      <c r="P611" s="3" t="s">
        <v>395</v>
      </c>
      <c r="Q611" s="3" t="e">
        <f>VLOOKUP($A611,Hebrew!$A:$S,13,0)</f>
        <v>#N/A</v>
      </c>
      <c r="R611" s="3" t="s">
        <v>396</v>
      </c>
      <c r="S611" s="3" t="s">
        <v>413</v>
      </c>
      <c r="T611" s="3" t="s">
        <v>3800</v>
      </c>
      <c r="U611" s="3" t="s">
        <v>43</v>
      </c>
      <c r="V611" s="3" t="s">
        <v>1109</v>
      </c>
      <c r="W611" s="2"/>
      <c r="X611" s="2"/>
      <c r="Y611" s="2"/>
    </row>
    <row r="612" spans="1:25" hidden="1" x14ac:dyDescent="0.2">
      <c r="A612" s="3">
        <v>267</v>
      </c>
      <c r="B612" s="4" t="s">
        <v>3801</v>
      </c>
      <c r="C612" s="3" t="s">
        <v>3802</v>
      </c>
      <c r="D612" s="3" t="e">
        <f>VLOOKUP(A612,Hebrew!A:C,3,0)</f>
        <v>#N/A</v>
      </c>
      <c r="E612" s="3" t="s">
        <v>3803</v>
      </c>
      <c r="F612" s="3" t="e">
        <f>VLOOKUP($A612,Hebrew!$A:$S,4,0)</f>
        <v>#N/A</v>
      </c>
      <c r="G612" s="3" t="s">
        <v>1057</v>
      </c>
      <c r="H612" s="2"/>
      <c r="I612" s="2"/>
      <c r="J612" s="3" t="s">
        <v>393</v>
      </c>
      <c r="K612" s="3" t="s">
        <v>453</v>
      </c>
      <c r="L612" s="3" t="e">
        <f>VLOOKUP($A612,Hebrew!$A:$S,9,0)</f>
        <v>#N/A</v>
      </c>
      <c r="M612" s="3" t="s">
        <v>1820</v>
      </c>
      <c r="N612" s="2"/>
      <c r="O612" s="3" t="s">
        <v>26</v>
      </c>
      <c r="P612" s="3" t="s">
        <v>395</v>
      </c>
      <c r="Q612" s="3" t="e">
        <f>VLOOKUP($A612,Hebrew!$A:$S,13,0)</f>
        <v>#N/A</v>
      </c>
      <c r="R612" s="3" t="s">
        <v>396</v>
      </c>
      <c r="S612" s="3" t="s">
        <v>405</v>
      </c>
      <c r="T612" s="3" t="s">
        <v>3804</v>
      </c>
      <c r="U612" s="3" t="s">
        <v>43</v>
      </c>
      <c r="V612" s="3" t="s">
        <v>395</v>
      </c>
      <c r="W612" s="2"/>
      <c r="X612" s="2"/>
      <c r="Y612" s="2"/>
    </row>
    <row r="613" spans="1:25" hidden="1" x14ac:dyDescent="0.2">
      <c r="A613" s="3">
        <v>269</v>
      </c>
      <c r="B613" s="4" t="s">
        <v>3805</v>
      </c>
      <c r="C613" s="3" t="s">
        <v>3806</v>
      </c>
      <c r="D613" s="3" t="e">
        <f>VLOOKUP(A613,Hebrew!A:C,3,0)</f>
        <v>#N/A</v>
      </c>
      <c r="E613" s="3" t="s">
        <v>3807</v>
      </c>
      <c r="F613" s="3" t="e">
        <f>VLOOKUP($A613,Hebrew!$A:$S,4,0)</f>
        <v>#N/A</v>
      </c>
      <c r="G613" s="3" t="s">
        <v>833</v>
      </c>
      <c r="H613" s="2"/>
      <c r="I613" s="2"/>
      <c r="J613" s="3" t="s">
        <v>393</v>
      </c>
      <c r="K613" s="3" t="s">
        <v>453</v>
      </c>
      <c r="L613" s="3" t="e">
        <f>VLOOKUP($A613,Hebrew!$A:$S,9,0)</f>
        <v>#N/A</v>
      </c>
      <c r="M613" s="2"/>
      <c r="N613" s="2"/>
      <c r="O613" s="3" t="s">
        <v>426</v>
      </c>
      <c r="P613" s="3" t="s">
        <v>3808</v>
      </c>
      <c r="Q613" s="3" t="e">
        <f>VLOOKUP($A613,Hebrew!$A:$S,13,0)</f>
        <v>#N/A</v>
      </c>
      <c r="R613" s="3" t="s">
        <v>396</v>
      </c>
      <c r="S613" s="3" t="s">
        <v>405</v>
      </c>
      <c r="T613" s="3" t="s">
        <v>3809</v>
      </c>
      <c r="U613" s="3" t="s">
        <v>43</v>
      </c>
      <c r="V613" s="3" t="s">
        <v>71</v>
      </c>
      <c r="W613" s="2"/>
      <c r="X613" s="2"/>
      <c r="Y613" s="2"/>
    </row>
    <row r="614" spans="1:25" hidden="1" x14ac:dyDescent="0.2">
      <c r="A614" s="3">
        <v>1182</v>
      </c>
      <c r="B614" s="4" t="s">
        <v>3810</v>
      </c>
      <c r="C614" s="3" t="s">
        <v>3811</v>
      </c>
      <c r="D614" s="3" t="e">
        <f>VLOOKUP(A614,Hebrew!A:C,3,0)</f>
        <v>#N/A</v>
      </c>
      <c r="E614" s="3" t="s">
        <v>3812</v>
      </c>
      <c r="F614" s="3" t="e">
        <f>VLOOKUP($A614,Hebrew!$A:$S,4,0)</f>
        <v>#N/A</v>
      </c>
      <c r="G614" s="3" t="s">
        <v>1722</v>
      </c>
      <c r="H614" s="3" t="s">
        <v>1997</v>
      </c>
      <c r="I614" s="3" t="s">
        <v>1997</v>
      </c>
      <c r="J614" s="3" t="s">
        <v>393</v>
      </c>
      <c r="K614" s="3" t="s">
        <v>3813</v>
      </c>
      <c r="L614" s="3" t="e">
        <f>VLOOKUP($A614,Hebrew!$A:$S,9,0)</f>
        <v>#N/A</v>
      </c>
      <c r="M614" s="2"/>
      <c r="N614" s="2"/>
      <c r="O614" s="3" t="s">
        <v>602</v>
      </c>
      <c r="P614" s="3" t="s">
        <v>3814</v>
      </c>
      <c r="Q614" s="3" t="e">
        <f>VLOOKUP($A614,Hebrew!$A:$S,13,0)</f>
        <v>#N/A</v>
      </c>
      <c r="R614" s="3" t="s">
        <v>396</v>
      </c>
      <c r="S614" s="3" t="s">
        <v>29</v>
      </c>
      <c r="T614" s="3" t="s">
        <v>3815</v>
      </c>
      <c r="U614" s="3" t="s">
        <v>43</v>
      </c>
      <c r="V614" s="3" t="s">
        <v>3816</v>
      </c>
      <c r="W614" s="2"/>
      <c r="X614" s="2"/>
      <c r="Y614" s="2"/>
    </row>
    <row r="615" spans="1:25" hidden="1" x14ac:dyDescent="0.2">
      <c r="A615" s="3">
        <v>1190</v>
      </c>
      <c r="B615" s="4" t="s">
        <v>3817</v>
      </c>
      <c r="C615" s="3" t="s">
        <v>3818</v>
      </c>
      <c r="D615" s="3" t="e">
        <f>VLOOKUP(A615,Hebrew!A:C,3,0)</f>
        <v>#N/A</v>
      </c>
      <c r="E615" s="3" t="s">
        <v>3819</v>
      </c>
      <c r="F615" s="3" t="e">
        <f>VLOOKUP($A615,Hebrew!$A:$S,4,0)</f>
        <v>#N/A</v>
      </c>
      <c r="G615" s="3" t="s">
        <v>2188</v>
      </c>
      <c r="H615" s="2"/>
      <c r="I615" s="2"/>
      <c r="J615" s="3" t="s">
        <v>393</v>
      </c>
      <c r="K615" s="3" t="s">
        <v>3820</v>
      </c>
      <c r="L615" s="3" t="e">
        <f>VLOOKUP($A615,Hebrew!$A:$S,9,0)</f>
        <v>#N/A</v>
      </c>
      <c r="M615" s="3" t="s">
        <v>1324</v>
      </c>
      <c r="N615" s="4" t="s">
        <v>3821</v>
      </c>
      <c r="O615" s="3" t="s">
        <v>493</v>
      </c>
      <c r="P615" s="3" t="s">
        <v>27</v>
      </c>
      <c r="Q615" s="3" t="e">
        <f>VLOOKUP($A615,Hebrew!$A:$S,13,0)</f>
        <v>#N/A</v>
      </c>
      <c r="R615" s="3" t="s">
        <v>396</v>
      </c>
      <c r="S615" s="3" t="s">
        <v>405</v>
      </c>
      <c r="T615" s="3" t="s">
        <v>3822</v>
      </c>
      <c r="U615" s="3" t="s">
        <v>3823</v>
      </c>
      <c r="V615" s="3" t="s">
        <v>27</v>
      </c>
      <c r="W615" s="2"/>
      <c r="X615" s="2"/>
      <c r="Y615" s="2"/>
    </row>
    <row r="616" spans="1:25" hidden="1" x14ac:dyDescent="0.2">
      <c r="A616" s="3">
        <v>1193</v>
      </c>
      <c r="B616" s="4" t="s">
        <v>3824</v>
      </c>
      <c r="C616" s="3" t="s">
        <v>3825</v>
      </c>
      <c r="D616" s="3" t="e">
        <f>VLOOKUP(A616,Hebrew!A:C,3,0)</f>
        <v>#N/A</v>
      </c>
      <c r="E616" s="3" t="s">
        <v>3826</v>
      </c>
      <c r="F616" s="3" t="e">
        <f>VLOOKUP($A616,Hebrew!$A:$S,4,0)</f>
        <v>#N/A</v>
      </c>
      <c r="G616" s="3" t="s">
        <v>1598</v>
      </c>
      <c r="H616" s="2"/>
      <c r="I616" s="2"/>
      <c r="J616" s="3" t="s">
        <v>393</v>
      </c>
      <c r="K616" s="3" t="s">
        <v>739</v>
      </c>
      <c r="L616" s="3" t="e">
        <f>VLOOKUP($A616,Hebrew!$A:$S,9,0)</f>
        <v>#N/A</v>
      </c>
      <c r="M616" s="2"/>
      <c r="N616" s="2"/>
      <c r="O616" s="3" t="s">
        <v>26</v>
      </c>
      <c r="P616" s="3" t="s">
        <v>71</v>
      </c>
      <c r="Q616" s="3" t="e">
        <f>VLOOKUP($A616,Hebrew!$A:$S,13,0)</f>
        <v>#N/A</v>
      </c>
      <c r="R616" s="3" t="s">
        <v>396</v>
      </c>
      <c r="S616" s="3" t="s">
        <v>455</v>
      </c>
      <c r="T616" s="3" t="s">
        <v>3827</v>
      </c>
      <c r="U616" s="3" t="s">
        <v>43</v>
      </c>
      <c r="V616" s="3" t="s">
        <v>71</v>
      </c>
      <c r="W616" s="2"/>
      <c r="X616" s="2"/>
      <c r="Y616" s="2"/>
    </row>
    <row r="617" spans="1:25" hidden="1" x14ac:dyDescent="0.2">
      <c r="A617" s="3">
        <v>1194</v>
      </c>
      <c r="B617" s="4" t="s">
        <v>3828</v>
      </c>
      <c r="C617" s="3" t="s">
        <v>3829</v>
      </c>
      <c r="D617" s="3" t="e">
        <f>VLOOKUP(A617,Hebrew!A:C,3,0)</f>
        <v>#N/A</v>
      </c>
      <c r="E617" s="3" t="s">
        <v>3830</v>
      </c>
      <c r="F617" s="3" t="e">
        <f>VLOOKUP($A617,Hebrew!$A:$S,4,0)</f>
        <v>#N/A</v>
      </c>
      <c r="G617" s="3" t="s">
        <v>3831</v>
      </c>
      <c r="H617" s="2"/>
      <c r="I617" s="2"/>
      <c r="J617" s="3" t="s">
        <v>393</v>
      </c>
      <c r="K617" s="3" t="s">
        <v>739</v>
      </c>
      <c r="L617" s="3" t="e">
        <f>VLOOKUP($A617,Hebrew!$A:$S,9,0)</f>
        <v>#N/A</v>
      </c>
      <c r="M617" s="2"/>
      <c r="N617" s="2"/>
      <c r="O617" s="3" t="s">
        <v>412</v>
      </c>
      <c r="P617" s="3" t="s">
        <v>2926</v>
      </c>
      <c r="Q617" s="3" t="e">
        <f>VLOOKUP($A617,Hebrew!$A:$S,13,0)</f>
        <v>#N/A</v>
      </c>
      <c r="R617" s="3" t="s">
        <v>396</v>
      </c>
      <c r="S617" s="3" t="s">
        <v>405</v>
      </c>
      <c r="T617" s="3" t="s">
        <v>3832</v>
      </c>
      <c r="U617" s="3" t="s">
        <v>43</v>
      </c>
      <c r="V617" s="3" t="s">
        <v>3526</v>
      </c>
      <c r="W617" s="2"/>
      <c r="X617" s="2"/>
      <c r="Y617" s="2"/>
    </row>
    <row r="618" spans="1:25" hidden="1" x14ac:dyDescent="0.2">
      <c r="A618" s="3">
        <v>29</v>
      </c>
      <c r="B618" s="4" t="s">
        <v>3833</v>
      </c>
      <c r="C618" s="3" t="s">
        <v>3834</v>
      </c>
      <c r="D618" s="3" t="e">
        <f>VLOOKUP(A618,Hebrew!A:C,3,0)</f>
        <v>#N/A</v>
      </c>
      <c r="E618" s="3" t="s">
        <v>3835</v>
      </c>
      <c r="F618" s="3" t="e">
        <f>VLOOKUP($A618,Hebrew!$A:$S,4,0)</f>
        <v>#N/A</v>
      </c>
      <c r="G618" s="3" t="s">
        <v>2519</v>
      </c>
      <c r="H618" s="3" t="s">
        <v>3836</v>
      </c>
      <c r="I618" s="3" t="s">
        <v>3837</v>
      </c>
      <c r="J618" s="3" t="s">
        <v>3838</v>
      </c>
      <c r="K618" s="3" t="s">
        <v>3839</v>
      </c>
      <c r="L618" s="3" t="e">
        <f>VLOOKUP($A618,Hebrew!$A:$S,9,0)</f>
        <v>#N/A</v>
      </c>
      <c r="M618" s="2"/>
      <c r="N618" s="2"/>
      <c r="O618" s="3" t="s">
        <v>26</v>
      </c>
      <c r="P618" s="3" t="s">
        <v>27</v>
      </c>
      <c r="Q618" s="3" t="e">
        <f>VLOOKUP($A618,Hebrew!$A:$S,13,0)</f>
        <v>#N/A</v>
      </c>
      <c r="R618" s="3" t="s">
        <v>61</v>
      </c>
      <c r="S618" s="3" t="s">
        <v>29</v>
      </c>
      <c r="T618" s="3" t="s">
        <v>3840</v>
      </c>
      <c r="U618" s="3" t="s">
        <v>3841</v>
      </c>
      <c r="V618" s="3" t="s">
        <v>3842</v>
      </c>
      <c r="W618" s="3" t="s">
        <v>261</v>
      </c>
      <c r="X618" s="2"/>
      <c r="Y618" s="2"/>
    </row>
    <row r="619" spans="1:25" hidden="1" x14ac:dyDescent="0.2">
      <c r="A619" s="3">
        <v>40</v>
      </c>
      <c r="B619" s="4" t="s">
        <v>3843</v>
      </c>
      <c r="C619" s="3" t="s">
        <v>3844</v>
      </c>
      <c r="D619" s="3" t="e">
        <f>VLOOKUP(A619,Hebrew!A:C,3,0)</f>
        <v>#N/A</v>
      </c>
      <c r="E619" s="3" t="s">
        <v>3845</v>
      </c>
      <c r="F619" s="3" t="e">
        <f>VLOOKUP($A619,Hebrew!$A:$S,4,0)</f>
        <v>#N/A</v>
      </c>
      <c r="G619" s="3" t="s">
        <v>3846</v>
      </c>
      <c r="H619" s="3" t="s">
        <v>2608</v>
      </c>
      <c r="I619" s="3" t="s">
        <v>3847</v>
      </c>
      <c r="J619" s="3" t="s">
        <v>48</v>
      </c>
      <c r="K619" s="3" t="s">
        <v>3848</v>
      </c>
      <c r="L619" s="3" t="e">
        <f>VLOOKUP($A619,Hebrew!$A:$S,9,0)</f>
        <v>#N/A</v>
      </c>
      <c r="M619" s="2"/>
      <c r="N619" s="6" t="s">
        <v>3849</v>
      </c>
      <c r="O619" s="3" t="s">
        <v>26</v>
      </c>
      <c r="P619" s="3" t="s">
        <v>27</v>
      </c>
      <c r="Q619" s="3" t="e">
        <f>VLOOKUP($A619,Hebrew!$A:$S,13,0)</f>
        <v>#N/A</v>
      </c>
      <c r="R619" s="3" t="s">
        <v>28</v>
      </c>
      <c r="S619" s="3" t="s">
        <v>29</v>
      </c>
      <c r="T619" s="3" t="s">
        <v>3850</v>
      </c>
      <c r="U619" s="3" t="s">
        <v>3851</v>
      </c>
      <c r="V619" s="3" t="s">
        <v>3852</v>
      </c>
      <c r="W619" s="2"/>
      <c r="X619" s="2"/>
      <c r="Y619" s="2"/>
    </row>
    <row r="620" spans="1:25" hidden="1" x14ac:dyDescent="0.2">
      <c r="A620" s="3">
        <v>1837</v>
      </c>
      <c r="B620" s="4" t="s">
        <v>3853</v>
      </c>
      <c r="C620" s="3" t="s">
        <v>3854</v>
      </c>
      <c r="D620" s="3" t="e">
        <f>VLOOKUP(A620,Hebrew!A:C,3,0)</f>
        <v>#N/A</v>
      </c>
      <c r="E620" s="3" t="s">
        <v>3855</v>
      </c>
      <c r="F620" s="3" t="e">
        <f>VLOOKUP($A620,Hebrew!$A:$S,4,0)</f>
        <v>#N/A</v>
      </c>
      <c r="G620" s="3" t="s">
        <v>3398</v>
      </c>
      <c r="H620" s="2"/>
      <c r="I620" s="2"/>
      <c r="J620" s="3" t="s">
        <v>2831</v>
      </c>
      <c r="K620" s="3" t="s">
        <v>3856</v>
      </c>
      <c r="L620" s="3" t="e">
        <f>VLOOKUP($A620,Hebrew!$A:$S,9,0)</f>
        <v>#N/A</v>
      </c>
      <c r="M620" s="2"/>
      <c r="N620" s="2"/>
      <c r="O620" s="3" t="s">
        <v>26</v>
      </c>
      <c r="P620" s="3" t="s">
        <v>1459</v>
      </c>
      <c r="Q620" s="3" t="e">
        <f>VLOOKUP($A620,Hebrew!$A:$S,13,0)</f>
        <v>#N/A</v>
      </c>
      <c r="R620" s="3" t="s">
        <v>41</v>
      </c>
      <c r="S620" s="3" t="s">
        <v>397</v>
      </c>
      <c r="T620" s="3" t="s">
        <v>3857</v>
      </c>
      <c r="U620" s="3" t="s">
        <v>95</v>
      </c>
      <c r="V620" s="3" t="s">
        <v>1459</v>
      </c>
      <c r="W620" s="3" t="s">
        <v>1348</v>
      </c>
      <c r="X620" s="2"/>
      <c r="Y620" s="2"/>
    </row>
    <row r="621" spans="1:25" hidden="1" x14ac:dyDescent="0.2">
      <c r="A621" s="3">
        <v>1983</v>
      </c>
      <c r="B621" s="4" t="s">
        <v>3858</v>
      </c>
      <c r="C621" s="3" t="s">
        <v>3859</v>
      </c>
      <c r="D621" s="3" t="e">
        <f>VLOOKUP(A621,Hebrew!A:C,3,0)</f>
        <v>#N/A</v>
      </c>
      <c r="E621" s="3" t="s">
        <v>3860</v>
      </c>
      <c r="F621" s="3" t="e">
        <f>VLOOKUP($A621,Hebrew!$A:$S,4,0)</f>
        <v>#N/A</v>
      </c>
      <c r="G621" s="3" t="s">
        <v>3861</v>
      </c>
      <c r="H621" s="2"/>
      <c r="I621" s="2"/>
      <c r="J621" s="3" t="s">
        <v>135</v>
      </c>
      <c r="K621" s="3" t="s">
        <v>3862</v>
      </c>
      <c r="L621" s="3" t="e">
        <f>VLOOKUP($A621,Hebrew!$A:$S,9,0)</f>
        <v>#N/A</v>
      </c>
      <c r="M621" s="2"/>
      <c r="N621" s="6" t="s">
        <v>3863</v>
      </c>
      <c r="O621" s="3" t="s">
        <v>26</v>
      </c>
      <c r="P621" s="3" t="s">
        <v>212</v>
      </c>
      <c r="Q621" s="3" t="e">
        <f>VLOOKUP($A621,Hebrew!$A:$S,13,0)</f>
        <v>#N/A</v>
      </c>
      <c r="R621" s="3" t="s">
        <v>1215</v>
      </c>
      <c r="S621" s="3" t="s">
        <v>397</v>
      </c>
      <c r="T621" s="3" t="s">
        <v>3864</v>
      </c>
      <c r="U621" s="3" t="s">
        <v>43</v>
      </c>
      <c r="V621" s="3" t="s">
        <v>3865</v>
      </c>
      <c r="W621" s="3" t="s">
        <v>3866</v>
      </c>
      <c r="X621" s="2"/>
      <c r="Y621" s="2"/>
    </row>
    <row r="622" spans="1:25" hidden="1" x14ac:dyDescent="0.2">
      <c r="A622" s="3">
        <v>22</v>
      </c>
      <c r="B622" s="4" t="s">
        <v>3867</v>
      </c>
      <c r="C622" s="3" t="s">
        <v>3868</v>
      </c>
      <c r="D622" s="3" t="e">
        <f>VLOOKUP(A622,Hebrew!A:C,3,0)</f>
        <v>#N/A</v>
      </c>
      <c r="E622" s="3" t="s">
        <v>3869</v>
      </c>
      <c r="F622" s="3" t="e">
        <f>VLOOKUP($A622,Hebrew!$A:$S,4,0)</f>
        <v>#N/A</v>
      </c>
      <c r="G622" s="3" t="s">
        <v>1955</v>
      </c>
      <c r="H622" s="3" t="s">
        <v>523</v>
      </c>
      <c r="I622" s="3" t="s">
        <v>973</v>
      </c>
      <c r="J622" s="3" t="s">
        <v>3870</v>
      </c>
      <c r="K622" s="3" t="s">
        <v>3870</v>
      </c>
      <c r="L622" s="3" t="e">
        <f>VLOOKUP($A622,Hebrew!$A:$S,9,0)</f>
        <v>#N/A</v>
      </c>
      <c r="M622" s="2"/>
      <c r="N622" s="2"/>
      <c r="O622" s="3" t="s">
        <v>26</v>
      </c>
      <c r="P622" s="3" t="s">
        <v>27</v>
      </c>
      <c r="Q622" s="3" t="e">
        <f>VLOOKUP($A622,Hebrew!$A:$S,13,0)</f>
        <v>#N/A</v>
      </c>
      <c r="R622" s="3" t="s">
        <v>2018</v>
      </c>
      <c r="S622" s="3" t="s">
        <v>29</v>
      </c>
      <c r="T622" s="3" t="s">
        <v>3871</v>
      </c>
      <c r="U622" s="3" t="s">
        <v>3872</v>
      </c>
      <c r="V622" s="3" t="s">
        <v>27</v>
      </c>
      <c r="W622" s="2"/>
      <c r="X622" s="2"/>
      <c r="Y622" s="2"/>
    </row>
    <row r="623" spans="1:25" hidden="1" x14ac:dyDescent="0.2">
      <c r="A623" s="3">
        <v>1296</v>
      </c>
      <c r="B623" s="4" t="s">
        <v>3873</v>
      </c>
      <c r="C623" s="3" t="s">
        <v>3874</v>
      </c>
      <c r="D623" s="3" t="e">
        <f>VLOOKUP(A623,Hebrew!A:C,3,0)</f>
        <v>#N/A</v>
      </c>
      <c r="E623" s="3" t="s">
        <v>3875</v>
      </c>
      <c r="F623" s="3" t="e">
        <f>VLOOKUP($A623,Hebrew!$A:$S,4,0)</f>
        <v>#N/A</v>
      </c>
      <c r="G623" s="7">
        <v>45344</v>
      </c>
      <c r="H623" s="7">
        <v>45344</v>
      </c>
      <c r="I623" s="7">
        <v>45344</v>
      </c>
      <c r="J623" s="3" t="s">
        <v>3876</v>
      </c>
      <c r="K623" s="3" t="s">
        <v>3877</v>
      </c>
      <c r="L623" s="3" t="e">
        <f>VLOOKUP($A623,Hebrew!$A:$S,9,0)</f>
        <v>#N/A</v>
      </c>
      <c r="M623" s="2"/>
      <c r="N623" s="2"/>
      <c r="O623" s="3" t="s">
        <v>26</v>
      </c>
      <c r="P623" s="3" t="s">
        <v>27</v>
      </c>
      <c r="Q623" s="3" t="e">
        <f>VLOOKUP($A623,Hebrew!$A:$S,13,0)</f>
        <v>#N/A</v>
      </c>
      <c r="R623" s="3" t="s">
        <v>1694</v>
      </c>
      <c r="S623" s="3" t="s">
        <v>397</v>
      </c>
      <c r="T623" s="3" t="s">
        <v>3878</v>
      </c>
      <c r="U623" s="3" t="s">
        <v>3879</v>
      </c>
      <c r="V623" s="3" t="s">
        <v>3880</v>
      </c>
      <c r="W623" s="2"/>
      <c r="X623" s="2"/>
      <c r="Y623" s="2"/>
    </row>
    <row r="624" spans="1:25" hidden="1" x14ac:dyDescent="0.2">
      <c r="A624" s="3">
        <v>298</v>
      </c>
      <c r="B624" s="4" t="s">
        <v>3881</v>
      </c>
      <c r="C624" s="3" t="s">
        <v>3882</v>
      </c>
      <c r="D624" s="3" t="e">
        <f>VLOOKUP(A624,Hebrew!A:C,3,0)</f>
        <v>#N/A</v>
      </c>
      <c r="E624" s="3" t="s">
        <v>3883</v>
      </c>
      <c r="F624" s="3" t="e">
        <f>VLOOKUP($A624,Hebrew!$A:$S,4,0)</f>
        <v>#N/A</v>
      </c>
      <c r="G624" s="3" t="s">
        <v>558</v>
      </c>
      <c r="H624" s="2"/>
      <c r="I624" s="2"/>
      <c r="J624" s="3" t="s">
        <v>36</v>
      </c>
      <c r="K624" s="3" t="s">
        <v>3884</v>
      </c>
      <c r="L624" s="3" t="e">
        <f>VLOOKUP($A624,Hebrew!$A:$S,9,0)</f>
        <v>#N/A</v>
      </c>
      <c r="M624" s="2"/>
      <c r="N624" s="2"/>
      <c r="O624" s="3" t="s">
        <v>39</v>
      </c>
      <c r="P624" s="3" t="s">
        <v>27</v>
      </c>
      <c r="Q624" s="3" t="e">
        <f>VLOOKUP($A624,Hebrew!$A:$S,13,0)</f>
        <v>#N/A</v>
      </c>
      <c r="R624" s="3" t="s">
        <v>1215</v>
      </c>
      <c r="S624" s="3" t="s">
        <v>397</v>
      </c>
      <c r="T624" s="3" t="s">
        <v>3885</v>
      </c>
      <c r="U624" s="3" t="s">
        <v>43</v>
      </c>
      <c r="V624" s="3" t="s">
        <v>3886</v>
      </c>
      <c r="W624" s="2"/>
      <c r="X624" s="2"/>
      <c r="Y624" s="2"/>
    </row>
    <row r="625" spans="1:25" hidden="1" x14ac:dyDescent="0.2">
      <c r="A625" s="3">
        <v>922</v>
      </c>
      <c r="B625" s="4" t="s">
        <v>3887</v>
      </c>
      <c r="C625" s="3" t="s">
        <v>3888</v>
      </c>
      <c r="D625" s="3" t="e">
        <f>VLOOKUP(A625,Hebrew!A:C,3,0)</f>
        <v>#N/A</v>
      </c>
      <c r="E625" s="3" t="s">
        <v>3889</v>
      </c>
      <c r="F625" s="3" t="e">
        <f>VLOOKUP($A625,Hebrew!$A:$S,4,0)</f>
        <v>#N/A</v>
      </c>
      <c r="G625" s="3" t="s">
        <v>3890</v>
      </c>
      <c r="H625" s="3" t="s">
        <v>2608</v>
      </c>
      <c r="I625" s="3" t="s">
        <v>2608</v>
      </c>
      <c r="J625" s="3" t="s">
        <v>3399</v>
      </c>
      <c r="K625" s="2"/>
      <c r="L625" s="3" t="e">
        <f>VLOOKUP($A625,Hebrew!$A:$S,9,0)</f>
        <v>#N/A</v>
      </c>
      <c r="M625" s="2"/>
      <c r="N625" s="6" t="s">
        <v>3891</v>
      </c>
      <c r="O625" s="3" t="s">
        <v>26</v>
      </c>
      <c r="P625" s="3" t="s">
        <v>3892</v>
      </c>
      <c r="Q625" s="3" t="e">
        <f>VLOOKUP($A625,Hebrew!$A:$S,13,0)</f>
        <v>#N/A</v>
      </c>
      <c r="R625" s="3" t="s">
        <v>28</v>
      </c>
      <c r="S625" s="3" t="s">
        <v>2005</v>
      </c>
      <c r="T625" s="3" t="s">
        <v>3893</v>
      </c>
      <c r="U625" s="3" t="s">
        <v>3894</v>
      </c>
      <c r="V625" s="3" t="s">
        <v>709</v>
      </c>
      <c r="W625" s="2"/>
      <c r="X625" s="2"/>
      <c r="Y625" s="2"/>
    </row>
    <row r="626" spans="1:25" hidden="1" x14ac:dyDescent="0.2">
      <c r="A626" s="3">
        <v>2093</v>
      </c>
      <c r="B626" s="4" t="s">
        <v>3895</v>
      </c>
      <c r="C626" s="3" t="s">
        <v>3896</v>
      </c>
      <c r="D626" s="3" t="e">
        <f>VLOOKUP(A626,Hebrew!A:C,3,0)</f>
        <v>#N/A</v>
      </c>
      <c r="E626" s="3" t="s">
        <v>3897</v>
      </c>
      <c r="F626" s="3" t="e">
        <f>VLOOKUP($A626,Hebrew!$A:$S,4,0)</f>
        <v>#N/A</v>
      </c>
      <c r="G626" s="3" t="s">
        <v>1655</v>
      </c>
      <c r="H626" s="2"/>
      <c r="I626" s="2"/>
      <c r="J626" s="3" t="s">
        <v>2831</v>
      </c>
      <c r="K626" s="3" t="s">
        <v>3898</v>
      </c>
      <c r="L626" s="3" t="e">
        <f>VLOOKUP($A626,Hebrew!$A:$S,9,0)</f>
        <v>#N/A</v>
      </c>
      <c r="M626" s="2"/>
      <c r="N626" s="2"/>
      <c r="O626" s="3" t="s">
        <v>26</v>
      </c>
      <c r="P626" s="3" t="s">
        <v>27</v>
      </c>
      <c r="Q626" s="3" t="e">
        <f>VLOOKUP($A626,Hebrew!$A:$S,13,0)</f>
        <v>#N/A</v>
      </c>
      <c r="R626" s="3" t="s">
        <v>1215</v>
      </c>
      <c r="S626" s="3" t="s">
        <v>397</v>
      </c>
      <c r="T626" s="3" t="s">
        <v>3899</v>
      </c>
      <c r="U626" s="3" t="s">
        <v>3900</v>
      </c>
      <c r="V626" s="3" t="s">
        <v>27</v>
      </c>
      <c r="W626" s="2"/>
      <c r="X626" s="2"/>
      <c r="Y626" s="2"/>
    </row>
    <row r="627" spans="1:25" hidden="1" x14ac:dyDescent="0.2">
      <c r="A627" s="3">
        <v>379</v>
      </c>
      <c r="B627" s="4" t="s">
        <v>3901</v>
      </c>
      <c r="C627" s="3" t="s">
        <v>3902</v>
      </c>
      <c r="D627" s="3" t="e">
        <f>VLOOKUP(A627,Hebrew!A:C,3,0)</f>
        <v>#N/A</v>
      </c>
      <c r="E627" s="3" t="s">
        <v>3903</v>
      </c>
      <c r="F627" s="3" t="e">
        <f>VLOOKUP($A627,Hebrew!$A:$S,4,0)</f>
        <v>#N/A</v>
      </c>
      <c r="G627" s="3" t="s">
        <v>2930</v>
      </c>
      <c r="H627" s="3" t="s">
        <v>2930</v>
      </c>
      <c r="I627" s="3" t="s">
        <v>2930</v>
      </c>
      <c r="J627" s="3" t="s">
        <v>36</v>
      </c>
      <c r="K627" s="3" t="s">
        <v>3904</v>
      </c>
      <c r="L627" s="3" t="e">
        <f>VLOOKUP($A627,Hebrew!$A:$S,9,0)</f>
        <v>#N/A</v>
      </c>
      <c r="M627" s="2"/>
      <c r="N627" s="2"/>
      <c r="O627" s="3" t="s">
        <v>39</v>
      </c>
      <c r="P627" s="3" t="s">
        <v>860</v>
      </c>
      <c r="Q627" s="3" t="e">
        <f>VLOOKUP($A627,Hebrew!$A:$S,13,0)</f>
        <v>#N/A</v>
      </c>
      <c r="R627" s="3" t="s">
        <v>1215</v>
      </c>
      <c r="S627" s="3" t="s">
        <v>397</v>
      </c>
      <c r="T627" s="3" t="s">
        <v>3905</v>
      </c>
      <c r="U627" s="3" t="s">
        <v>3906</v>
      </c>
      <c r="V627" s="3" t="s">
        <v>3907</v>
      </c>
      <c r="W627" s="3" t="s">
        <v>3908</v>
      </c>
      <c r="X627" s="2"/>
      <c r="Y627" s="2"/>
    </row>
    <row r="628" spans="1:25" hidden="1" x14ac:dyDescent="0.2">
      <c r="A628" s="3">
        <v>1977</v>
      </c>
      <c r="B628" s="4" t="s">
        <v>3909</v>
      </c>
      <c r="C628" s="3" t="s">
        <v>3910</v>
      </c>
      <c r="D628" s="3" t="e">
        <f>VLOOKUP(A628,Hebrew!A:C,3,0)</f>
        <v>#N/A</v>
      </c>
      <c r="E628" s="3" t="s">
        <v>3911</v>
      </c>
      <c r="F628" s="3" t="e">
        <f>VLOOKUP($A628,Hebrew!$A:$S,4,0)</f>
        <v>#N/A</v>
      </c>
      <c r="G628" s="3" t="s">
        <v>2571</v>
      </c>
      <c r="H628" s="2"/>
      <c r="I628" s="2"/>
      <c r="J628" s="3" t="s">
        <v>1684</v>
      </c>
      <c r="K628" s="3" t="s">
        <v>3912</v>
      </c>
      <c r="L628" s="3" t="e">
        <f>VLOOKUP($A628,Hebrew!$A:$S,9,0)</f>
        <v>#N/A</v>
      </c>
      <c r="M628" s="2"/>
      <c r="N628" s="2"/>
      <c r="O628" s="3" t="s">
        <v>26</v>
      </c>
      <c r="P628" s="3" t="s">
        <v>3913</v>
      </c>
      <c r="Q628" s="3" t="e">
        <f>VLOOKUP($A628,Hebrew!$A:$S,13,0)</f>
        <v>#N/A</v>
      </c>
      <c r="R628" s="3" t="s">
        <v>1215</v>
      </c>
      <c r="S628" s="3" t="s">
        <v>2005</v>
      </c>
      <c r="T628" s="3" t="s">
        <v>3914</v>
      </c>
      <c r="U628" s="3" t="s">
        <v>2925</v>
      </c>
      <c r="V628" s="3" t="s">
        <v>3915</v>
      </c>
      <c r="W628" s="3" t="s">
        <v>3916</v>
      </c>
      <c r="X628" s="2"/>
      <c r="Y628" s="2"/>
    </row>
    <row r="629" spans="1:25" hidden="1" x14ac:dyDescent="0.2">
      <c r="A629" s="3">
        <v>946</v>
      </c>
      <c r="B629" s="4" t="s">
        <v>3917</v>
      </c>
      <c r="C629" s="3" t="s">
        <v>3918</v>
      </c>
      <c r="D629" s="3" t="e">
        <f>VLOOKUP(A629,Hebrew!A:C,3,0)</f>
        <v>#N/A</v>
      </c>
      <c r="E629" s="3" t="s">
        <v>3919</v>
      </c>
      <c r="F629" s="3" t="e">
        <f>VLOOKUP($A629,Hebrew!$A:$S,4,0)</f>
        <v>#N/A</v>
      </c>
      <c r="G629" s="3" t="s">
        <v>297</v>
      </c>
      <c r="H629" s="3" t="s">
        <v>3920</v>
      </c>
      <c r="I629" s="3" t="s">
        <v>3733</v>
      </c>
      <c r="J629" s="3" t="s">
        <v>3921</v>
      </c>
      <c r="K629" s="3" t="s">
        <v>3922</v>
      </c>
      <c r="L629" s="3" t="e">
        <f>VLOOKUP($A629,Hebrew!$A:$S,9,0)</f>
        <v>#N/A</v>
      </c>
      <c r="M629" s="2"/>
      <c r="N629" s="6" t="s">
        <v>3923</v>
      </c>
      <c r="O629" s="3" t="s">
        <v>39</v>
      </c>
      <c r="P629" s="3" t="s">
        <v>60</v>
      </c>
      <c r="Q629" s="3" t="e">
        <f>VLOOKUP($A629,Hebrew!$A:$S,13,0)</f>
        <v>#N/A</v>
      </c>
      <c r="R629" s="3" t="s">
        <v>2563</v>
      </c>
      <c r="S629" s="3" t="s">
        <v>29</v>
      </c>
      <c r="T629" s="3" t="s">
        <v>3924</v>
      </c>
      <c r="U629" s="3" t="s">
        <v>3925</v>
      </c>
      <c r="V629" s="3" t="s">
        <v>60</v>
      </c>
      <c r="W629" s="3" t="s">
        <v>3926</v>
      </c>
      <c r="X629" s="2"/>
      <c r="Y629" s="2"/>
    </row>
    <row r="630" spans="1:25" hidden="1" x14ac:dyDescent="0.2">
      <c r="A630" s="3">
        <v>947</v>
      </c>
      <c r="B630" s="4" t="s">
        <v>3927</v>
      </c>
      <c r="C630" s="3" t="s">
        <v>3928</v>
      </c>
      <c r="D630" s="3" t="e">
        <f>VLOOKUP(A630,Hebrew!A:C,3,0)</f>
        <v>#N/A</v>
      </c>
      <c r="E630" s="3" t="s">
        <v>3929</v>
      </c>
      <c r="F630" s="3" t="e">
        <f>VLOOKUP($A630,Hebrew!$A:$S,4,0)</f>
        <v>#N/A</v>
      </c>
      <c r="G630" s="3" t="s">
        <v>1907</v>
      </c>
      <c r="H630" s="3" t="s">
        <v>251</v>
      </c>
      <c r="I630" s="3" t="s">
        <v>284</v>
      </c>
      <c r="J630" s="3" t="s">
        <v>3921</v>
      </c>
      <c r="K630" s="3" t="s">
        <v>3922</v>
      </c>
      <c r="L630" s="3" t="e">
        <f>VLOOKUP($A630,Hebrew!$A:$S,9,0)</f>
        <v>#N/A</v>
      </c>
      <c r="M630" s="2"/>
      <c r="N630" s="6" t="s">
        <v>3930</v>
      </c>
      <c r="O630" s="3" t="s">
        <v>39</v>
      </c>
      <c r="P630" s="3" t="s">
        <v>60</v>
      </c>
      <c r="Q630" s="3" t="e">
        <f>VLOOKUP($A630,Hebrew!$A:$S,13,0)</f>
        <v>#N/A</v>
      </c>
      <c r="R630" s="3" t="s">
        <v>2563</v>
      </c>
      <c r="S630" s="3" t="s">
        <v>29</v>
      </c>
      <c r="T630" s="3" t="s">
        <v>3931</v>
      </c>
      <c r="U630" s="3" t="s">
        <v>3932</v>
      </c>
      <c r="V630" s="3" t="s">
        <v>60</v>
      </c>
      <c r="W630" s="3" t="s">
        <v>3933</v>
      </c>
      <c r="X630" s="2"/>
      <c r="Y630" s="2"/>
    </row>
    <row r="631" spans="1:25" hidden="1" x14ac:dyDescent="0.2">
      <c r="A631" s="3">
        <v>948</v>
      </c>
      <c r="B631" s="4" t="s">
        <v>3934</v>
      </c>
      <c r="C631" s="3" t="s">
        <v>3935</v>
      </c>
      <c r="D631" s="3" t="e">
        <f>VLOOKUP(A631,Hebrew!A:C,3,0)</f>
        <v>#N/A</v>
      </c>
      <c r="E631" s="3" t="s">
        <v>3936</v>
      </c>
      <c r="F631" s="3" t="e">
        <f>VLOOKUP($A631,Hebrew!$A:$S,4,0)</f>
        <v>#N/A</v>
      </c>
      <c r="G631" s="3" t="s">
        <v>3937</v>
      </c>
      <c r="H631" s="3" t="s">
        <v>3938</v>
      </c>
      <c r="I631" s="3" t="s">
        <v>2793</v>
      </c>
      <c r="J631" s="3" t="s">
        <v>3921</v>
      </c>
      <c r="K631" s="3" t="s">
        <v>3922</v>
      </c>
      <c r="L631" s="3" t="e">
        <f>VLOOKUP($A631,Hebrew!$A:$S,9,0)</f>
        <v>#N/A</v>
      </c>
      <c r="M631" s="2"/>
      <c r="N631" s="6" t="s">
        <v>3939</v>
      </c>
      <c r="O631" s="3" t="s">
        <v>39</v>
      </c>
      <c r="P631" s="3" t="s">
        <v>60</v>
      </c>
      <c r="Q631" s="3" t="e">
        <f>VLOOKUP($A631,Hebrew!$A:$S,13,0)</f>
        <v>#N/A</v>
      </c>
      <c r="R631" s="3" t="s">
        <v>2563</v>
      </c>
      <c r="S631" s="3" t="s">
        <v>29</v>
      </c>
      <c r="T631" s="3" t="s">
        <v>3940</v>
      </c>
      <c r="U631" s="3" t="s">
        <v>3669</v>
      </c>
      <c r="V631" s="3" t="s">
        <v>60</v>
      </c>
      <c r="W631" s="3" t="s">
        <v>3933</v>
      </c>
      <c r="X631" s="2"/>
      <c r="Y631" s="2"/>
    </row>
    <row r="632" spans="1:25" hidden="1" x14ac:dyDescent="0.2">
      <c r="A632" s="3">
        <v>967</v>
      </c>
      <c r="B632" s="4" t="s">
        <v>3941</v>
      </c>
      <c r="C632" s="3" t="s">
        <v>3942</v>
      </c>
      <c r="D632" s="3" t="e">
        <f>VLOOKUP(A632,Hebrew!A:C,3,0)</f>
        <v>#N/A</v>
      </c>
      <c r="E632" s="3" t="s">
        <v>3943</v>
      </c>
      <c r="F632" s="3" t="e">
        <f>VLOOKUP($A632,Hebrew!$A:$S,4,0)</f>
        <v>#N/A</v>
      </c>
      <c r="G632" s="3" t="s">
        <v>2369</v>
      </c>
      <c r="H632" s="2"/>
      <c r="I632" s="2"/>
      <c r="J632" s="3" t="s">
        <v>173</v>
      </c>
      <c r="K632" s="3" t="s">
        <v>3944</v>
      </c>
      <c r="L632" s="3" t="e">
        <f>VLOOKUP($A632,Hebrew!$A:$S,9,0)</f>
        <v>#N/A</v>
      </c>
      <c r="M632" s="2"/>
      <c r="N632" s="2"/>
      <c r="O632" s="3" t="s">
        <v>26</v>
      </c>
      <c r="P632" s="3" t="s">
        <v>27</v>
      </c>
      <c r="Q632" s="3" t="e">
        <f>VLOOKUP($A632,Hebrew!$A:$S,13,0)</f>
        <v>#N/A</v>
      </c>
      <c r="R632" s="3" t="s">
        <v>1215</v>
      </c>
      <c r="S632" s="3" t="s">
        <v>397</v>
      </c>
      <c r="T632" s="3" t="s">
        <v>3945</v>
      </c>
      <c r="U632" s="3" t="s">
        <v>314</v>
      </c>
      <c r="V632" s="3" t="s">
        <v>27</v>
      </c>
      <c r="W632" s="3" t="s">
        <v>3946</v>
      </c>
      <c r="X632" s="2"/>
      <c r="Y632" s="2"/>
    </row>
    <row r="633" spans="1:25" hidden="1" x14ac:dyDescent="0.2">
      <c r="A633" s="3">
        <v>1778</v>
      </c>
      <c r="B633" s="4" t="s">
        <v>3947</v>
      </c>
      <c r="C633" s="3" t="s">
        <v>3948</v>
      </c>
      <c r="D633" s="3" t="e">
        <f>VLOOKUP(A633,Hebrew!A:C,3,0)</f>
        <v>#N/A</v>
      </c>
      <c r="E633" s="3" t="s">
        <v>3949</v>
      </c>
      <c r="F633" s="3" t="e">
        <f>VLOOKUP($A633,Hebrew!$A:$S,4,0)</f>
        <v>#N/A</v>
      </c>
      <c r="G633" s="3" t="s">
        <v>797</v>
      </c>
      <c r="H633" s="3" t="s">
        <v>2608</v>
      </c>
      <c r="I633" s="3" t="s">
        <v>1722</v>
      </c>
      <c r="J633" s="3" t="s">
        <v>173</v>
      </c>
      <c r="K633" s="3" t="s">
        <v>3950</v>
      </c>
      <c r="L633" s="3" t="e">
        <f>VLOOKUP($A633,Hebrew!$A:$S,9,0)</f>
        <v>#N/A</v>
      </c>
      <c r="M633" s="2"/>
      <c r="N633" s="2"/>
      <c r="O633" s="3" t="s">
        <v>26</v>
      </c>
      <c r="P633" s="3" t="s">
        <v>2992</v>
      </c>
      <c r="Q633" s="3" t="e">
        <f>VLOOKUP($A633,Hebrew!$A:$S,13,0)</f>
        <v>#N/A</v>
      </c>
      <c r="R633" s="3" t="s">
        <v>1215</v>
      </c>
      <c r="S633" s="3" t="s">
        <v>397</v>
      </c>
      <c r="T633" s="3" t="s">
        <v>3951</v>
      </c>
      <c r="U633" s="3" t="s">
        <v>3952</v>
      </c>
      <c r="V633" s="3" t="s">
        <v>27</v>
      </c>
      <c r="W633" s="2"/>
      <c r="X633" s="2"/>
      <c r="Y633" s="2"/>
    </row>
    <row r="634" spans="1:25" hidden="1" x14ac:dyDescent="0.2">
      <c r="A634" s="3">
        <v>1779</v>
      </c>
      <c r="B634" s="4" t="s">
        <v>3953</v>
      </c>
      <c r="C634" s="3" t="s">
        <v>3954</v>
      </c>
      <c r="D634" s="3" t="e">
        <f>VLOOKUP(A634,Hebrew!A:C,3,0)</f>
        <v>#N/A</v>
      </c>
      <c r="E634" s="3" t="s">
        <v>3955</v>
      </c>
      <c r="F634" s="3" t="e">
        <f>VLOOKUP($A634,Hebrew!$A:$S,4,0)</f>
        <v>#N/A</v>
      </c>
      <c r="G634" s="3" t="s">
        <v>1031</v>
      </c>
      <c r="H634" s="3" t="s">
        <v>3681</v>
      </c>
      <c r="I634" s="3" t="s">
        <v>583</v>
      </c>
      <c r="J634" s="3" t="s">
        <v>173</v>
      </c>
      <c r="K634" s="3" t="s">
        <v>3956</v>
      </c>
      <c r="L634" s="3" t="e">
        <f>VLOOKUP($A634,Hebrew!$A:$S,9,0)</f>
        <v>#N/A</v>
      </c>
      <c r="M634" s="2"/>
      <c r="N634" s="2"/>
      <c r="O634" s="3" t="s">
        <v>26</v>
      </c>
      <c r="P634" s="3" t="s">
        <v>2992</v>
      </c>
      <c r="Q634" s="3" t="e">
        <f>VLOOKUP($A634,Hebrew!$A:$S,13,0)</f>
        <v>#N/A</v>
      </c>
      <c r="R634" s="3" t="s">
        <v>1215</v>
      </c>
      <c r="S634" s="3" t="s">
        <v>455</v>
      </c>
      <c r="T634" s="3" t="s">
        <v>3957</v>
      </c>
      <c r="U634" s="3" t="s">
        <v>3958</v>
      </c>
      <c r="V634" s="3" t="s">
        <v>3959</v>
      </c>
      <c r="W634" s="3" t="s">
        <v>3960</v>
      </c>
      <c r="X634" s="2"/>
      <c r="Y634" s="2"/>
    </row>
    <row r="635" spans="1:25" hidden="1" x14ac:dyDescent="0.2">
      <c r="A635" s="3">
        <v>1777</v>
      </c>
      <c r="B635" s="4" t="s">
        <v>3961</v>
      </c>
      <c r="C635" s="3" t="s">
        <v>3962</v>
      </c>
      <c r="D635" s="3" t="e">
        <f>VLOOKUP(A635,Hebrew!A:C,3,0)</f>
        <v>#N/A</v>
      </c>
      <c r="E635" s="3" t="s">
        <v>3963</v>
      </c>
      <c r="F635" s="3" t="e">
        <f>VLOOKUP($A635,Hebrew!$A:$S,4,0)</f>
        <v>#N/A</v>
      </c>
      <c r="G635" s="3" t="s">
        <v>3964</v>
      </c>
      <c r="H635" s="3" t="s">
        <v>3964</v>
      </c>
      <c r="I635" s="3" t="s">
        <v>3964</v>
      </c>
      <c r="J635" s="3" t="s">
        <v>173</v>
      </c>
      <c r="K635" s="3" t="s">
        <v>3965</v>
      </c>
      <c r="L635" s="3" t="e">
        <f>VLOOKUP($A635,Hebrew!$A:$S,9,0)</f>
        <v>#N/A</v>
      </c>
      <c r="M635" s="2"/>
      <c r="N635" s="2"/>
      <c r="O635" s="3" t="s">
        <v>26</v>
      </c>
      <c r="P635" s="3" t="s">
        <v>3966</v>
      </c>
      <c r="Q635" s="3" t="e">
        <f>VLOOKUP($A635,Hebrew!$A:$S,13,0)</f>
        <v>#N/A</v>
      </c>
      <c r="R635" s="3" t="s">
        <v>1215</v>
      </c>
      <c r="S635" s="3" t="s">
        <v>397</v>
      </c>
      <c r="T635" s="3" t="s">
        <v>3967</v>
      </c>
      <c r="U635" s="3" t="s">
        <v>3968</v>
      </c>
      <c r="V635" s="3" t="s">
        <v>3969</v>
      </c>
      <c r="W635" s="3" t="s">
        <v>2533</v>
      </c>
      <c r="X635" s="2"/>
      <c r="Y635" s="2"/>
    </row>
    <row r="636" spans="1:25" hidden="1" x14ac:dyDescent="0.2">
      <c r="A636" s="3">
        <v>723</v>
      </c>
      <c r="B636" s="4" t="s">
        <v>3970</v>
      </c>
      <c r="C636" s="3" t="s">
        <v>3971</v>
      </c>
      <c r="D636" s="3" t="e">
        <f>VLOOKUP(A636,Hebrew!A:C,3,0)</f>
        <v>#N/A</v>
      </c>
      <c r="E636" s="3" t="s">
        <v>3972</v>
      </c>
      <c r="F636" s="3" t="e">
        <f>VLOOKUP($A636,Hebrew!$A:$S,4,0)</f>
        <v>#N/A</v>
      </c>
      <c r="G636" s="3" t="s">
        <v>2370</v>
      </c>
      <c r="H636" s="2"/>
      <c r="I636" s="2"/>
      <c r="J636" s="3" t="s">
        <v>3973</v>
      </c>
      <c r="K636" s="3" t="s">
        <v>3974</v>
      </c>
      <c r="L636" s="3" t="e">
        <f>VLOOKUP($A636,Hebrew!$A:$S,9,0)</f>
        <v>#N/A</v>
      </c>
      <c r="M636" s="2"/>
      <c r="N636" s="2"/>
      <c r="O636" s="3" t="s">
        <v>26</v>
      </c>
      <c r="P636" s="3" t="s">
        <v>3002</v>
      </c>
      <c r="Q636" s="3" t="e">
        <f>VLOOKUP($A636,Hebrew!$A:$S,13,0)</f>
        <v>#N/A</v>
      </c>
      <c r="R636" s="3" t="s">
        <v>1215</v>
      </c>
      <c r="S636" s="3" t="s">
        <v>2005</v>
      </c>
      <c r="T636" s="3" t="s">
        <v>3975</v>
      </c>
      <c r="U636" s="3" t="s">
        <v>3976</v>
      </c>
      <c r="V636" s="3" t="s">
        <v>3977</v>
      </c>
      <c r="W636" s="3" t="s">
        <v>1659</v>
      </c>
      <c r="X636" s="2"/>
      <c r="Y636" s="2"/>
    </row>
    <row r="637" spans="1:25" hidden="1" x14ac:dyDescent="0.2">
      <c r="A637" s="3">
        <v>305</v>
      </c>
      <c r="B637" s="4" t="s">
        <v>3978</v>
      </c>
      <c r="C637" s="3" t="s">
        <v>3979</v>
      </c>
      <c r="D637" s="3" t="e">
        <f>VLOOKUP(A637,Hebrew!A:C,3,0)</f>
        <v>#N/A</v>
      </c>
      <c r="E637" s="3" t="s">
        <v>3980</v>
      </c>
      <c r="F637" s="3" t="e">
        <f>VLOOKUP($A637,Hebrew!$A:$S,4,0)</f>
        <v>#N/A</v>
      </c>
      <c r="G637" s="3" t="s">
        <v>445</v>
      </c>
      <c r="H637" s="3" t="s">
        <v>3981</v>
      </c>
      <c r="I637" s="3" t="s">
        <v>445</v>
      </c>
      <c r="J637" s="3" t="s">
        <v>3921</v>
      </c>
      <c r="K637" s="3" t="s">
        <v>3982</v>
      </c>
      <c r="L637" s="3" t="e">
        <f>VLOOKUP($A637,Hebrew!$A:$S,9,0)</f>
        <v>#N/A</v>
      </c>
      <c r="M637" s="2"/>
      <c r="N637" s="2"/>
      <c r="O637" s="3" t="s">
        <v>39</v>
      </c>
      <c r="P637" s="3" t="s">
        <v>1459</v>
      </c>
      <c r="Q637" s="3" t="e">
        <f>VLOOKUP($A637,Hebrew!$A:$S,13,0)</f>
        <v>#N/A</v>
      </c>
      <c r="R637" s="3" t="s">
        <v>2563</v>
      </c>
      <c r="S637" s="3" t="s">
        <v>2005</v>
      </c>
      <c r="T637" s="3" t="s">
        <v>3983</v>
      </c>
      <c r="U637" s="3" t="s">
        <v>420</v>
      </c>
      <c r="V637" s="3" t="s">
        <v>1459</v>
      </c>
      <c r="W637" s="2"/>
      <c r="X637" s="2"/>
      <c r="Y637" s="2"/>
    </row>
    <row r="638" spans="1:25" hidden="1" x14ac:dyDescent="0.2">
      <c r="A638" s="3">
        <v>339</v>
      </c>
      <c r="B638" s="4" t="s">
        <v>3984</v>
      </c>
      <c r="C638" s="3" t="s">
        <v>3985</v>
      </c>
      <c r="D638" s="3" t="e">
        <f>VLOOKUP(A638,Hebrew!A:C,3,0)</f>
        <v>#N/A</v>
      </c>
      <c r="E638" s="3" t="s">
        <v>3986</v>
      </c>
      <c r="F638" s="3" t="e">
        <f>VLOOKUP($A638,Hebrew!$A:$S,4,0)</f>
        <v>#N/A</v>
      </c>
      <c r="G638" s="3" t="s">
        <v>3987</v>
      </c>
      <c r="H638" s="3" t="s">
        <v>2608</v>
      </c>
      <c r="I638" s="3" t="s">
        <v>3988</v>
      </c>
      <c r="J638" s="2"/>
      <c r="K638" s="3" t="s">
        <v>3989</v>
      </c>
      <c r="L638" s="3" t="e">
        <f>VLOOKUP($A638,Hebrew!$A:$S,9,0)</f>
        <v>#N/A</v>
      </c>
      <c r="M638" s="2"/>
      <c r="N638" s="2"/>
      <c r="O638" s="3" t="s">
        <v>26</v>
      </c>
      <c r="P638" s="3" t="s">
        <v>27</v>
      </c>
      <c r="Q638" s="3" t="e">
        <f>VLOOKUP($A638,Hebrew!$A:$S,13,0)</f>
        <v>#N/A</v>
      </c>
      <c r="R638" s="3" t="s">
        <v>28</v>
      </c>
      <c r="S638" s="3" t="s">
        <v>29</v>
      </c>
      <c r="T638" s="3" t="s">
        <v>3990</v>
      </c>
      <c r="U638" s="3" t="s">
        <v>3991</v>
      </c>
      <c r="V638" s="3" t="s">
        <v>27</v>
      </c>
      <c r="W638" s="2"/>
      <c r="X638" s="2"/>
      <c r="Y638" s="2"/>
    </row>
    <row r="639" spans="1:25" hidden="1" x14ac:dyDescent="0.2">
      <c r="A639" s="3">
        <v>139</v>
      </c>
      <c r="B639" s="4" t="s">
        <v>3992</v>
      </c>
      <c r="C639" s="3" t="s">
        <v>3993</v>
      </c>
      <c r="D639" s="3" t="e">
        <f>VLOOKUP(A639,Hebrew!A:C,3,0)</f>
        <v>#N/A</v>
      </c>
      <c r="E639" s="3" t="s">
        <v>3994</v>
      </c>
      <c r="F639" s="3" t="e">
        <f>VLOOKUP($A639,Hebrew!$A:$S,4,0)</f>
        <v>#N/A</v>
      </c>
      <c r="G639" s="3" t="s">
        <v>1761</v>
      </c>
      <c r="H639" s="3" t="s">
        <v>2528</v>
      </c>
      <c r="I639" s="3" t="s">
        <v>1761</v>
      </c>
      <c r="J639" s="3" t="s">
        <v>173</v>
      </c>
      <c r="K639" s="3" t="s">
        <v>3995</v>
      </c>
      <c r="L639" s="3" t="e">
        <f>VLOOKUP($A639,Hebrew!$A:$S,9,0)</f>
        <v>#N/A</v>
      </c>
      <c r="M639" s="2"/>
      <c r="N639" s="2"/>
      <c r="O639" s="3" t="s">
        <v>26</v>
      </c>
      <c r="P639" s="3" t="s">
        <v>3996</v>
      </c>
      <c r="Q639" s="3" t="e">
        <f>VLOOKUP($A639,Hebrew!$A:$S,13,0)</f>
        <v>#N/A</v>
      </c>
      <c r="R639" s="3" t="s">
        <v>1215</v>
      </c>
      <c r="S639" s="3" t="s">
        <v>397</v>
      </c>
      <c r="T639" s="3" t="s">
        <v>3997</v>
      </c>
      <c r="U639" s="3" t="s">
        <v>3998</v>
      </c>
      <c r="V639" s="3" t="s">
        <v>40</v>
      </c>
      <c r="W639" s="3" t="s">
        <v>1460</v>
      </c>
      <c r="X639" s="2"/>
      <c r="Y639" s="2"/>
    </row>
    <row r="640" spans="1:25" hidden="1" x14ac:dyDescent="0.2">
      <c r="A640" s="3">
        <v>1614</v>
      </c>
      <c r="B640" s="6" t="s">
        <v>3999</v>
      </c>
      <c r="C640" s="3" t="s">
        <v>4000</v>
      </c>
      <c r="D640" s="3" t="e">
        <f>VLOOKUP(A640,Hebrew!A:C,3,0)</f>
        <v>#N/A</v>
      </c>
      <c r="E640" s="3" t="s">
        <v>4001</v>
      </c>
      <c r="F640" s="3" t="e">
        <f>VLOOKUP($A640,Hebrew!$A:$S,4,0)</f>
        <v>#N/A</v>
      </c>
      <c r="G640" s="3" t="s">
        <v>810</v>
      </c>
      <c r="H640" s="2"/>
      <c r="I640" s="2"/>
      <c r="J640" s="3" t="s">
        <v>110</v>
      </c>
      <c r="K640" s="3" t="s">
        <v>4002</v>
      </c>
      <c r="L640" s="3" t="e">
        <f>VLOOKUP($A640,Hebrew!$A:$S,9,0)</f>
        <v>#N/A</v>
      </c>
      <c r="M640" s="2"/>
      <c r="N640" s="2"/>
      <c r="O640" s="3" t="s">
        <v>26</v>
      </c>
      <c r="P640" s="3" t="s">
        <v>4003</v>
      </c>
      <c r="Q640" s="3" t="e">
        <f>VLOOKUP($A640,Hebrew!$A:$S,13,0)</f>
        <v>#N/A</v>
      </c>
      <c r="R640" s="3" t="s">
        <v>1215</v>
      </c>
      <c r="S640" s="3" t="s">
        <v>397</v>
      </c>
      <c r="T640" s="3" t="s">
        <v>4004</v>
      </c>
      <c r="U640" s="3" t="s">
        <v>4005</v>
      </c>
      <c r="V640" s="3" t="s">
        <v>4006</v>
      </c>
      <c r="W640" s="3" t="s">
        <v>4007</v>
      </c>
      <c r="X640" s="2"/>
      <c r="Y640" s="2"/>
    </row>
    <row r="641" spans="1:25" hidden="1" x14ac:dyDescent="0.2">
      <c r="A641" s="3">
        <v>1782</v>
      </c>
      <c r="B641" s="4" t="s">
        <v>4008</v>
      </c>
      <c r="C641" s="3" t="s">
        <v>4009</v>
      </c>
      <c r="D641" s="3" t="e">
        <f>VLOOKUP(A641,Hebrew!A:C,3,0)</f>
        <v>#N/A</v>
      </c>
      <c r="E641" s="3" t="s">
        <v>4010</v>
      </c>
      <c r="F641" s="3" t="e">
        <f>VLOOKUP($A641,Hebrew!$A:$S,4,0)</f>
        <v>#N/A</v>
      </c>
      <c r="G641" s="3" t="s">
        <v>4011</v>
      </c>
      <c r="H641" s="3" t="s">
        <v>2608</v>
      </c>
      <c r="I641" s="3" t="s">
        <v>2930</v>
      </c>
      <c r="J641" s="3" t="s">
        <v>173</v>
      </c>
      <c r="K641" s="3" t="s">
        <v>4012</v>
      </c>
      <c r="L641" s="3" t="e">
        <f>VLOOKUP($A641,Hebrew!$A:$S,9,0)</f>
        <v>#N/A</v>
      </c>
      <c r="M641" s="2"/>
      <c r="N641" s="2"/>
      <c r="O641" s="3" t="s">
        <v>26</v>
      </c>
      <c r="P641" s="3" t="s">
        <v>27</v>
      </c>
      <c r="Q641" s="3" t="e">
        <f>VLOOKUP($A641,Hebrew!$A:$S,13,0)</f>
        <v>#N/A</v>
      </c>
      <c r="R641" s="3" t="s">
        <v>1215</v>
      </c>
      <c r="S641" s="3" t="s">
        <v>397</v>
      </c>
      <c r="T641" s="3" t="s">
        <v>4013</v>
      </c>
      <c r="U641" s="3" t="s">
        <v>4014</v>
      </c>
      <c r="V641" s="3" t="s">
        <v>4015</v>
      </c>
      <c r="W641" s="3" t="s">
        <v>729</v>
      </c>
      <c r="X641" s="2"/>
      <c r="Y641" s="2"/>
    </row>
    <row r="642" spans="1:25" hidden="1" x14ac:dyDescent="0.2">
      <c r="A642" s="3">
        <v>2060</v>
      </c>
      <c r="B642" s="4" t="s">
        <v>4016</v>
      </c>
      <c r="C642" s="3" t="s">
        <v>4017</v>
      </c>
      <c r="D642" s="3" t="e">
        <f>VLOOKUP(A642,Hebrew!A:C,3,0)</f>
        <v>#N/A</v>
      </c>
      <c r="E642" s="3" t="s">
        <v>4018</v>
      </c>
      <c r="F642" s="3" t="e">
        <f>VLOOKUP($A642,Hebrew!$A:$S,4,0)</f>
        <v>#N/A</v>
      </c>
      <c r="G642" s="3" t="s">
        <v>608</v>
      </c>
      <c r="H642" s="2"/>
      <c r="I642" s="2"/>
      <c r="J642" s="3" t="s">
        <v>173</v>
      </c>
      <c r="K642" s="3" t="s">
        <v>4019</v>
      </c>
      <c r="L642" s="3" t="e">
        <f>VLOOKUP($A642,Hebrew!$A:$S,9,0)</f>
        <v>#N/A</v>
      </c>
      <c r="M642" s="2"/>
      <c r="N642" s="2"/>
      <c r="O642" s="3" t="s">
        <v>26</v>
      </c>
      <c r="P642" s="3" t="s">
        <v>27</v>
      </c>
      <c r="Q642" s="3" t="e">
        <f>VLOOKUP($A642,Hebrew!$A:$S,13,0)</f>
        <v>#N/A</v>
      </c>
      <c r="R642" s="3" t="s">
        <v>1215</v>
      </c>
      <c r="S642" s="3" t="s">
        <v>397</v>
      </c>
      <c r="T642" s="3" t="s">
        <v>4020</v>
      </c>
      <c r="U642" s="3" t="s">
        <v>4021</v>
      </c>
      <c r="V642" s="3" t="s">
        <v>4022</v>
      </c>
      <c r="W642" s="2"/>
      <c r="X642" s="2"/>
      <c r="Y642" s="2"/>
    </row>
    <row r="643" spans="1:25" hidden="1" x14ac:dyDescent="0.2">
      <c r="A643" s="3">
        <v>2061</v>
      </c>
      <c r="B643" s="4" t="s">
        <v>4023</v>
      </c>
      <c r="C643" s="3" t="s">
        <v>4024</v>
      </c>
      <c r="D643" s="3" t="e">
        <f>VLOOKUP(A643,Hebrew!A:C,3,0)</f>
        <v>#N/A</v>
      </c>
      <c r="E643" s="3" t="s">
        <v>4025</v>
      </c>
      <c r="F643" s="3" t="e">
        <f>VLOOKUP($A643,Hebrew!$A:$S,4,0)</f>
        <v>#N/A</v>
      </c>
      <c r="G643" s="3" t="s">
        <v>3861</v>
      </c>
      <c r="H643" s="3" t="s">
        <v>4026</v>
      </c>
      <c r="I643" s="3" t="s">
        <v>4027</v>
      </c>
      <c r="J643" s="3" t="s">
        <v>173</v>
      </c>
      <c r="K643" s="3" t="s">
        <v>4028</v>
      </c>
      <c r="L643" s="3" t="e">
        <f>VLOOKUP($A643,Hebrew!$A:$S,9,0)</f>
        <v>#N/A</v>
      </c>
      <c r="M643" s="2"/>
      <c r="N643" s="2"/>
      <c r="O643" s="3" t="s">
        <v>26</v>
      </c>
      <c r="P643" s="3" t="s">
        <v>51</v>
      </c>
      <c r="Q643" s="3" t="e">
        <f>VLOOKUP($A643,Hebrew!$A:$S,13,0)</f>
        <v>#N/A</v>
      </c>
      <c r="R643" s="3" t="s">
        <v>1225</v>
      </c>
      <c r="S643" s="3" t="s">
        <v>2005</v>
      </c>
      <c r="T643" s="3" t="s">
        <v>4029</v>
      </c>
      <c r="U643" s="3" t="s">
        <v>2464</v>
      </c>
      <c r="V643" s="3" t="s">
        <v>653</v>
      </c>
      <c r="W643" s="3" t="s">
        <v>630</v>
      </c>
      <c r="X643" s="2"/>
      <c r="Y643" s="2"/>
    </row>
    <row r="644" spans="1:25" hidden="1" x14ac:dyDescent="0.2">
      <c r="A644" s="3">
        <v>711</v>
      </c>
      <c r="B644" s="4" t="s">
        <v>4030</v>
      </c>
      <c r="C644" s="3" t="s">
        <v>4031</v>
      </c>
      <c r="D644" s="3" t="e">
        <f>VLOOKUP(A644,Hebrew!A:C,3,0)</f>
        <v>#N/A</v>
      </c>
      <c r="E644" s="3" t="s">
        <v>4032</v>
      </c>
      <c r="F644" s="3" t="e">
        <f>VLOOKUP($A644,Hebrew!$A:$S,4,0)</f>
        <v>#N/A</v>
      </c>
      <c r="G644" s="3" t="s">
        <v>2520</v>
      </c>
      <c r="H644" s="3" t="s">
        <v>445</v>
      </c>
      <c r="I644" s="3" t="s">
        <v>2520</v>
      </c>
      <c r="J644" s="3" t="s">
        <v>3427</v>
      </c>
      <c r="K644" s="3" t="s">
        <v>4033</v>
      </c>
      <c r="L644" s="3" t="e">
        <f>VLOOKUP($A644,Hebrew!$A:$S,9,0)</f>
        <v>#N/A</v>
      </c>
      <c r="M644" s="2"/>
      <c r="N644" s="2"/>
      <c r="O644" s="3" t="s">
        <v>39</v>
      </c>
      <c r="P644" s="3" t="s">
        <v>4034</v>
      </c>
      <c r="Q644" s="3" t="e">
        <f>VLOOKUP($A644,Hebrew!$A:$S,13,0)</f>
        <v>#N/A</v>
      </c>
      <c r="R644" s="3" t="s">
        <v>1215</v>
      </c>
      <c r="S644" s="3" t="s">
        <v>397</v>
      </c>
      <c r="T644" s="3" t="s">
        <v>4035</v>
      </c>
      <c r="U644" s="3" t="s">
        <v>4036</v>
      </c>
      <c r="V644" s="3" t="s">
        <v>4037</v>
      </c>
      <c r="W644" s="3" t="s">
        <v>4038</v>
      </c>
      <c r="X644" s="2"/>
      <c r="Y644" s="2"/>
    </row>
    <row r="645" spans="1:25" hidden="1" x14ac:dyDescent="0.2">
      <c r="A645" s="3">
        <v>1443</v>
      </c>
      <c r="B645" s="4" t="s">
        <v>4039</v>
      </c>
      <c r="C645" s="3" t="s">
        <v>4040</v>
      </c>
      <c r="D645" s="3" t="e">
        <f>VLOOKUP(A645,Hebrew!A:C,3,0)</f>
        <v>#N/A</v>
      </c>
      <c r="E645" s="3" t="s">
        <v>4041</v>
      </c>
      <c r="F645" s="3" t="e">
        <f>VLOOKUP($A645,Hebrew!$A:$S,4,0)</f>
        <v>#N/A</v>
      </c>
      <c r="G645" s="3" t="s">
        <v>564</v>
      </c>
      <c r="H645" s="3" t="s">
        <v>2763</v>
      </c>
      <c r="I645" s="3" t="s">
        <v>2763</v>
      </c>
      <c r="J645" s="3" t="s">
        <v>393</v>
      </c>
      <c r="K645" s="3" t="s">
        <v>4042</v>
      </c>
      <c r="L645" s="3" t="e">
        <f>VLOOKUP($A645,Hebrew!$A:$S,9,0)</f>
        <v>#N/A</v>
      </c>
      <c r="M645" s="2"/>
      <c r="N645" s="2"/>
      <c r="O645" s="3" t="s">
        <v>39</v>
      </c>
      <c r="P645" s="3" t="s">
        <v>4043</v>
      </c>
      <c r="Q645" s="3" t="e">
        <f>VLOOKUP($A645,Hebrew!$A:$S,13,0)</f>
        <v>#N/A</v>
      </c>
      <c r="R645" s="3" t="s">
        <v>396</v>
      </c>
      <c r="S645" s="3" t="s">
        <v>413</v>
      </c>
      <c r="T645" s="3" t="s">
        <v>4044</v>
      </c>
      <c r="U645" s="3" t="s">
        <v>4045</v>
      </c>
      <c r="V645" s="3" t="s">
        <v>60</v>
      </c>
      <c r="W645" s="3" t="s">
        <v>269</v>
      </c>
      <c r="X645" s="2"/>
      <c r="Y645" s="2"/>
    </row>
    <row r="646" spans="1:25" hidden="1" x14ac:dyDescent="0.2">
      <c r="A646" s="3">
        <v>1758</v>
      </c>
      <c r="B646" s="4" t="s">
        <v>4046</v>
      </c>
      <c r="C646" s="3" t="s">
        <v>4047</v>
      </c>
      <c r="D646" s="3" t="e">
        <f>VLOOKUP(A646,Hebrew!A:C,3,0)</f>
        <v>#N/A</v>
      </c>
      <c r="E646" s="3" t="s">
        <v>4048</v>
      </c>
      <c r="F646" s="3" t="e">
        <f>VLOOKUP($A646,Hebrew!$A:$S,4,0)</f>
        <v>#N/A</v>
      </c>
      <c r="G646" s="3" t="s">
        <v>1521</v>
      </c>
      <c r="H646" s="2"/>
      <c r="I646" s="2"/>
      <c r="J646" s="6" t="s">
        <v>36</v>
      </c>
      <c r="K646" s="3" t="s">
        <v>165</v>
      </c>
      <c r="L646" s="3" t="e">
        <f>VLOOKUP($A646,Hebrew!$A:$S,9,0)</f>
        <v>#N/A</v>
      </c>
      <c r="M646" s="2"/>
      <c r="N646" s="2"/>
      <c r="O646" s="3" t="s">
        <v>26</v>
      </c>
      <c r="P646" s="3" t="s">
        <v>245</v>
      </c>
      <c r="Q646" s="3" t="e">
        <f>VLOOKUP($A646,Hebrew!$A:$S,13,0)</f>
        <v>#N/A</v>
      </c>
      <c r="R646" s="3" t="s">
        <v>1215</v>
      </c>
      <c r="S646" s="3" t="s">
        <v>397</v>
      </c>
      <c r="T646" s="3" t="s">
        <v>4049</v>
      </c>
      <c r="U646" s="3" t="s">
        <v>253</v>
      </c>
      <c r="V646" s="3" t="s">
        <v>245</v>
      </c>
      <c r="W646" s="2"/>
      <c r="X646" s="2"/>
      <c r="Y646" s="2"/>
    </row>
    <row r="647" spans="1:25" hidden="1" x14ac:dyDescent="0.2">
      <c r="A647" s="3">
        <v>736</v>
      </c>
      <c r="B647" s="6" t="s">
        <v>4050</v>
      </c>
      <c r="C647" s="3" t="s">
        <v>4051</v>
      </c>
      <c r="D647" s="3" t="e">
        <f>VLOOKUP(A647,Hebrew!A:C,3,0)</f>
        <v>#N/A</v>
      </c>
      <c r="E647" s="3" t="s">
        <v>4052</v>
      </c>
      <c r="F647" s="3" t="e">
        <f>VLOOKUP($A647,Hebrew!$A:$S,4,0)</f>
        <v>#N/A</v>
      </c>
      <c r="G647" s="3" t="s">
        <v>2961</v>
      </c>
      <c r="H647" s="2"/>
      <c r="I647" s="2"/>
      <c r="J647" s="3" t="s">
        <v>4053</v>
      </c>
      <c r="K647" s="3" t="s">
        <v>4054</v>
      </c>
      <c r="L647" s="3" t="e">
        <f>VLOOKUP($A647,Hebrew!$A:$S,9,0)</f>
        <v>#N/A</v>
      </c>
      <c r="M647" s="3" t="s">
        <v>7</v>
      </c>
      <c r="N647" s="2"/>
      <c r="O647" s="3" t="s">
        <v>26</v>
      </c>
      <c r="P647" s="3" t="s">
        <v>4055</v>
      </c>
      <c r="Q647" s="3" t="e">
        <f>VLOOKUP($A647,Hebrew!$A:$S,13,0)</f>
        <v>#N/A</v>
      </c>
      <c r="R647" s="3" t="s">
        <v>1215</v>
      </c>
      <c r="S647" s="3" t="s">
        <v>397</v>
      </c>
      <c r="T647" s="3" t="s">
        <v>4056</v>
      </c>
      <c r="U647" s="3" t="s">
        <v>4057</v>
      </c>
      <c r="V647" s="2"/>
      <c r="W647" s="3" t="s">
        <v>1160</v>
      </c>
      <c r="X647" s="2"/>
      <c r="Y647" s="2"/>
    </row>
    <row r="648" spans="1:25" hidden="1" x14ac:dyDescent="0.2">
      <c r="A648" s="3">
        <v>1926</v>
      </c>
      <c r="B648" s="4" t="s">
        <v>4058</v>
      </c>
      <c r="C648" s="3" t="s">
        <v>4059</v>
      </c>
      <c r="D648" s="3" t="e">
        <f>VLOOKUP(A648,Hebrew!A:C,3,0)</f>
        <v>#N/A</v>
      </c>
      <c r="E648" s="3" t="s">
        <v>4060</v>
      </c>
      <c r="F648" s="3" t="e">
        <f>VLOOKUP($A648,Hebrew!$A:$S,4,0)</f>
        <v>#N/A</v>
      </c>
      <c r="G648" s="3" t="s">
        <v>531</v>
      </c>
      <c r="H648" s="2"/>
      <c r="I648" s="2"/>
      <c r="J648" s="3" t="s">
        <v>4061</v>
      </c>
      <c r="K648" s="2"/>
      <c r="L648" s="3" t="e">
        <f>VLOOKUP($A648,Hebrew!$A:$S,9,0)</f>
        <v>#N/A</v>
      </c>
      <c r="M648" s="2"/>
      <c r="N648" s="2"/>
      <c r="O648" s="3" t="s">
        <v>39</v>
      </c>
      <c r="P648" s="3" t="s">
        <v>3690</v>
      </c>
      <c r="Q648" s="3" t="e">
        <f>VLOOKUP($A648,Hebrew!$A:$S,13,0)</f>
        <v>#N/A</v>
      </c>
      <c r="R648" s="3" t="s">
        <v>1215</v>
      </c>
      <c r="S648" s="3" t="s">
        <v>405</v>
      </c>
      <c r="T648" s="3" t="s">
        <v>4062</v>
      </c>
      <c r="U648" s="2"/>
      <c r="V648" s="3" t="s">
        <v>60</v>
      </c>
      <c r="W648" s="2"/>
      <c r="X648" s="2"/>
      <c r="Y648" s="2"/>
    </row>
    <row r="649" spans="1:25" hidden="1" x14ac:dyDescent="0.2">
      <c r="A649" s="3">
        <v>1985</v>
      </c>
      <c r="B649" s="4" t="s">
        <v>4063</v>
      </c>
      <c r="C649" s="3" t="s">
        <v>4064</v>
      </c>
      <c r="D649" s="3" t="e">
        <f>VLOOKUP(A649,Hebrew!A:C,3,0)</f>
        <v>#N/A</v>
      </c>
      <c r="E649" s="3" t="s">
        <v>4065</v>
      </c>
      <c r="F649" s="3" t="e">
        <f>VLOOKUP($A649,Hebrew!$A:$S,4,0)</f>
        <v>#N/A</v>
      </c>
      <c r="G649" s="3" t="s">
        <v>2460</v>
      </c>
      <c r="H649" s="3" t="s">
        <v>2460</v>
      </c>
      <c r="I649" s="3" t="s">
        <v>2460</v>
      </c>
      <c r="J649" s="3" t="s">
        <v>4066</v>
      </c>
      <c r="K649" s="3" t="s">
        <v>4067</v>
      </c>
      <c r="L649" s="3" t="e">
        <f>VLOOKUP($A649,Hebrew!$A:$S,9,0)</f>
        <v>#N/A</v>
      </c>
      <c r="M649" s="2"/>
      <c r="N649" s="2"/>
      <c r="O649" s="3" t="s">
        <v>26</v>
      </c>
      <c r="P649" s="3" t="s">
        <v>4068</v>
      </c>
      <c r="Q649" s="3" t="e">
        <f>VLOOKUP($A649,Hebrew!$A:$S,13,0)</f>
        <v>#N/A</v>
      </c>
      <c r="R649" s="3" t="s">
        <v>1215</v>
      </c>
      <c r="S649" s="3" t="s">
        <v>455</v>
      </c>
      <c r="T649" s="3" t="s">
        <v>4069</v>
      </c>
      <c r="U649" s="3" t="s">
        <v>4070</v>
      </c>
      <c r="V649" s="3" t="s">
        <v>4071</v>
      </c>
      <c r="W649" s="2"/>
      <c r="X649" s="2"/>
      <c r="Y649" s="2"/>
    </row>
    <row r="650" spans="1:25" hidden="1" x14ac:dyDescent="0.2">
      <c r="A650" s="3">
        <v>1349</v>
      </c>
      <c r="B650" s="4" t="s">
        <v>4072</v>
      </c>
      <c r="C650" s="3" t="s">
        <v>4073</v>
      </c>
      <c r="D650" s="3" t="e">
        <f>VLOOKUP(A650,Hebrew!A:C,3,0)</f>
        <v>#N/A</v>
      </c>
      <c r="E650" s="3" t="s">
        <v>4074</v>
      </c>
      <c r="F650" s="3" t="e">
        <f>VLOOKUP($A650,Hebrew!$A:$S,4,0)</f>
        <v>#N/A</v>
      </c>
      <c r="G650" s="3" t="s">
        <v>2776</v>
      </c>
      <c r="H650" s="3" t="s">
        <v>2776</v>
      </c>
      <c r="I650" s="3" t="s">
        <v>2776</v>
      </c>
      <c r="J650" s="3" t="s">
        <v>258</v>
      </c>
      <c r="K650" s="3" t="s">
        <v>4075</v>
      </c>
      <c r="L650" s="3" t="e">
        <f>VLOOKUP($A650,Hebrew!$A:$S,9,0)</f>
        <v>#N/A</v>
      </c>
      <c r="M650" s="2"/>
      <c r="N650" s="2"/>
      <c r="O650" s="3" t="s">
        <v>39</v>
      </c>
      <c r="P650" s="3" t="s">
        <v>4076</v>
      </c>
      <c r="Q650" s="3" t="e">
        <f>VLOOKUP($A650,Hebrew!$A:$S,13,0)</f>
        <v>#N/A</v>
      </c>
      <c r="R650" s="3" t="s">
        <v>1215</v>
      </c>
      <c r="S650" s="3" t="s">
        <v>29</v>
      </c>
      <c r="T650" s="3" t="s">
        <v>4077</v>
      </c>
      <c r="U650" s="3" t="s">
        <v>2925</v>
      </c>
      <c r="V650" s="3" t="s">
        <v>186</v>
      </c>
      <c r="W650" s="3" t="s">
        <v>1160</v>
      </c>
      <c r="X650" s="2"/>
      <c r="Y650" s="2"/>
    </row>
    <row r="651" spans="1:25" hidden="1" x14ac:dyDescent="0.2">
      <c r="A651" s="3">
        <v>1748</v>
      </c>
      <c r="B651" s="4" t="s">
        <v>4078</v>
      </c>
      <c r="C651" s="3" t="s">
        <v>4079</v>
      </c>
      <c r="D651" s="3" t="e">
        <f>VLOOKUP(A651,Hebrew!A:C,3,0)</f>
        <v>#N/A</v>
      </c>
      <c r="E651" s="3" t="s">
        <v>4080</v>
      </c>
      <c r="F651" s="3" t="e">
        <f>VLOOKUP($A651,Hebrew!$A:$S,4,0)</f>
        <v>#N/A</v>
      </c>
      <c r="G651" s="3" t="s">
        <v>968</v>
      </c>
      <c r="H651" s="3" t="s">
        <v>968</v>
      </c>
      <c r="I651" s="3" t="s">
        <v>968</v>
      </c>
      <c r="J651" s="3" t="s">
        <v>2935</v>
      </c>
      <c r="K651" s="2"/>
      <c r="L651" s="3" t="e">
        <f>VLOOKUP($A651,Hebrew!$A:$S,9,0)</f>
        <v>#N/A</v>
      </c>
      <c r="M651" s="2"/>
      <c r="N651" s="2"/>
      <c r="O651" s="3" t="s">
        <v>26</v>
      </c>
      <c r="P651" s="3" t="s">
        <v>4081</v>
      </c>
      <c r="Q651" s="3" t="e">
        <f>VLOOKUP($A651,Hebrew!$A:$S,13,0)</f>
        <v>#N/A</v>
      </c>
      <c r="R651" s="3" t="s">
        <v>1215</v>
      </c>
      <c r="S651" s="3" t="s">
        <v>29</v>
      </c>
      <c r="T651" s="3" t="s">
        <v>4082</v>
      </c>
      <c r="U651" s="3" t="s">
        <v>314</v>
      </c>
      <c r="V651" s="3" t="s">
        <v>4081</v>
      </c>
      <c r="W651" s="2"/>
      <c r="X651" s="2"/>
      <c r="Y651" s="2"/>
    </row>
    <row r="652" spans="1:25" hidden="1" x14ac:dyDescent="0.2">
      <c r="A652" s="3">
        <v>300</v>
      </c>
      <c r="B652" s="4" t="s">
        <v>4083</v>
      </c>
      <c r="C652" s="3" t="s">
        <v>4084</v>
      </c>
      <c r="D652" s="3" t="e">
        <f>VLOOKUP(A652,Hebrew!A:C,3,0)</f>
        <v>#N/A</v>
      </c>
      <c r="E652" s="3" t="s">
        <v>4085</v>
      </c>
      <c r="F652" s="3" t="e">
        <f>VLOOKUP($A652,Hebrew!$A:$S,4,0)</f>
        <v>#N/A</v>
      </c>
      <c r="G652" s="3" t="s">
        <v>4086</v>
      </c>
      <c r="H652" s="3" t="s">
        <v>4087</v>
      </c>
      <c r="I652" s="3" t="s">
        <v>4087</v>
      </c>
      <c r="J652" s="3" t="s">
        <v>36</v>
      </c>
      <c r="K652" s="3" t="s">
        <v>4088</v>
      </c>
      <c r="L652" s="3" t="e">
        <f>VLOOKUP($A652,Hebrew!$A:$S,9,0)</f>
        <v>#N/A</v>
      </c>
      <c r="M652" s="2"/>
      <c r="N652" s="2"/>
      <c r="O652" s="3" t="s">
        <v>26</v>
      </c>
      <c r="P652" s="3" t="s">
        <v>212</v>
      </c>
      <c r="Q652" s="3" t="e">
        <f>VLOOKUP($A652,Hebrew!$A:$S,13,0)</f>
        <v>#N/A</v>
      </c>
      <c r="R652" s="3" t="s">
        <v>1215</v>
      </c>
      <c r="S652" s="3" t="s">
        <v>397</v>
      </c>
      <c r="T652" s="3" t="s">
        <v>4089</v>
      </c>
      <c r="U652" s="3" t="s">
        <v>420</v>
      </c>
      <c r="V652" s="3" t="s">
        <v>4090</v>
      </c>
      <c r="W652" s="3" t="s">
        <v>1460</v>
      </c>
      <c r="X652" s="2"/>
      <c r="Y652" s="2"/>
    </row>
    <row r="653" spans="1:25" hidden="1" x14ac:dyDescent="0.2">
      <c r="A653" s="3">
        <v>172</v>
      </c>
      <c r="B653" s="4" t="s">
        <v>4091</v>
      </c>
      <c r="C653" s="3" t="s">
        <v>4092</v>
      </c>
      <c r="D653" s="3" t="e">
        <f>VLOOKUP(A653,Hebrew!A:C,3,0)</f>
        <v>#N/A</v>
      </c>
      <c r="E653" s="3" t="s">
        <v>4093</v>
      </c>
      <c r="F653" s="3" t="e">
        <f>VLOOKUP($A653,Hebrew!$A:$S,4,0)</f>
        <v>#N/A</v>
      </c>
      <c r="G653" s="3" t="s">
        <v>1761</v>
      </c>
      <c r="H653" s="3" t="s">
        <v>788</v>
      </c>
      <c r="I653" s="3" t="s">
        <v>1761</v>
      </c>
      <c r="J653" s="3" t="s">
        <v>110</v>
      </c>
      <c r="K653" s="3" t="s">
        <v>4094</v>
      </c>
      <c r="L653" s="3" t="e">
        <f>VLOOKUP($A653,Hebrew!$A:$S,9,0)</f>
        <v>#N/A</v>
      </c>
      <c r="M653" s="2"/>
      <c r="N653" s="2"/>
      <c r="O653" s="3" t="s">
        <v>26</v>
      </c>
      <c r="P653" s="3" t="s">
        <v>60</v>
      </c>
      <c r="Q653" s="3" t="e">
        <f>VLOOKUP($A653,Hebrew!$A:$S,13,0)</f>
        <v>#N/A</v>
      </c>
      <c r="R653" s="3" t="s">
        <v>1215</v>
      </c>
      <c r="S653" s="3" t="s">
        <v>1560</v>
      </c>
      <c r="T653" s="3" t="s">
        <v>4095</v>
      </c>
      <c r="U653" s="3" t="s">
        <v>4096</v>
      </c>
      <c r="V653" s="3" t="s">
        <v>186</v>
      </c>
      <c r="W653" s="3" t="s">
        <v>269</v>
      </c>
      <c r="X653" s="2"/>
      <c r="Y653" s="2"/>
    </row>
    <row r="654" spans="1:25" hidden="1" x14ac:dyDescent="0.2">
      <c r="A654" s="3">
        <v>1995</v>
      </c>
      <c r="B654" s="4" t="s">
        <v>4097</v>
      </c>
      <c r="C654" s="3" t="s">
        <v>4098</v>
      </c>
      <c r="D654" s="3" t="e">
        <f>VLOOKUP(A654,Hebrew!A:C,3,0)</f>
        <v>#N/A</v>
      </c>
      <c r="E654" s="3" t="s">
        <v>4099</v>
      </c>
      <c r="F654" s="3" t="e">
        <f>VLOOKUP($A654,Hebrew!$A:$S,4,0)</f>
        <v>#N/A</v>
      </c>
      <c r="G654" s="3" t="s">
        <v>192</v>
      </c>
      <c r="H654" s="3" t="s">
        <v>1314</v>
      </c>
      <c r="I654" s="3" t="s">
        <v>1314</v>
      </c>
      <c r="J654" s="3" t="s">
        <v>3876</v>
      </c>
      <c r="K654" s="2"/>
      <c r="L654" s="3" t="e">
        <f>VLOOKUP($A654,Hebrew!$A:$S,9,0)</f>
        <v>#N/A</v>
      </c>
      <c r="M654" s="2"/>
      <c r="N654" s="2"/>
      <c r="O654" s="3" t="s">
        <v>26</v>
      </c>
      <c r="P654" s="3" t="s">
        <v>51</v>
      </c>
      <c r="Q654" s="3" t="e">
        <f>VLOOKUP($A654,Hebrew!$A:$S,13,0)</f>
        <v>#N/A</v>
      </c>
      <c r="R654" s="3" t="s">
        <v>1694</v>
      </c>
      <c r="S654" s="3" t="s">
        <v>397</v>
      </c>
      <c r="T654" s="3" t="s">
        <v>4100</v>
      </c>
      <c r="U654" s="3" t="s">
        <v>612</v>
      </c>
      <c r="V654" s="3" t="s">
        <v>653</v>
      </c>
      <c r="W654" s="2"/>
      <c r="X654" s="2"/>
      <c r="Y654" s="2"/>
    </row>
    <row r="655" spans="1:25" hidden="1" x14ac:dyDescent="0.2">
      <c r="A655" s="3">
        <v>1475</v>
      </c>
      <c r="B655" s="4" t="s">
        <v>4101</v>
      </c>
      <c r="C655" s="3" t="s">
        <v>4102</v>
      </c>
      <c r="D655" s="3" t="e">
        <f>VLOOKUP(A655,Hebrew!A:C,3,0)</f>
        <v>#N/A</v>
      </c>
      <c r="E655" s="3" t="s">
        <v>4103</v>
      </c>
      <c r="F655" s="3" t="e">
        <f>VLOOKUP($A655,Hebrew!$A:$S,4,0)</f>
        <v>#N/A</v>
      </c>
      <c r="G655" s="3" t="s">
        <v>4104</v>
      </c>
      <c r="H655" s="3" t="s">
        <v>4104</v>
      </c>
      <c r="I655" s="3" t="s">
        <v>4104</v>
      </c>
      <c r="J655" s="3" t="s">
        <v>4105</v>
      </c>
      <c r="K655" s="3" t="s">
        <v>4106</v>
      </c>
      <c r="L655" s="3" t="e">
        <f>VLOOKUP($A655,Hebrew!$A:$S,9,0)</f>
        <v>#N/A</v>
      </c>
      <c r="M655" s="2"/>
      <c r="N655" s="2"/>
      <c r="O655" s="3" t="s">
        <v>26</v>
      </c>
      <c r="P655" s="3" t="s">
        <v>3083</v>
      </c>
      <c r="Q655" s="3" t="e">
        <f>VLOOKUP($A655,Hebrew!$A:$S,13,0)</f>
        <v>#N/A</v>
      </c>
      <c r="R655" s="3" t="s">
        <v>41</v>
      </c>
      <c r="S655" s="3" t="s">
        <v>29</v>
      </c>
      <c r="T655" s="3" t="s">
        <v>4107</v>
      </c>
      <c r="U655" s="3" t="s">
        <v>4108</v>
      </c>
      <c r="V655" s="3" t="s">
        <v>357</v>
      </c>
      <c r="W655" s="2"/>
      <c r="X655" s="2"/>
      <c r="Y655" s="2"/>
    </row>
    <row r="656" spans="1:25" hidden="1" x14ac:dyDescent="0.2">
      <c r="A656" s="3">
        <v>1781</v>
      </c>
      <c r="B656" s="4" t="s">
        <v>4109</v>
      </c>
      <c r="C656" s="3" t="s">
        <v>4110</v>
      </c>
      <c r="D656" s="3" t="e">
        <f>VLOOKUP(A656,Hebrew!A:C,3,0)</f>
        <v>#N/A</v>
      </c>
      <c r="E656" s="3" t="s">
        <v>4111</v>
      </c>
      <c r="F656" s="3" t="e">
        <f>VLOOKUP($A656,Hebrew!$A:$S,4,0)</f>
        <v>#N/A</v>
      </c>
      <c r="G656" s="3" t="s">
        <v>77</v>
      </c>
      <c r="H656" s="3" t="s">
        <v>77</v>
      </c>
      <c r="I656" s="3" t="s">
        <v>77</v>
      </c>
      <c r="J656" s="3" t="s">
        <v>173</v>
      </c>
      <c r="K656" s="3" t="s">
        <v>4112</v>
      </c>
      <c r="L656" s="3" t="e">
        <f>VLOOKUP($A656,Hebrew!$A:$S,9,0)</f>
        <v>#N/A</v>
      </c>
      <c r="M656" s="2"/>
      <c r="N656" s="2"/>
      <c r="O656" s="3" t="s">
        <v>26</v>
      </c>
      <c r="P656" s="3" t="s">
        <v>4113</v>
      </c>
      <c r="Q656" s="3" t="e">
        <f>VLOOKUP($A656,Hebrew!$A:$S,13,0)</f>
        <v>#N/A</v>
      </c>
      <c r="R656" s="3" t="s">
        <v>1215</v>
      </c>
      <c r="S656" s="3" t="s">
        <v>397</v>
      </c>
      <c r="T656" s="3" t="s">
        <v>4114</v>
      </c>
      <c r="U656" s="3" t="s">
        <v>4115</v>
      </c>
      <c r="V656" s="3" t="s">
        <v>4116</v>
      </c>
      <c r="W656" s="3" t="s">
        <v>4117</v>
      </c>
      <c r="X656" s="2"/>
      <c r="Y656" s="2"/>
    </row>
    <row r="657" spans="1:25" hidden="1" x14ac:dyDescent="0.2">
      <c r="A657" s="3">
        <v>1776</v>
      </c>
      <c r="B657" s="4" t="s">
        <v>4118</v>
      </c>
      <c r="C657" s="3" t="s">
        <v>4119</v>
      </c>
      <c r="D657" s="3" t="e">
        <f>VLOOKUP(A657,Hebrew!A:C,3,0)</f>
        <v>#N/A</v>
      </c>
      <c r="E657" s="3" t="s">
        <v>4120</v>
      </c>
      <c r="F657" s="3" t="e">
        <f>VLOOKUP($A657,Hebrew!$A:$S,4,0)</f>
        <v>#N/A</v>
      </c>
      <c r="G657" s="3" t="s">
        <v>1113</v>
      </c>
      <c r="H657" s="3" t="s">
        <v>1113</v>
      </c>
      <c r="I657" s="3" t="s">
        <v>1113</v>
      </c>
      <c r="J657" s="3" t="s">
        <v>173</v>
      </c>
      <c r="K657" s="3" t="s">
        <v>4121</v>
      </c>
      <c r="L657" s="3" t="e">
        <f>VLOOKUP($A657,Hebrew!$A:$S,9,0)</f>
        <v>#N/A</v>
      </c>
      <c r="M657" s="2"/>
      <c r="N657" s="2"/>
      <c r="O657" s="3" t="s">
        <v>26</v>
      </c>
      <c r="P657" s="3" t="s">
        <v>4122</v>
      </c>
      <c r="Q657" s="3" t="e">
        <f>VLOOKUP($A657,Hebrew!$A:$S,13,0)</f>
        <v>#N/A</v>
      </c>
      <c r="R657" s="3" t="s">
        <v>1215</v>
      </c>
      <c r="S657" s="3" t="s">
        <v>397</v>
      </c>
      <c r="T657" s="3" t="s">
        <v>4123</v>
      </c>
      <c r="U657" s="3" t="s">
        <v>4124</v>
      </c>
      <c r="V657" s="3" t="s">
        <v>4125</v>
      </c>
      <c r="W657" s="3" t="s">
        <v>2533</v>
      </c>
      <c r="X657" s="2"/>
      <c r="Y657" s="2"/>
    </row>
    <row r="658" spans="1:25" hidden="1" x14ac:dyDescent="0.2">
      <c r="A658" s="3">
        <v>1447</v>
      </c>
      <c r="B658" s="4" t="s">
        <v>4126</v>
      </c>
      <c r="C658" s="3" t="s">
        <v>4127</v>
      </c>
      <c r="D658" s="3" t="e">
        <f>VLOOKUP(A658,Hebrew!A:C,3,0)</f>
        <v>#N/A</v>
      </c>
      <c r="E658" s="3" t="s">
        <v>4128</v>
      </c>
      <c r="F658" s="3" t="e">
        <f>VLOOKUP($A658,Hebrew!$A:$S,4,0)</f>
        <v>#N/A</v>
      </c>
      <c r="G658" s="3" t="s">
        <v>2961</v>
      </c>
      <c r="H658" s="3" t="s">
        <v>67</v>
      </c>
      <c r="I658" s="3" t="s">
        <v>2961</v>
      </c>
      <c r="J658" s="3" t="s">
        <v>393</v>
      </c>
      <c r="K658" s="3" t="s">
        <v>4129</v>
      </c>
      <c r="L658" s="3" t="e">
        <f>VLOOKUP($A658,Hebrew!$A:$S,9,0)</f>
        <v>#N/A</v>
      </c>
      <c r="M658" s="2"/>
      <c r="N658" s="2"/>
      <c r="O658" s="3" t="s">
        <v>26</v>
      </c>
      <c r="P658" s="3" t="s">
        <v>989</v>
      </c>
      <c r="Q658" s="3" t="e">
        <f>VLOOKUP($A658,Hebrew!$A:$S,13,0)</f>
        <v>#N/A</v>
      </c>
      <c r="R658" s="3" t="s">
        <v>396</v>
      </c>
      <c r="S658" s="3" t="s">
        <v>982</v>
      </c>
      <c r="T658" s="3" t="s">
        <v>4130</v>
      </c>
      <c r="U658" s="3" t="s">
        <v>4131</v>
      </c>
      <c r="V658" s="3" t="s">
        <v>709</v>
      </c>
      <c r="W658" s="2"/>
      <c r="X658" s="2"/>
      <c r="Y658" s="2"/>
    </row>
    <row r="659" spans="1:25" hidden="1" x14ac:dyDescent="0.2">
      <c r="A659" s="3">
        <v>321</v>
      </c>
      <c r="B659" s="4" t="s">
        <v>4132</v>
      </c>
      <c r="C659" s="3" t="s">
        <v>4133</v>
      </c>
      <c r="D659" s="3" t="e">
        <f>VLOOKUP(A659,Hebrew!A:C,3,0)</f>
        <v>#N/A</v>
      </c>
      <c r="E659" s="3" t="s">
        <v>4134</v>
      </c>
      <c r="F659" s="3" t="e">
        <f>VLOOKUP($A659,Hebrew!$A:$S,4,0)</f>
        <v>#N/A</v>
      </c>
      <c r="G659" s="3" t="s">
        <v>658</v>
      </c>
      <c r="H659" s="2"/>
      <c r="I659" s="2"/>
      <c r="J659" s="3" t="s">
        <v>3973</v>
      </c>
      <c r="K659" s="3" t="s">
        <v>3973</v>
      </c>
      <c r="L659" s="3" t="e">
        <f>VLOOKUP($A659,Hebrew!$A:$S,9,0)</f>
        <v>#N/A</v>
      </c>
      <c r="M659" s="2"/>
      <c r="N659" s="2"/>
      <c r="O659" s="3" t="s">
        <v>26</v>
      </c>
      <c r="P659" s="3" t="s">
        <v>27</v>
      </c>
      <c r="Q659" s="3" t="e">
        <f>VLOOKUP($A659,Hebrew!$A:$S,13,0)</f>
        <v>#N/A</v>
      </c>
      <c r="R659" s="3" t="s">
        <v>1215</v>
      </c>
      <c r="S659" s="3" t="s">
        <v>2005</v>
      </c>
      <c r="T659" s="3" t="s">
        <v>4135</v>
      </c>
      <c r="U659" s="3" t="s">
        <v>4136</v>
      </c>
      <c r="V659" s="3" t="s">
        <v>773</v>
      </c>
      <c r="W659" s="2"/>
      <c r="X659" s="2"/>
      <c r="Y659" s="2"/>
    </row>
    <row r="660" spans="1:25" hidden="1" x14ac:dyDescent="0.2">
      <c r="A660" s="3">
        <v>893</v>
      </c>
      <c r="B660" s="4" t="s">
        <v>4137</v>
      </c>
      <c r="C660" s="3" t="s">
        <v>4138</v>
      </c>
      <c r="D660" s="3" t="e">
        <f>VLOOKUP(A660,Hebrew!A:C,3,0)</f>
        <v>#N/A</v>
      </c>
      <c r="E660" s="3" t="s">
        <v>4139</v>
      </c>
      <c r="F660" s="3" t="e">
        <f>VLOOKUP($A660,Hebrew!$A:$S,4,0)</f>
        <v>#N/A</v>
      </c>
      <c r="G660" s="3" t="s">
        <v>1512</v>
      </c>
      <c r="H660" s="3" t="s">
        <v>2608</v>
      </c>
      <c r="I660" s="7">
        <v>45291</v>
      </c>
      <c r="J660" s="3" t="s">
        <v>1213</v>
      </c>
      <c r="K660" s="3" t="s">
        <v>4140</v>
      </c>
      <c r="L660" s="3" t="e">
        <f>VLOOKUP($A660,Hebrew!$A:$S,9,0)</f>
        <v>#N/A</v>
      </c>
      <c r="M660" s="2"/>
      <c r="N660" s="6" t="s">
        <v>4141</v>
      </c>
      <c r="O660" s="3" t="s">
        <v>26</v>
      </c>
      <c r="P660" s="2"/>
      <c r="Q660" s="3" t="e">
        <f>VLOOKUP($A660,Hebrew!$A:$S,13,0)</f>
        <v>#N/A</v>
      </c>
      <c r="R660" s="3" t="s">
        <v>28</v>
      </c>
      <c r="S660" s="3" t="s">
        <v>29</v>
      </c>
      <c r="T660" s="3" t="s">
        <v>4142</v>
      </c>
      <c r="U660" s="3" t="s">
        <v>275</v>
      </c>
      <c r="V660" s="3" t="s">
        <v>3886</v>
      </c>
      <c r="W660" s="3" t="s">
        <v>898</v>
      </c>
      <c r="X660" s="2"/>
      <c r="Y660" s="2"/>
    </row>
    <row r="661" spans="1:25" hidden="1" x14ac:dyDescent="0.2">
      <c r="A661" s="3">
        <v>278</v>
      </c>
      <c r="B661" s="4" t="s">
        <v>4143</v>
      </c>
      <c r="C661" s="3" t="s">
        <v>4144</v>
      </c>
      <c r="D661" s="3" t="e">
        <f>VLOOKUP(A661,Hebrew!A:C,3,0)</f>
        <v>#N/A</v>
      </c>
      <c r="E661" s="3" t="s">
        <v>4145</v>
      </c>
      <c r="F661" s="3" t="e">
        <f>VLOOKUP($A661,Hebrew!$A:$S,4,0)</f>
        <v>#N/A</v>
      </c>
      <c r="G661" s="3" t="s">
        <v>683</v>
      </c>
      <c r="H661" s="2"/>
      <c r="I661" s="2"/>
      <c r="J661" s="3" t="s">
        <v>393</v>
      </c>
      <c r="K661" s="3" t="s">
        <v>453</v>
      </c>
      <c r="L661" s="3" t="e">
        <f>VLOOKUP($A661,Hebrew!$A:$S,9,0)</f>
        <v>#N/A</v>
      </c>
      <c r="M661" s="2"/>
      <c r="N661" s="2"/>
      <c r="O661" s="3" t="s">
        <v>426</v>
      </c>
      <c r="P661" s="3" t="s">
        <v>27</v>
      </c>
      <c r="Q661" s="3" t="e">
        <f>VLOOKUP($A661,Hebrew!$A:$S,13,0)</f>
        <v>#N/A</v>
      </c>
      <c r="R661" s="3" t="s">
        <v>396</v>
      </c>
      <c r="S661" s="3" t="s">
        <v>413</v>
      </c>
      <c r="T661" s="3" t="s">
        <v>4146</v>
      </c>
      <c r="U661" s="3" t="s">
        <v>253</v>
      </c>
      <c r="V661" s="3" t="s">
        <v>4147</v>
      </c>
      <c r="W661" s="3" t="s">
        <v>4148</v>
      </c>
      <c r="X661" s="2"/>
      <c r="Y661" s="2"/>
    </row>
    <row r="662" spans="1:25" hidden="1" x14ac:dyDescent="0.2">
      <c r="A662" s="3">
        <v>582</v>
      </c>
      <c r="B662" s="4" t="s">
        <v>4149</v>
      </c>
      <c r="C662" s="3" t="s">
        <v>4150</v>
      </c>
      <c r="D662" s="3" t="e">
        <f>VLOOKUP(A662,Hebrew!A:C,3,0)</f>
        <v>#N/A</v>
      </c>
      <c r="E662" s="3" t="s">
        <v>4151</v>
      </c>
      <c r="F662" s="3" t="e">
        <f>VLOOKUP($A662,Hebrew!$A:$S,4,0)</f>
        <v>#N/A</v>
      </c>
      <c r="G662" s="3" t="s">
        <v>2052</v>
      </c>
      <c r="H662" s="3" t="s">
        <v>946</v>
      </c>
      <c r="I662" s="3" t="s">
        <v>946</v>
      </c>
      <c r="J662" s="3" t="s">
        <v>393</v>
      </c>
      <c r="K662" s="3" t="s">
        <v>453</v>
      </c>
      <c r="L662" s="3" t="e">
        <f>VLOOKUP($A662,Hebrew!$A:$S,9,0)</f>
        <v>#N/A</v>
      </c>
      <c r="M662" s="2"/>
      <c r="N662" s="2"/>
      <c r="O662" s="3" t="s">
        <v>426</v>
      </c>
      <c r="P662" s="3" t="s">
        <v>27</v>
      </c>
      <c r="Q662" s="3" t="e">
        <f>VLOOKUP($A662,Hebrew!$A:$S,13,0)</f>
        <v>#N/A</v>
      </c>
      <c r="R662" s="3" t="s">
        <v>396</v>
      </c>
      <c r="S662" s="3" t="s">
        <v>455</v>
      </c>
      <c r="T662" s="3" t="s">
        <v>4152</v>
      </c>
      <c r="U662" s="3" t="s">
        <v>43</v>
      </c>
      <c r="V662" s="3" t="s">
        <v>27</v>
      </c>
      <c r="W662" s="2"/>
      <c r="X662" s="2"/>
      <c r="Y662" s="2"/>
    </row>
    <row r="663" spans="1:25" hidden="1" x14ac:dyDescent="0.2">
      <c r="A663" s="3">
        <v>790</v>
      </c>
      <c r="B663" s="4" t="s">
        <v>4153</v>
      </c>
      <c r="C663" s="3" t="s">
        <v>4154</v>
      </c>
      <c r="D663" s="3" t="e">
        <f>VLOOKUP(A663,Hebrew!A:C,3,0)</f>
        <v>#N/A</v>
      </c>
      <c r="E663" s="3" t="s">
        <v>4155</v>
      </c>
      <c r="F663" s="3" t="e">
        <f>VLOOKUP($A663,Hebrew!$A:$S,4,0)</f>
        <v>#N/A</v>
      </c>
      <c r="G663" s="3" t="s">
        <v>1773</v>
      </c>
      <c r="H663" s="2"/>
      <c r="I663" s="2"/>
      <c r="J663" s="3" t="s">
        <v>393</v>
      </c>
      <c r="K663" s="3" t="s">
        <v>453</v>
      </c>
      <c r="L663" s="3" t="e">
        <f>VLOOKUP($A663,Hebrew!$A:$S,9,0)</f>
        <v>#N/A</v>
      </c>
      <c r="M663" s="2"/>
      <c r="N663" s="2"/>
      <c r="O663" s="3" t="s">
        <v>426</v>
      </c>
      <c r="P663" s="3" t="s">
        <v>395</v>
      </c>
      <c r="Q663" s="3" t="e">
        <f>VLOOKUP($A663,Hebrew!$A:$S,13,0)</f>
        <v>#N/A</v>
      </c>
      <c r="R663" s="3" t="s">
        <v>396</v>
      </c>
      <c r="S663" s="3" t="s">
        <v>982</v>
      </c>
      <c r="T663" s="3" t="s">
        <v>4156</v>
      </c>
      <c r="U663" s="3" t="s">
        <v>43</v>
      </c>
      <c r="V663" s="3" t="s">
        <v>395</v>
      </c>
      <c r="W663" s="2"/>
      <c r="X663" s="2"/>
      <c r="Y663" s="2"/>
    </row>
    <row r="664" spans="1:25" hidden="1" x14ac:dyDescent="0.2">
      <c r="A664" s="3">
        <v>792</v>
      </c>
      <c r="B664" s="4" t="s">
        <v>4157</v>
      </c>
      <c r="C664" s="3" t="s">
        <v>4158</v>
      </c>
      <c r="D664" s="3" t="e">
        <f>VLOOKUP(A664,Hebrew!A:C,3,0)</f>
        <v>#N/A</v>
      </c>
      <c r="E664" s="3" t="s">
        <v>4159</v>
      </c>
      <c r="F664" s="3" t="e">
        <f>VLOOKUP($A664,Hebrew!$A:$S,4,0)</f>
        <v>#N/A</v>
      </c>
      <c r="G664" s="3" t="s">
        <v>1761</v>
      </c>
      <c r="H664" s="3" t="s">
        <v>2776</v>
      </c>
      <c r="I664" s="3" t="s">
        <v>4086</v>
      </c>
      <c r="J664" s="3" t="s">
        <v>393</v>
      </c>
      <c r="K664" s="3" t="s">
        <v>453</v>
      </c>
      <c r="L664" s="3" t="e">
        <f>VLOOKUP($A664,Hebrew!$A:$S,9,0)</f>
        <v>#N/A</v>
      </c>
      <c r="M664" s="3" t="s">
        <v>1587</v>
      </c>
      <c r="N664" s="2"/>
      <c r="O664" s="3" t="s">
        <v>493</v>
      </c>
      <c r="P664" s="3" t="s">
        <v>989</v>
      </c>
      <c r="Q664" s="3" t="e">
        <f>VLOOKUP($A664,Hebrew!$A:$S,13,0)</f>
        <v>#N/A</v>
      </c>
      <c r="R664" s="3" t="s">
        <v>396</v>
      </c>
      <c r="S664" s="3" t="s">
        <v>397</v>
      </c>
      <c r="T664" s="3" t="s">
        <v>4160</v>
      </c>
      <c r="U664" s="3" t="s">
        <v>43</v>
      </c>
      <c r="V664" s="3" t="s">
        <v>27</v>
      </c>
      <c r="W664" s="2"/>
      <c r="X664" s="2"/>
      <c r="Y664" s="2"/>
    </row>
    <row r="665" spans="1:25" hidden="1" x14ac:dyDescent="0.2">
      <c r="A665" s="3">
        <v>1163</v>
      </c>
      <c r="B665" s="4" t="s">
        <v>4161</v>
      </c>
      <c r="C665" s="3" t="s">
        <v>4162</v>
      </c>
      <c r="D665" s="3" t="e">
        <f>VLOOKUP(A665,Hebrew!A:C,3,0)</f>
        <v>#N/A</v>
      </c>
      <c r="E665" s="3" t="s">
        <v>4163</v>
      </c>
      <c r="F665" s="3" t="e">
        <f>VLOOKUP($A665,Hebrew!$A:$S,4,0)</f>
        <v>#N/A</v>
      </c>
      <c r="G665" s="3" t="s">
        <v>4164</v>
      </c>
      <c r="H665" s="3" t="s">
        <v>4165</v>
      </c>
      <c r="I665" s="3" t="s">
        <v>1722</v>
      </c>
      <c r="J665" s="4" t="s">
        <v>2678</v>
      </c>
      <c r="K665" s="3" t="s">
        <v>2678</v>
      </c>
      <c r="L665" s="3" t="e">
        <f>VLOOKUP($A665,Hebrew!$A:$S,9,0)</f>
        <v>#N/A</v>
      </c>
      <c r="M665" s="2"/>
      <c r="N665" s="2"/>
      <c r="O665" s="3" t="s">
        <v>26</v>
      </c>
      <c r="P665" s="3" t="s">
        <v>27</v>
      </c>
      <c r="Q665" s="3" t="e">
        <f>VLOOKUP($A665,Hebrew!$A:$S,13,0)</f>
        <v>#N/A</v>
      </c>
      <c r="R665" s="3" t="s">
        <v>28</v>
      </c>
      <c r="S665" s="3" t="s">
        <v>397</v>
      </c>
      <c r="T665" s="3" t="s">
        <v>4166</v>
      </c>
      <c r="U665" s="3" t="s">
        <v>43</v>
      </c>
      <c r="V665" s="3" t="s">
        <v>4167</v>
      </c>
      <c r="W665" s="2"/>
      <c r="X665" s="2"/>
      <c r="Y665" s="2"/>
    </row>
    <row r="666" spans="1:25" hidden="1" x14ac:dyDescent="0.2">
      <c r="A666" s="3">
        <v>949</v>
      </c>
      <c r="B666" s="4" t="s">
        <v>4168</v>
      </c>
      <c r="C666" s="3" t="s">
        <v>4169</v>
      </c>
      <c r="D666" s="3" t="e">
        <f>VLOOKUP(A666,Hebrew!A:C,3,0)</f>
        <v>#N/A</v>
      </c>
      <c r="E666" s="3" t="s">
        <v>4170</v>
      </c>
      <c r="F666" s="3" t="e">
        <f>VLOOKUP($A666,Hebrew!$A:$S,4,0)</f>
        <v>#N/A</v>
      </c>
      <c r="G666" s="3" t="s">
        <v>4171</v>
      </c>
      <c r="H666" s="3" t="s">
        <v>2706</v>
      </c>
      <c r="I666" s="3" t="s">
        <v>1521</v>
      </c>
      <c r="J666" s="3" t="s">
        <v>3921</v>
      </c>
      <c r="K666" s="3" t="s">
        <v>4172</v>
      </c>
      <c r="L666" s="3" t="e">
        <f>VLOOKUP($A666,Hebrew!$A:$S,9,0)</f>
        <v>#N/A</v>
      </c>
      <c r="M666" s="2"/>
      <c r="N666" s="6" t="s">
        <v>4173</v>
      </c>
      <c r="O666" s="3" t="s">
        <v>39</v>
      </c>
      <c r="P666" s="3" t="s">
        <v>60</v>
      </c>
      <c r="Q666" s="3" t="e">
        <f>VLOOKUP($A666,Hebrew!$A:$S,13,0)</f>
        <v>#N/A</v>
      </c>
      <c r="R666" s="3" t="s">
        <v>28</v>
      </c>
      <c r="S666" s="3" t="s">
        <v>29</v>
      </c>
      <c r="T666" s="3" t="s">
        <v>4174</v>
      </c>
      <c r="U666" s="3" t="s">
        <v>4175</v>
      </c>
      <c r="V666" s="3" t="s">
        <v>4176</v>
      </c>
      <c r="W666" s="3" t="s">
        <v>3926</v>
      </c>
      <c r="X666" s="2"/>
      <c r="Y666" s="2"/>
    </row>
    <row r="667" spans="1:25" hidden="1" x14ac:dyDescent="0.2">
      <c r="A667" s="3">
        <v>1948</v>
      </c>
      <c r="B667" s="4" t="s">
        <v>4177</v>
      </c>
      <c r="C667" s="3" t="s">
        <v>4178</v>
      </c>
      <c r="D667" s="3" t="e">
        <f>VLOOKUP(A667,Hebrew!A:C,3,0)</f>
        <v>#N/A</v>
      </c>
      <c r="E667" s="3" t="s">
        <v>4179</v>
      </c>
      <c r="F667" s="3" t="e">
        <f>VLOOKUP($A667,Hebrew!$A:$S,4,0)</f>
        <v>#N/A</v>
      </c>
      <c r="G667" s="3" t="s">
        <v>3088</v>
      </c>
      <c r="H667" s="3" t="s">
        <v>4180</v>
      </c>
      <c r="I667" s="3" t="s">
        <v>4180</v>
      </c>
      <c r="J667" s="3" t="s">
        <v>110</v>
      </c>
      <c r="K667" s="3" t="s">
        <v>4181</v>
      </c>
      <c r="L667" s="3" t="e">
        <f>VLOOKUP($A667,Hebrew!$A:$S,9,0)</f>
        <v>#N/A</v>
      </c>
      <c r="M667" s="2"/>
      <c r="N667" s="2"/>
      <c r="O667" s="3" t="s">
        <v>26</v>
      </c>
      <c r="P667" s="3" t="s">
        <v>3334</v>
      </c>
      <c r="Q667" s="3" t="e">
        <f>VLOOKUP($A667,Hebrew!$A:$S,13,0)</f>
        <v>#N/A</v>
      </c>
      <c r="R667" s="3" t="s">
        <v>1215</v>
      </c>
      <c r="S667" s="3" t="s">
        <v>413</v>
      </c>
      <c r="T667" s="3" t="s">
        <v>4182</v>
      </c>
      <c r="U667" s="3" t="s">
        <v>4183</v>
      </c>
      <c r="V667" s="3" t="s">
        <v>357</v>
      </c>
      <c r="W667" s="2"/>
      <c r="X667" s="2"/>
      <c r="Y667" s="2"/>
    </row>
    <row r="668" spans="1:25" hidden="1" x14ac:dyDescent="0.2">
      <c r="A668" s="3">
        <v>227</v>
      </c>
      <c r="B668" s="4" t="s">
        <v>4184</v>
      </c>
      <c r="C668" s="3" t="s">
        <v>4185</v>
      </c>
      <c r="D668" s="3" t="e">
        <f>VLOOKUP(A668,Hebrew!A:C,3,0)</f>
        <v>#N/A</v>
      </c>
      <c r="E668" s="3" t="s">
        <v>4186</v>
      </c>
      <c r="F668" s="3" t="e">
        <f>VLOOKUP($A668,Hebrew!$A:$S,4,0)</f>
        <v>#N/A</v>
      </c>
      <c r="G668" s="3" t="s">
        <v>545</v>
      </c>
      <c r="H668" s="3" t="s">
        <v>2683</v>
      </c>
      <c r="I668" s="3" t="s">
        <v>4187</v>
      </c>
      <c r="J668" s="3" t="s">
        <v>1353</v>
      </c>
      <c r="K668" s="3" t="s">
        <v>4188</v>
      </c>
      <c r="L668" s="3" t="e">
        <f>VLOOKUP($A668,Hebrew!$A:$S,9,0)</f>
        <v>#N/A</v>
      </c>
      <c r="M668" s="2"/>
      <c r="N668" s="2"/>
      <c r="O668" s="3" t="s">
        <v>26</v>
      </c>
      <c r="P668" s="3" t="s">
        <v>40</v>
      </c>
      <c r="Q668" s="3" t="e">
        <f>VLOOKUP($A668,Hebrew!$A:$S,13,0)</f>
        <v>#N/A</v>
      </c>
      <c r="R668" s="3" t="s">
        <v>1215</v>
      </c>
      <c r="S668" s="3" t="s">
        <v>397</v>
      </c>
      <c r="T668" s="3" t="s">
        <v>4189</v>
      </c>
      <c r="U668" s="3" t="s">
        <v>4190</v>
      </c>
      <c r="V668" s="3" t="s">
        <v>4191</v>
      </c>
      <c r="W668" s="3" t="s">
        <v>1342</v>
      </c>
      <c r="X668" s="2"/>
      <c r="Y668" s="2"/>
    </row>
    <row r="669" spans="1:25" hidden="1" x14ac:dyDescent="0.2">
      <c r="A669" s="3">
        <v>945</v>
      </c>
      <c r="B669" s="4" t="s">
        <v>4192</v>
      </c>
      <c r="C669" s="3" t="s">
        <v>4193</v>
      </c>
      <c r="D669" s="3" t="e">
        <f>VLOOKUP(A669,Hebrew!A:C,3,0)</f>
        <v>#N/A</v>
      </c>
      <c r="E669" s="3" t="s">
        <v>4194</v>
      </c>
      <c r="F669" s="3" t="e">
        <f>VLOOKUP($A669,Hebrew!$A:$S,4,0)</f>
        <v>#N/A</v>
      </c>
      <c r="G669" s="3" t="s">
        <v>4195</v>
      </c>
      <c r="H669" s="3" t="s">
        <v>4196</v>
      </c>
      <c r="I669" s="3" t="s">
        <v>2697</v>
      </c>
      <c r="J669" s="3" t="s">
        <v>3921</v>
      </c>
      <c r="K669" s="3" t="s">
        <v>3922</v>
      </c>
      <c r="L669" s="3" t="e">
        <f>VLOOKUP($A669,Hebrew!$A:$S,9,0)</f>
        <v>#N/A</v>
      </c>
      <c r="M669" s="2"/>
      <c r="N669" s="6" t="s">
        <v>4197</v>
      </c>
      <c r="O669" s="3" t="s">
        <v>39</v>
      </c>
      <c r="P669" s="3" t="s">
        <v>60</v>
      </c>
      <c r="Q669" s="3" t="e">
        <f>VLOOKUP($A669,Hebrew!$A:$S,13,0)</f>
        <v>#N/A</v>
      </c>
      <c r="R669" s="3" t="s">
        <v>2563</v>
      </c>
      <c r="S669" s="3" t="s">
        <v>29</v>
      </c>
      <c r="T669" s="3" t="s">
        <v>4198</v>
      </c>
      <c r="U669" s="3" t="s">
        <v>4199</v>
      </c>
      <c r="V669" s="3" t="s">
        <v>3683</v>
      </c>
      <c r="W669" s="3" t="s">
        <v>4200</v>
      </c>
      <c r="X669" s="2"/>
      <c r="Y669" s="2"/>
    </row>
    <row r="670" spans="1:25" hidden="1" x14ac:dyDescent="0.2">
      <c r="A670" s="3">
        <v>97</v>
      </c>
      <c r="B670" s="4" t="s">
        <v>4201</v>
      </c>
      <c r="C670" s="3" t="s">
        <v>4202</v>
      </c>
      <c r="D670" s="3" t="e">
        <f>VLOOKUP(A670,Hebrew!A:C,3,0)</f>
        <v>#N/A</v>
      </c>
      <c r="E670" s="3" t="s">
        <v>4203</v>
      </c>
      <c r="F670" s="3" t="e">
        <f>VLOOKUP($A670,Hebrew!$A:$S,4,0)</f>
        <v>#N/A</v>
      </c>
      <c r="G670" s="3" t="s">
        <v>451</v>
      </c>
      <c r="H670" s="3" t="s">
        <v>451</v>
      </c>
      <c r="I670" s="3" t="s">
        <v>451</v>
      </c>
      <c r="J670" s="3" t="s">
        <v>4204</v>
      </c>
      <c r="K670" s="3" t="s">
        <v>4205</v>
      </c>
      <c r="L670" s="3" t="e">
        <f>VLOOKUP($A670,Hebrew!$A:$S,9,0)</f>
        <v>#N/A</v>
      </c>
      <c r="M670" s="2"/>
      <c r="N670" s="2"/>
      <c r="O670" s="3" t="s">
        <v>26</v>
      </c>
      <c r="P670" s="3" t="s">
        <v>4206</v>
      </c>
      <c r="Q670" s="3" t="e">
        <f>VLOOKUP($A670,Hebrew!$A:$S,13,0)</f>
        <v>#N/A</v>
      </c>
      <c r="R670" s="3" t="s">
        <v>4207</v>
      </c>
      <c r="S670" s="3" t="s">
        <v>29</v>
      </c>
      <c r="T670" s="3" t="s">
        <v>4208</v>
      </c>
      <c r="U670" s="3" t="s">
        <v>4190</v>
      </c>
      <c r="V670" s="3" t="s">
        <v>2323</v>
      </c>
      <c r="W670" s="2"/>
      <c r="X670" s="2"/>
      <c r="Y670" s="2"/>
    </row>
    <row r="671" spans="1:25" hidden="1" x14ac:dyDescent="0.2">
      <c r="A671" s="3">
        <v>953</v>
      </c>
      <c r="B671" s="4" t="s">
        <v>4209</v>
      </c>
      <c r="C671" s="3" t="s">
        <v>4210</v>
      </c>
      <c r="D671" s="3" t="e">
        <f>VLOOKUP(A671,Hebrew!A:C,3,0)</f>
        <v>#N/A</v>
      </c>
      <c r="E671" s="3" t="s">
        <v>4211</v>
      </c>
      <c r="F671" s="3" t="e">
        <f>VLOOKUP($A671,Hebrew!$A:$S,4,0)</f>
        <v>#N/A</v>
      </c>
      <c r="G671" s="3" t="s">
        <v>927</v>
      </c>
      <c r="H671" s="3" t="s">
        <v>927</v>
      </c>
      <c r="I671" s="3" t="s">
        <v>927</v>
      </c>
      <c r="J671" s="3" t="s">
        <v>4061</v>
      </c>
      <c r="K671" s="3" t="s">
        <v>4212</v>
      </c>
      <c r="L671" s="3" t="e">
        <f>VLOOKUP($A671,Hebrew!$A:$S,9,0)</f>
        <v>#N/A</v>
      </c>
      <c r="M671" s="3" t="s">
        <v>201</v>
      </c>
      <c r="N671" s="6" t="s">
        <v>4213</v>
      </c>
      <c r="O671" s="3" t="s">
        <v>39</v>
      </c>
      <c r="P671" s="3" t="s">
        <v>27</v>
      </c>
      <c r="Q671" s="3" t="e">
        <f>VLOOKUP($A671,Hebrew!$A:$S,13,0)</f>
        <v>#N/A</v>
      </c>
      <c r="R671" s="3" t="s">
        <v>41</v>
      </c>
      <c r="S671" s="3" t="s">
        <v>397</v>
      </c>
      <c r="T671" s="3" t="s">
        <v>4214</v>
      </c>
      <c r="U671" s="3" t="s">
        <v>4215</v>
      </c>
      <c r="V671" s="3" t="s">
        <v>27</v>
      </c>
      <c r="W671" s="2"/>
      <c r="X671" s="2"/>
      <c r="Y671" s="2"/>
    </row>
    <row r="672" spans="1:25" hidden="1" x14ac:dyDescent="0.2">
      <c r="A672" s="3">
        <v>1914</v>
      </c>
      <c r="B672" s="4" t="s">
        <v>4216</v>
      </c>
      <c r="C672" s="3" t="s">
        <v>4217</v>
      </c>
      <c r="D672" s="3" t="e">
        <f>VLOOKUP(A672,Hebrew!A:C,3,0)</f>
        <v>#N/A</v>
      </c>
      <c r="E672" s="3" t="s">
        <v>4218</v>
      </c>
      <c r="F672" s="3" t="e">
        <f>VLOOKUP($A672,Hebrew!$A:$S,4,0)</f>
        <v>#N/A</v>
      </c>
      <c r="G672" s="3" t="s">
        <v>4219</v>
      </c>
      <c r="H672" s="3" t="s">
        <v>980</v>
      </c>
      <c r="I672" s="3" t="s">
        <v>4219</v>
      </c>
      <c r="J672" s="3" t="s">
        <v>4220</v>
      </c>
      <c r="K672" s="3" t="s">
        <v>4221</v>
      </c>
      <c r="L672" s="3" t="e">
        <f>VLOOKUP($A672,Hebrew!$A:$S,9,0)</f>
        <v>#N/A</v>
      </c>
      <c r="M672" s="2"/>
      <c r="N672" s="2"/>
      <c r="O672" s="3" t="s">
        <v>26</v>
      </c>
      <c r="P672" s="3" t="s">
        <v>4222</v>
      </c>
      <c r="Q672" s="3" t="e">
        <f>VLOOKUP($A672,Hebrew!$A:$S,13,0)</f>
        <v>#N/A</v>
      </c>
      <c r="R672" s="3" t="s">
        <v>1215</v>
      </c>
      <c r="S672" s="3" t="s">
        <v>2005</v>
      </c>
      <c r="T672" s="3" t="s">
        <v>2541</v>
      </c>
      <c r="U672" s="3" t="s">
        <v>95</v>
      </c>
      <c r="V672" s="3" t="s">
        <v>357</v>
      </c>
      <c r="W672" s="2"/>
      <c r="X672" s="2"/>
      <c r="Y672" s="2"/>
    </row>
    <row r="673" spans="1:25" hidden="1" x14ac:dyDescent="0.2">
      <c r="A673" s="3">
        <v>1838</v>
      </c>
      <c r="B673" s="4" t="s">
        <v>4223</v>
      </c>
      <c r="C673" s="3" t="s">
        <v>4224</v>
      </c>
      <c r="D673" s="3" t="e">
        <f>VLOOKUP(A673,Hebrew!A:C,3,0)</f>
        <v>#N/A</v>
      </c>
      <c r="E673" s="3" t="s">
        <v>4225</v>
      </c>
      <c r="F673" s="3" t="e">
        <f>VLOOKUP($A673,Hebrew!$A:$S,4,0)</f>
        <v>#N/A</v>
      </c>
      <c r="G673" s="3" t="s">
        <v>4226</v>
      </c>
      <c r="H673" s="3" t="s">
        <v>2608</v>
      </c>
      <c r="I673" s="3" t="s">
        <v>4226</v>
      </c>
      <c r="J673" s="3" t="s">
        <v>2831</v>
      </c>
      <c r="K673" s="3" t="s">
        <v>4227</v>
      </c>
      <c r="L673" s="3" t="e">
        <f>VLOOKUP($A673,Hebrew!$A:$S,9,0)</f>
        <v>#N/A</v>
      </c>
      <c r="M673" s="2"/>
      <c r="N673" s="2"/>
      <c r="O673" s="3" t="s">
        <v>26</v>
      </c>
      <c r="P673" s="3" t="s">
        <v>27</v>
      </c>
      <c r="Q673" s="3" t="e">
        <f>VLOOKUP($A673,Hebrew!$A:$S,13,0)</f>
        <v>#N/A</v>
      </c>
      <c r="R673" s="3" t="s">
        <v>1215</v>
      </c>
      <c r="S673" s="3" t="s">
        <v>397</v>
      </c>
      <c r="T673" s="3" t="s">
        <v>4228</v>
      </c>
      <c r="U673" s="3" t="s">
        <v>4229</v>
      </c>
      <c r="V673" s="3" t="s">
        <v>4230</v>
      </c>
      <c r="W673" s="3" t="s">
        <v>4231</v>
      </c>
      <c r="X673" s="2"/>
      <c r="Y673" s="2"/>
    </row>
    <row r="674" spans="1:25" hidden="1" x14ac:dyDescent="0.2">
      <c r="A674" s="3">
        <v>1815</v>
      </c>
      <c r="B674" s="4" t="s">
        <v>4232</v>
      </c>
      <c r="C674" s="3" t="s">
        <v>4233</v>
      </c>
      <c r="D674" s="3" t="e">
        <f>VLOOKUP(A674,Hebrew!A:C,3,0)</f>
        <v>#N/A</v>
      </c>
      <c r="E674" s="3" t="s">
        <v>4234</v>
      </c>
      <c r="F674" s="3" t="e">
        <f>VLOOKUP($A674,Hebrew!$A:$S,4,0)</f>
        <v>#N/A</v>
      </c>
      <c r="G674" s="3" t="s">
        <v>1717</v>
      </c>
      <c r="H674" s="2"/>
      <c r="I674" s="2"/>
      <c r="J674" s="3" t="s">
        <v>110</v>
      </c>
      <c r="K674" s="3" t="s">
        <v>4235</v>
      </c>
      <c r="L674" s="3" t="e">
        <f>VLOOKUP($A674,Hebrew!$A:$S,9,0)</f>
        <v>#N/A</v>
      </c>
      <c r="M674" s="2"/>
      <c r="N674" s="2"/>
      <c r="O674" s="3" t="s">
        <v>26</v>
      </c>
      <c r="P674" s="3" t="s">
        <v>60</v>
      </c>
      <c r="Q674" s="3" t="e">
        <f>VLOOKUP($A674,Hebrew!$A:$S,13,0)</f>
        <v>#N/A</v>
      </c>
      <c r="R674" s="3" t="s">
        <v>1215</v>
      </c>
      <c r="S674" s="3" t="s">
        <v>397</v>
      </c>
      <c r="T674" s="3" t="s">
        <v>4236</v>
      </c>
      <c r="U674" s="3" t="s">
        <v>4237</v>
      </c>
      <c r="V674" s="3" t="s">
        <v>3706</v>
      </c>
      <c r="W674" s="3" t="s">
        <v>2533</v>
      </c>
      <c r="X674" s="2"/>
      <c r="Y674" s="2"/>
    </row>
    <row r="675" spans="1:25" hidden="1" x14ac:dyDescent="0.2">
      <c r="A675" s="3">
        <v>1774</v>
      </c>
      <c r="B675" s="4" t="s">
        <v>4238</v>
      </c>
      <c r="C675" s="3" t="s">
        <v>4239</v>
      </c>
      <c r="D675" s="3" t="e">
        <f>VLOOKUP(A675,Hebrew!A:C,3,0)</f>
        <v>#N/A</v>
      </c>
      <c r="E675" s="3" t="s">
        <v>4240</v>
      </c>
      <c r="F675" s="3" t="e">
        <f>VLOOKUP($A675,Hebrew!$A:$S,4,0)</f>
        <v>#N/A</v>
      </c>
      <c r="G675" s="3" t="s">
        <v>4241</v>
      </c>
      <c r="H675" s="3" t="s">
        <v>4242</v>
      </c>
      <c r="I675" s="2"/>
      <c r="J675" s="3" t="s">
        <v>2821</v>
      </c>
      <c r="K675" s="3" t="s">
        <v>4243</v>
      </c>
      <c r="L675" s="3" t="e">
        <f>VLOOKUP($A675,Hebrew!$A:$S,9,0)</f>
        <v>#N/A</v>
      </c>
      <c r="M675" s="2"/>
      <c r="N675" s="2"/>
      <c r="O675" s="3" t="s">
        <v>26</v>
      </c>
      <c r="P675" s="3" t="s">
        <v>60</v>
      </c>
      <c r="Q675" s="3" t="e">
        <f>VLOOKUP($A675,Hebrew!$A:$S,13,0)</f>
        <v>#N/A</v>
      </c>
      <c r="R675" s="3" t="s">
        <v>1215</v>
      </c>
      <c r="S675" s="3" t="s">
        <v>397</v>
      </c>
      <c r="T675" s="3" t="s">
        <v>4244</v>
      </c>
      <c r="U675" s="3" t="s">
        <v>2721</v>
      </c>
      <c r="V675" s="3" t="s">
        <v>60</v>
      </c>
      <c r="W675" s="3" t="s">
        <v>4245</v>
      </c>
      <c r="X675" s="2"/>
      <c r="Y675" s="2"/>
    </row>
    <row r="676" spans="1:25" hidden="1" x14ac:dyDescent="0.2">
      <c r="A676" s="3">
        <v>1555</v>
      </c>
      <c r="B676" s="4" t="s">
        <v>4246</v>
      </c>
      <c r="C676" s="3" t="s">
        <v>4247</v>
      </c>
      <c r="D676" s="3" t="e">
        <f>VLOOKUP(A676,Hebrew!A:C,3,0)</f>
        <v>#N/A</v>
      </c>
      <c r="E676" s="3" t="s">
        <v>4248</v>
      </c>
      <c r="F676" s="3" t="e">
        <f>VLOOKUP($A676,Hebrew!$A:$S,4,0)</f>
        <v>#N/A</v>
      </c>
      <c r="G676" s="3" t="s">
        <v>4249</v>
      </c>
      <c r="H676" s="3" t="s">
        <v>4249</v>
      </c>
      <c r="I676" s="3" t="s">
        <v>4249</v>
      </c>
      <c r="J676" s="3" t="s">
        <v>2821</v>
      </c>
      <c r="K676" s="3" t="s">
        <v>4250</v>
      </c>
      <c r="L676" s="3" t="e">
        <f>VLOOKUP($A676,Hebrew!$A:$S,9,0)</f>
        <v>#N/A</v>
      </c>
      <c r="M676" s="2"/>
      <c r="N676" s="2"/>
      <c r="O676" s="3" t="s">
        <v>26</v>
      </c>
      <c r="P676" s="3" t="s">
        <v>357</v>
      </c>
      <c r="Q676" s="3" t="e">
        <f>VLOOKUP($A676,Hebrew!$A:$S,13,0)</f>
        <v>#N/A</v>
      </c>
      <c r="R676" s="3" t="s">
        <v>1215</v>
      </c>
      <c r="S676" s="3" t="s">
        <v>500</v>
      </c>
      <c r="T676" s="3" t="s">
        <v>4251</v>
      </c>
      <c r="U676" s="3" t="s">
        <v>652</v>
      </c>
      <c r="V676" s="3" t="s">
        <v>4252</v>
      </c>
      <c r="W676" s="3" t="s">
        <v>2533</v>
      </c>
      <c r="X676" s="2"/>
      <c r="Y676" s="2"/>
    </row>
    <row r="677" spans="1:25" hidden="1" x14ac:dyDescent="0.2">
      <c r="A677" s="3">
        <v>1733</v>
      </c>
      <c r="B677" s="4" t="s">
        <v>4253</v>
      </c>
      <c r="C677" s="3" t="s">
        <v>4254</v>
      </c>
      <c r="D677" s="3" t="e">
        <f>VLOOKUP(A677,Hebrew!A:C,3,0)</f>
        <v>#N/A</v>
      </c>
      <c r="E677" s="3" t="s">
        <v>4255</v>
      </c>
      <c r="F677" s="3" t="e">
        <f>VLOOKUP($A677,Hebrew!$A:$S,4,0)</f>
        <v>#N/A</v>
      </c>
      <c r="G677" s="3" t="s">
        <v>2561</v>
      </c>
      <c r="H677" s="3" t="s">
        <v>1017</v>
      </c>
      <c r="I677" s="3" t="s">
        <v>2561</v>
      </c>
      <c r="J677" s="3" t="s">
        <v>4220</v>
      </c>
      <c r="K677" s="3" t="s">
        <v>4256</v>
      </c>
      <c r="L677" s="3" t="e">
        <f>VLOOKUP($A677,Hebrew!$A:$S,9,0)</f>
        <v>#N/A</v>
      </c>
      <c r="M677" s="2"/>
      <c r="N677" s="2"/>
      <c r="O677" s="3" t="s">
        <v>26</v>
      </c>
      <c r="P677" s="3" t="s">
        <v>357</v>
      </c>
      <c r="Q677" s="3" t="e">
        <f>VLOOKUP($A677,Hebrew!$A:$S,13,0)</f>
        <v>#N/A</v>
      </c>
      <c r="R677" s="3" t="s">
        <v>1215</v>
      </c>
      <c r="S677" s="3" t="s">
        <v>413</v>
      </c>
      <c r="T677" s="3" t="s">
        <v>4257</v>
      </c>
      <c r="U677" s="3" t="s">
        <v>4258</v>
      </c>
      <c r="V677" s="3" t="s">
        <v>3692</v>
      </c>
      <c r="W677" s="3" t="s">
        <v>716</v>
      </c>
      <c r="X677" s="2"/>
      <c r="Y677" s="2"/>
    </row>
    <row r="678" spans="1:25" hidden="1" x14ac:dyDescent="0.2">
      <c r="A678" s="3">
        <v>1541</v>
      </c>
      <c r="B678" s="4" t="s">
        <v>4259</v>
      </c>
      <c r="C678" s="3" t="s">
        <v>4260</v>
      </c>
      <c r="D678" s="3" t="e">
        <f>VLOOKUP(A678,Hebrew!A:C,3,0)</f>
        <v>#N/A</v>
      </c>
      <c r="E678" s="3" t="s">
        <v>4261</v>
      </c>
      <c r="F678" s="3" t="e">
        <f>VLOOKUP($A678,Hebrew!$A:$S,4,0)</f>
        <v>#N/A</v>
      </c>
      <c r="G678" s="3" t="s">
        <v>4262</v>
      </c>
      <c r="H678" s="3" t="s">
        <v>2608</v>
      </c>
      <c r="I678" s="3" t="s">
        <v>3378</v>
      </c>
      <c r="J678" s="3" t="s">
        <v>4263</v>
      </c>
      <c r="K678" s="3" t="s">
        <v>4264</v>
      </c>
      <c r="L678" s="3" t="e">
        <f>VLOOKUP($A678,Hebrew!$A:$S,9,0)</f>
        <v>#N/A</v>
      </c>
      <c r="M678" s="2"/>
      <c r="N678" s="2"/>
      <c r="O678" s="3" t="s">
        <v>4265</v>
      </c>
      <c r="P678" s="3" t="s">
        <v>2992</v>
      </c>
      <c r="Q678" s="3" t="e">
        <f>VLOOKUP($A678,Hebrew!$A:$S,13,0)</f>
        <v>#N/A</v>
      </c>
      <c r="R678" s="3" t="s">
        <v>1215</v>
      </c>
      <c r="S678" s="3" t="s">
        <v>29</v>
      </c>
      <c r="T678" s="3" t="s">
        <v>4266</v>
      </c>
      <c r="U678" s="3" t="s">
        <v>4267</v>
      </c>
      <c r="V678" s="3" t="s">
        <v>1459</v>
      </c>
      <c r="W678" s="2"/>
      <c r="X678" s="2"/>
      <c r="Y678" s="2"/>
    </row>
    <row r="679" spans="1:25" hidden="1" x14ac:dyDescent="0.2">
      <c r="A679" s="3">
        <v>1771</v>
      </c>
      <c r="B679" s="4" t="s">
        <v>4268</v>
      </c>
      <c r="C679" s="3" t="s">
        <v>4269</v>
      </c>
      <c r="D679" s="3" t="e">
        <f>VLOOKUP(A679,Hebrew!A:C,3,0)</f>
        <v>#N/A</v>
      </c>
      <c r="E679" s="3" t="s">
        <v>4270</v>
      </c>
      <c r="F679" s="3" t="e">
        <f>VLOOKUP($A679,Hebrew!$A:$S,4,0)</f>
        <v>#N/A</v>
      </c>
      <c r="G679" s="3" t="s">
        <v>2150</v>
      </c>
      <c r="H679" s="3" t="s">
        <v>1727</v>
      </c>
      <c r="I679" s="2"/>
      <c r="J679" s="3" t="s">
        <v>3531</v>
      </c>
      <c r="K679" s="3" t="s">
        <v>4271</v>
      </c>
      <c r="L679" s="3" t="e">
        <f>VLOOKUP($A679,Hebrew!$A:$S,9,0)</f>
        <v>#N/A</v>
      </c>
      <c r="M679" s="2"/>
      <c r="N679" s="2"/>
      <c r="O679" s="3" t="s">
        <v>26</v>
      </c>
      <c r="P679" s="3" t="s">
        <v>357</v>
      </c>
      <c r="Q679" s="3" t="e">
        <f>VLOOKUP($A679,Hebrew!$A:$S,13,0)</f>
        <v>#N/A</v>
      </c>
      <c r="R679" s="3" t="s">
        <v>2018</v>
      </c>
      <c r="S679" s="3" t="s">
        <v>29</v>
      </c>
      <c r="T679" s="3" t="s">
        <v>4272</v>
      </c>
      <c r="U679" s="3" t="s">
        <v>95</v>
      </c>
      <c r="V679" s="3" t="s">
        <v>4273</v>
      </c>
      <c r="W679" s="3" t="s">
        <v>2533</v>
      </c>
      <c r="X679" s="2"/>
      <c r="Y679" s="2"/>
    </row>
    <row r="680" spans="1:25" hidden="1" x14ac:dyDescent="0.2">
      <c r="A680" s="3">
        <v>1677</v>
      </c>
      <c r="B680" s="4" t="s">
        <v>4274</v>
      </c>
      <c r="C680" s="3" t="s">
        <v>4275</v>
      </c>
      <c r="D680" s="3" t="e">
        <f>VLOOKUP(A680,Hebrew!A:C,3,0)</f>
        <v>#N/A</v>
      </c>
      <c r="E680" s="3" t="s">
        <v>4276</v>
      </c>
      <c r="F680" s="3" t="e">
        <f>VLOOKUP($A680,Hebrew!$A:$S,4,0)</f>
        <v>#N/A</v>
      </c>
      <c r="G680" s="3" t="s">
        <v>2859</v>
      </c>
      <c r="H680" s="2"/>
      <c r="I680" s="2"/>
      <c r="J680" s="3" t="s">
        <v>1684</v>
      </c>
      <c r="K680" s="3" t="s">
        <v>4277</v>
      </c>
      <c r="L680" s="3" t="e">
        <f>VLOOKUP($A680,Hebrew!$A:$S,9,0)</f>
        <v>#N/A</v>
      </c>
      <c r="M680" s="3" t="s">
        <v>2831</v>
      </c>
      <c r="N680" s="4" t="s">
        <v>4278</v>
      </c>
      <c r="O680" s="3" t="s">
        <v>26</v>
      </c>
      <c r="P680" s="3" t="s">
        <v>357</v>
      </c>
      <c r="Q680" s="3" t="e">
        <f>VLOOKUP($A680,Hebrew!$A:$S,13,0)</f>
        <v>#N/A</v>
      </c>
      <c r="R680" s="3" t="s">
        <v>41</v>
      </c>
      <c r="S680" s="3" t="s">
        <v>397</v>
      </c>
      <c r="T680" s="3" t="s">
        <v>4279</v>
      </c>
      <c r="U680" s="3" t="s">
        <v>4280</v>
      </c>
      <c r="V680" s="3" t="s">
        <v>4281</v>
      </c>
      <c r="W680" s="3" t="s">
        <v>2533</v>
      </c>
      <c r="X680" s="2"/>
      <c r="Y680" s="2"/>
    </row>
    <row r="681" spans="1:25" hidden="1" x14ac:dyDescent="0.2">
      <c r="A681" s="3">
        <v>1702</v>
      </c>
      <c r="B681" s="4" t="s">
        <v>4282</v>
      </c>
      <c r="C681" s="3" t="s">
        <v>4283</v>
      </c>
      <c r="D681" s="3" t="e">
        <f>VLOOKUP(A681,Hebrew!A:C,3,0)</f>
        <v>#N/A</v>
      </c>
      <c r="E681" s="3" t="s">
        <v>4284</v>
      </c>
      <c r="F681" s="3" t="e">
        <f>VLOOKUP($A681,Hebrew!$A:$S,4,0)</f>
        <v>#N/A</v>
      </c>
      <c r="G681" s="3" t="s">
        <v>4285</v>
      </c>
      <c r="H681" s="2"/>
      <c r="I681" s="2"/>
      <c r="J681" s="3" t="s">
        <v>3155</v>
      </c>
      <c r="K681" s="3" t="s">
        <v>312</v>
      </c>
      <c r="L681" s="3" t="e">
        <f>VLOOKUP($A681,Hebrew!$A:$S,9,0)</f>
        <v>#N/A</v>
      </c>
      <c r="M681" s="2"/>
      <c r="N681" s="2"/>
      <c r="O681" s="3" t="s">
        <v>26</v>
      </c>
      <c r="P681" s="3" t="s">
        <v>357</v>
      </c>
      <c r="Q681" s="3" t="e">
        <f>VLOOKUP($A681,Hebrew!$A:$S,13,0)</f>
        <v>#N/A</v>
      </c>
      <c r="R681" s="3" t="s">
        <v>1215</v>
      </c>
      <c r="S681" s="3" t="s">
        <v>29</v>
      </c>
      <c r="T681" s="3" t="s">
        <v>4286</v>
      </c>
      <c r="U681" s="3" t="s">
        <v>95</v>
      </c>
      <c r="V681" s="3" t="s">
        <v>4273</v>
      </c>
      <c r="W681" s="3" t="s">
        <v>716</v>
      </c>
      <c r="X681" s="2"/>
      <c r="Y681" s="2"/>
    </row>
    <row r="682" spans="1:25" hidden="1" x14ac:dyDescent="0.2">
      <c r="A682" s="3">
        <v>1737</v>
      </c>
      <c r="B682" s="4" t="s">
        <v>4287</v>
      </c>
      <c r="C682" s="3" t="s">
        <v>4288</v>
      </c>
      <c r="D682" s="3" t="e">
        <f>VLOOKUP(A682,Hebrew!A:C,3,0)</f>
        <v>#N/A</v>
      </c>
      <c r="E682" s="3" t="s">
        <v>4289</v>
      </c>
      <c r="F682" s="3" t="e">
        <f>VLOOKUP($A682,Hebrew!$A:$S,4,0)</f>
        <v>#N/A</v>
      </c>
      <c r="G682" s="3" t="s">
        <v>4290</v>
      </c>
      <c r="H682" s="2"/>
      <c r="I682" s="2"/>
      <c r="J682" s="3" t="s">
        <v>135</v>
      </c>
      <c r="K682" s="3" t="s">
        <v>4291</v>
      </c>
      <c r="L682" s="3" t="e">
        <f>VLOOKUP($A682,Hebrew!$A:$S,9,0)</f>
        <v>#N/A</v>
      </c>
      <c r="M682" s="2"/>
      <c r="N682" s="2"/>
      <c r="O682" s="3" t="s">
        <v>26</v>
      </c>
      <c r="P682" s="3" t="s">
        <v>357</v>
      </c>
      <c r="Q682" s="3" t="e">
        <f>VLOOKUP($A682,Hebrew!$A:$S,13,0)</f>
        <v>#N/A</v>
      </c>
      <c r="R682" s="3" t="s">
        <v>1215</v>
      </c>
      <c r="S682" s="3" t="s">
        <v>413</v>
      </c>
      <c r="T682" s="3" t="s">
        <v>4292</v>
      </c>
      <c r="U682" s="3" t="s">
        <v>2721</v>
      </c>
      <c r="V682" s="3" t="s">
        <v>4293</v>
      </c>
      <c r="W682" s="3" t="s">
        <v>2533</v>
      </c>
      <c r="X682" s="2"/>
      <c r="Y682" s="2"/>
    </row>
    <row r="683" spans="1:25" hidden="1" x14ac:dyDescent="0.2">
      <c r="A683" s="3">
        <v>1783</v>
      </c>
      <c r="B683" s="4" t="s">
        <v>4294</v>
      </c>
      <c r="C683" s="3" t="s">
        <v>4295</v>
      </c>
      <c r="D683" s="3" t="e">
        <f>VLOOKUP(A683,Hebrew!A:C,3,0)</f>
        <v>#N/A</v>
      </c>
      <c r="E683" s="3" t="s">
        <v>4296</v>
      </c>
      <c r="F683" s="3" t="e">
        <f>VLOOKUP($A683,Hebrew!$A:$S,4,0)</f>
        <v>#N/A</v>
      </c>
      <c r="G683" s="3" t="s">
        <v>3154</v>
      </c>
      <c r="H683" s="2"/>
      <c r="I683" s="2"/>
      <c r="J683" s="3" t="s">
        <v>4297</v>
      </c>
      <c r="K683" s="3" t="s">
        <v>4298</v>
      </c>
      <c r="L683" s="3" t="e">
        <f>VLOOKUP($A683,Hebrew!$A:$S,9,0)</f>
        <v>#N/A</v>
      </c>
      <c r="M683" s="2"/>
      <c r="N683" s="2"/>
      <c r="O683" s="3" t="s">
        <v>26</v>
      </c>
      <c r="P683" s="3" t="s">
        <v>4299</v>
      </c>
      <c r="Q683" s="3" t="e">
        <f>VLOOKUP($A683,Hebrew!$A:$S,13,0)</f>
        <v>#N/A</v>
      </c>
      <c r="R683" s="3" t="s">
        <v>1215</v>
      </c>
      <c r="S683" s="3" t="s">
        <v>413</v>
      </c>
      <c r="T683" s="3" t="s">
        <v>4300</v>
      </c>
      <c r="U683" s="3" t="s">
        <v>95</v>
      </c>
      <c r="V683" s="3" t="s">
        <v>4301</v>
      </c>
      <c r="W683" s="3" t="s">
        <v>2533</v>
      </c>
      <c r="X683" s="2"/>
      <c r="Y683" s="2"/>
    </row>
    <row r="684" spans="1:25" hidden="1" x14ac:dyDescent="0.2">
      <c r="A684" s="3">
        <v>1772</v>
      </c>
      <c r="B684" s="4" t="s">
        <v>4302</v>
      </c>
      <c r="C684" s="3" t="s">
        <v>4303</v>
      </c>
      <c r="D684" s="3" t="e">
        <f>VLOOKUP(A684,Hebrew!A:C,3,0)</f>
        <v>#N/A</v>
      </c>
      <c r="E684" s="3" t="s">
        <v>4304</v>
      </c>
      <c r="F684" s="3" t="e">
        <f>VLOOKUP($A684,Hebrew!$A:$S,4,0)</f>
        <v>#N/A</v>
      </c>
      <c r="G684" s="3" t="s">
        <v>1722</v>
      </c>
      <c r="H684" s="2"/>
      <c r="I684" s="2"/>
      <c r="J684" s="3" t="s">
        <v>3531</v>
      </c>
      <c r="K684" s="3" t="s">
        <v>4271</v>
      </c>
      <c r="L684" s="3" t="e">
        <f>VLOOKUP($A684,Hebrew!$A:$S,9,0)</f>
        <v>#N/A</v>
      </c>
      <c r="M684" s="2"/>
      <c r="N684" s="2"/>
      <c r="O684" s="3" t="s">
        <v>26</v>
      </c>
      <c r="P684" s="3" t="s">
        <v>357</v>
      </c>
      <c r="Q684" s="3" t="e">
        <f>VLOOKUP($A684,Hebrew!$A:$S,13,0)</f>
        <v>#N/A</v>
      </c>
      <c r="R684" s="3" t="s">
        <v>1215</v>
      </c>
      <c r="S684" s="3" t="s">
        <v>413</v>
      </c>
      <c r="T684" s="3" t="s">
        <v>4305</v>
      </c>
      <c r="U684" s="3" t="s">
        <v>95</v>
      </c>
      <c r="V684" s="3" t="s">
        <v>4306</v>
      </c>
      <c r="W684" s="3" t="s">
        <v>2533</v>
      </c>
      <c r="X684" s="2"/>
      <c r="Y684" s="2"/>
    </row>
    <row r="685" spans="1:25" hidden="1" x14ac:dyDescent="0.2">
      <c r="A685" s="3">
        <v>1674</v>
      </c>
      <c r="B685" s="4" t="s">
        <v>4307</v>
      </c>
      <c r="C685" s="3" t="s">
        <v>4308</v>
      </c>
      <c r="D685" s="3" t="e">
        <f>VLOOKUP(A685,Hebrew!A:C,3,0)</f>
        <v>#N/A</v>
      </c>
      <c r="E685" s="3" t="s">
        <v>4309</v>
      </c>
      <c r="F685" s="3" t="e">
        <f>VLOOKUP($A685,Hebrew!$A:$S,4,0)</f>
        <v>#N/A</v>
      </c>
      <c r="G685" s="3" t="s">
        <v>4310</v>
      </c>
      <c r="H685" s="2"/>
      <c r="I685" s="2"/>
      <c r="J685" s="3" t="s">
        <v>1684</v>
      </c>
      <c r="K685" s="3" t="s">
        <v>4311</v>
      </c>
      <c r="L685" s="3" t="e">
        <f>VLOOKUP($A685,Hebrew!$A:$S,9,0)</f>
        <v>#N/A</v>
      </c>
      <c r="M685" s="2"/>
      <c r="N685" s="2"/>
      <c r="O685" s="3" t="s">
        <v>26</v>
      </c>
      <c r="P685" s="3" t="s">
        <v>357</v>
      </c>
      <c r="Q685" s="3" t="e">
        <f>VLOOKUP($A685,Hebrew!$A:$S,13,0)</f>
        <v>#N/A</v>
      </c>
      <c r="R685" s="3" t="s">
        <v>1215</v>
      </c>
      <c r="S685" s="3" t="s">
        <v>397</v>
      </c>
      <c r="T685" s="3" t="s">
        <v>4312</v>
      </c>
      <c r="U685" s="3" t="s">
        <v>3387</v>
      </c>
      <c r="V685" s="3" t="s">
        <v>357</v>
      </c>
      <c r="W685" s="3" t="s">
        <v>4313</v>
      </c>
      <c r="X685" s="2"/>
      <c r="Y685" s="2"/>
    </row>
    <row r="686" spans="1:25" hidden="1" x14ac:dyDescent="0.2">
      <c r="A686" s="3">
        <v>1676</v>
      </c>
      <c r="B686" s="4" t="s">
        <v>4314</v>
      </c>
      <c r="C686" s="3" t="s">
        <v>4315</v>
      </c>
      <c r="D686" s="3" t="e">
        <f>VLOOKUP(A686,Hebrew!A:C,3,0)</f>
        <v>#N/A</v>
      </c>
      <c r="E686" s="3" t="s">
        <v>4316</v>
      </c>
      <c r="F686" s="3" t="e">
        <f>VLOOKUP($A686,Hebrew!$A:$S,4,0)</f>
        <v>#N/A</v>
      </c>
      <c r="G686" s="3" t="s">
        <v>445</v>
      </c>
      <c r="H686" s="2"/>
      <c r="I686" s="2"/>
      <c r="J686" s="3" t="s">
        <v>1684</v>
      </c>
      <c r="K686" s="4" t="s">
        <v>4317</v>
      </c>
      <c r="L686" s="3" t="e">
        <f>VLOOKUP($A686,Hebrew!$A:$S,9,0)</f>
        <v>#N/A</v>
      </c>
      <c r="M686" s="3" t="s">
        <v>4318</v>
      </c>
      <c r="N686" s="2"/>
      <c r="O686" s="3" t="s">
        <v>26</v>
      </c>
      <c r="P686" s="3" t="s">
        <v>357</v>
      </c>
      <c r="Q686" s="3" t="e">
        <f>VLOOKUP($A686,Hebrew!$A:$S,13,0)</f>
        <v>#N/A</v>
      </c>
      <c r="R686" s="3" t="s">
        <v>1215</v>
      </c>
      <c r="S686" s="3" t="s">
        <v>397</v>
      </c>
      <c r="T686" s="3" t="s">
        <v>4319</v>
      </c>
      <c r="U686" s="3" t="s">
        <v>3329</v>
      </c>
      <c r="V686" s="3" t="s">
        <v>4320</v>
      </c>
      <c r="W686" s="3" t="s">
        <v>4321</v>
      </c>
      <c r="X686" s="2"/>
      <c r="Y686" s="2"/>
    </row>
    <row r="687" spans="1:25" hidden="1" x14ac:dyDescent="0.2">
      <c r="A687" s="3">
        <v>1678</v>
      </c>
      <c r="B687" s="4" t="s">
        <v>4322</v>
      </c>
      <c r="C687" s="3" t="s">
        <v>4323</v>
      </c>
      <c r="D687" s="3" t="e">
        <f>VLOOKUP(A687,Hebrew!A:C,3,0)</f>
        <v>#N/A</v>
      </c>
      <c r="E687" s="3" t="s">
        <v>4324</v>
      </c>
      <c r="F687" s="3" t="e">
        <f>VLOOKUP($A687,Hebrew!$A:$S,4,0)</f>
        <v>#N/A</v>
      </c>
      <c r="G687" s="3" t="s">
        <v>2689</v>
      </c>
      <c r="H687" s="2"/>
      <c r="I687" s="2"/>
      <c r="J687" s="3" t="s">
        <v>1684</v>
      </c>
      <c r="K687" s="4" t="s">
        <v>4325</v>
      </c>
      <c r="L687" s="3" t="e">
        <f>VLOOKUP($A687,Hebrew!$A:$S,9,0)</f>
        <v>#N/A</v>
      </c>
      <c r="M687" s="2"/>
      <c r="N687" s="2"/>
      <c r="O687" s="3" t="s">
        <v>26</v>
      </c>
      <c r="P687" s="3" t="s">
        <v>245</v>
      </c>
      <c r="Q687" s="3" t="e">
        <f>VLOOKUP($A687,Hebrew!$A:$S,13,0)</f>
        <v>#N/A</v>
      </c>
      <c r="R687" s="3" t="s">
        <v>1215</v>
      </c>
      <c r="S687" s="3" t="s">
        <v>397</v>
      </c>
      <c r="T687" s="3" t="s">
        <v>4326</v>
      </c>
      <c r="U687" s="3" t="s">
        <v>95</v>
      </c>
      <c r="V687" s="3" t="s">
        <v>4327</v>
      </c>
      <c r="W687" s="3" t="s">
        <v>4328</v>
      </c>
      <c r="X687" s="2"/>
      <c r="Y687" s="2"/>
    </row>
    <row r="688" spans="1:25" hidden="1" x14ac:dyDescent="0.2">
      <c r="A688" s="3">
        <v>1444</v>
      </c>
      <c r="B688" s="4" t="s">
        <v>4329</v>
      </c>
      <c r="C688" s="3" t="s">
        <v>4330</v>
      </c>
      <c r="D688" s="3" t="e">
        <f>VLOOKUP(A688,Hebrew!A:C,3,0)</f>
        <v>#N/A</v>
      </c>
      <c r="E688" s="3" t="s">
        <v>4331</v>
      </c>
      <c r="F688" s="3" t="e">
        <f>VLOOKUP($A688,Hebrew!$A:$S,4,0)</f>
        <v>#N/A</v>
      </c>
      <c r="G688" s="3" t="s">
        <v>751</v>
      </c>
      <c r="H688" s="2"/>
      <c r="I688" s="2"/>
      <c r="J688" s="3" t="s">
        <v>393</v>
      </c>
      <c r="K688" s="3" t="s">
        <v>4332</v>
      </c>
      <c r="L688" s="3" t="e">
        <f>VLOOKUP($A688,Hebrew!$A:$S,9,0)</f>
        <v>#N/A</v>
      </c>
      <c r="M688" s="3" t="s">
        <v>393</v>
      </c>
      <c r="N688" s="4" t="s">
        <v>4333</v>
      </c>
      <c r="O688" s="3" t="s">
        <v>26</v>
      </c>
      <c r="P688" s="3" t="s">
        <v>27</v>
      </c>
      <c r="Q688" s="3" t="e">
        <f>VLOOKUP($A688,Hebrew!$A:$S,13,0)</f>
        <v>#N/A</v>
      </c>
      <c r="R688" s="3" t="s">
        <v>396</v>
      </c>
      <c r="S688" s="3" t="s">
        <v>397</v>
      </c>
      <c r="T688" s="3" t="s">
        <v>4334</v>
      </c>
      <c r="U688" s="3" t="s">
        <v>4335</v>
      </c>
      <c r="V688" s="3" t="s">
        <v>27</v>
      </c>
      <c r="W688" s="3" t="s">
        <v>3474</v>
      </c>
      <c r="X688" s="2"/>
      <c r="Y688" s="2"/>
    </row>
    <row r="689" spans="1:25" hidden="1" x14ac:dyDescent="0.2">
      <c r="A689" s="3">
        <v>1198</v>
      </c>
      <c r="B689" s="4" t="s">
        <v>4336</v>
      </c>
      <c r="C689" s="3" t="s">
        <v>4337</v>
      </c>
      <c r="D689" s="3" t="e">
        <f>VLOOKUP(A689,Hebrew!A:C,3,0)</f>
        <v>#N/A</v>
      </c>
      <c r="E689" s="3" t="s">
        <v>4338</v>
      </c>
      <c r="F689" s="3" t="e">
        <f>VLOOKUP($A689,Hebrew!$A:$S,4,0)</f>
        <v>#N/A</v>
      </c>
      <c r="G689" s="3" t="s">
        <v>2239</v>
      </c>
      <c r="H689" s="2"/>
      <c r="I689" s="2"/>
      <c r="J689" s="3" t="s">
        <v>393</v>
      </c>
      <c r="K689" s="3" t="s">
        <v>739</v>
      </c>
      <c r="L689" s="3" t="e">
        <f>VLOOKUP($A689,Hebrew!$A:$S,9,0)</f>
        <v>#N/A</v>
      </c>
      <c r="M689" s="2"/>
      <c r="N689" s="2"/>
      <c r="O689" s="3" t="s">
        <v>1011</v>
      </c>
      <c r="P689" s="3" t="s">
        <v>4339</v>
      </c>
      <c r="Q689" s="3" t="e">
        <f>VLOOKUP($A689,Hebrew!$A:$S,13,0)</f>
        <v>#N/A</v>
      </c>
      <c r="R689" s="3" t="s">
        <v>396</v>
      </c>
      <c r="S689" s="3" t="s">
        <v>397</v>
      </c>
      <c r="T689" s="3" t="s">
        <v>4340</v>
      </c>
      <c r="U689" s="3" t="s">
        <v>43</v>
      </c>
      <c r="V689" s="3" t="s">
        <v>3526</v>
      </c>
      <c r="W689" s="2"/>
      <c r="X689" s="2"/>
      <c r="Y689" s="2"/>
    </row>
    <row r="690" spans="1:25" hidden="1" x14ac:dyDescent="0.2">
      <c r="A690" s="3">
        <v>2144</v>
      </c>
      <c r="B690" s="4" t="s">
        <v>4341</v>
      </c>
      <c r="C690" s="3" t="s">
        <v>4342</v>
      </c>
      <c r="D690" s="3" t="e">
        <f>VLOOKUP(A690,Hebrew!A:C,3,0)</f>
        <v>#N/A</v>
      </c>
      <c r="E690" s="3" t="s">
        <v>4343</v>
      </c>
      <c r="F690" s="3" t="e">
        <f>VLOOKUP($A690,Hebrew!$A:$S,4,0)</f>
        <v>#N/A</v>
      </c>
      <c r="G690" s="3" t="s">
        <v>1415</v>
      </c>
      <c r="H690" s="3" t="s">
        <v>4344</v>
      </c>
      <c r="I690" s="3" t="s">
        <v>1415</v>
      </c>
      <c r="J690" s="3" t="s">
        <v>393</v>
      </c>
      <c r="K690" s="3" t="s">
        <v>4345</v>
      </c>
      <c r="L690" s="3" t="e">
        <f>VLOOKUP($A690,Hebrew!$A:$S,9,0)</f>
        <v>#N/A</v>
      </c>
      <c r="M690" s="2"/>
      <c r="N690" s="4" t="s">
        <v>4346</v>
      </c>
      <c r="O690" s="3" t="s">
        <v>26</v>
      </c>
      <c r="P690" s="3" t="s">
        <v>27</v>
      </c>
      <c r="Q690" s="3" t="e">
        <f>VLOOKUP($A690,Hebrew!$A:$S,13,0)</f>
        <v>#N/A</v>
      </c>
      <c r="R690" s="3" t="s">
        <v>396</v>
      </c>
      <c r="S690" s="3" t="s">
        <v>29</v>
      </c>
      <c r="T690" s="3" t="s">
        <v>4347</v>
      </c>
      <c r="U690" s="3" t="s">
        <v>2428</v>
      </c>
      <c r="V690" s="3" t="s">
        <v>4348</v>
      </c>
      <c r="W690" s="2"/>
      <c r="X690" s="2"/>
      <c r="Y690" s="2"/>
    </row>
    <row r="691" spans="1:25" hidden="1" x14ac:dyDescent="0.2">
      <c r="A691" s="3">
        <v>850</v>
      </c>
      <c r="B691" s="4" t="s">
        <v>4349</v>
      </c>
      <c r="C691" s="3" t="s">
        <v>4350</v>
      </c>
      <c r="D691" s="3" t="e">
        <f>VLOOKUP(A691,Hebrew!A:C,3,0)</f>
        <v>#N/A</v>
      </c>
      <c r="E691" s="3" t="s">
        <v>4351</v>
      </c>
      <c r="F691" s="3" t="e">
        <f>VLOOKUP($A691,Hebrew!$A:$S,4,0)</f>
        <v>#N/A</v>
      </c>
      <c r="G691" s="3" t="s">
        <v>2445</v>
      </c>
      <c r="H691" s="2"/>
      <c r="I691" s="2"/>
      <c r="J691" s="3" t="s">
        <v>1684</v>
      </c>
      <c r="K691" s="3" t="s">
        <v>4352</v>
      </c>
      <c r="L691" s="3" t="e">
        <f>VLOOKUP($A691,Hebrew!$A:$S,9,0)</f>
        <v>#N/A</v>
      </c>
      <c r="M691" s="3" t="s">
        <v>4353</v>
      </c>
      <c r="N691" s="2"/>
      <c r="O691" s="3" t="s">
        <v>26</v>
      </c>
      <c r="P691" s="3" t="s">
        <v>4354</v>
      </c>
      <c r="Q691" s="3" t="e">
        <f>VLOOKUP($A691,Hebrew!$A:$S,13,0)</f>
        <v>#N/A</v>
      </c>
      <c r="R691" s="3" t="s">
        <v>1215</v>
      </c>
      <c r="S691" s="3" t="s">
        <v>397</v>
      </c>
      <c r="T691" s="3" t="s">
        <v>4355</v>
      </c>
      <c r="U691" s="3" t="s">
        <v>4356</v>
      </c>
      <c r="V691" s="3" t="s">
        <v>4357</v>
      </c>
      <c r="W691" s="3" t="s">
        <v>4358</v>
      </c>
      <c r="X691" s="2"/>
      <c r="Y691" s="2"/>
    </row>
    <row r="692" spans="1:25" hidden="1" x14ac:dyDescent="0.2">
      <c r="A692" s="3">
        <v>914</v>
      </c>
      <c r="B692" s="4" t="s">
        <v>4359</v>
      </c>
      <c r="C692" s="3" t="s">
        <v>4360</v>
      </c>
      <c r="D692" s="3" t="e">
        <f>VLOOKUP(A692,Hebrew!A:C,3,0)</f>
        <v>#N/A</v>
      </c>
      <c r="E692" s="3" t="s">
        <v>4361</v>
      </c>
      <c r="F692" s="3" t="e">
        <f>VLOOKUP($A692,Hebrew!$A:$S,4,0)</f>
        <v>#N/A</v>
      </c>
      <c r="G692" s="3" t="s">
        <v>2445</v>
      </c>
      <c r="H692" s="2"/>
      <c r="I692" s="2"/>
      <c r="J692" s="3" t="s">
        <v>36</v>
      </c>
      <c r="K692" s="3" t="s">
        <v>4362</v>
      </c>
      <c r="L692" s="3" t="e">
        <f>VLOOKUP($A692,Hebrew!$A:$S,9,0)</f>
        <v>#N/A</v>
      </c>
      <c r="M692" s="3" t="s">
        <v>4363</v>
      </c>
      <c r="N692" s="2"/>
      <c r="O692" s="3" t="s">
        <v>39</v>
      </c>
      <c r="P692" s="3" t="s">
        <v>4354</v>
      </c>
      <c r="Q692" s="3" t="e">
        <f>VLOOKUP($A692,Hebrew!$A:$S,13,0)</f>
        <v>#N/A</v>
      </c>
      <c r="R692" s="3" t="s">
        <v>1215</v>
      </c>
      <c r="S692" s="3" t="s">
        <v>397</v>
      </c>
      <c r="T692" s="3" t="s">
        <v>4364</v>
      </c>
      <c r="U692" s="3" t="s">
        <v>4356</v>
      </c>
      <c r="V692" s="3" t="s">
        <v>4357</v>
      </c>
      <c r="W692" s="3" t="s">
        <v>4358</v>
      </c>
      <c r="X692" s="2"/>
      <c r="Y692" s="2"/>
    </row>
    <row r="693" spans="1:25" hidden="1" x14ac:dyDescent="0.2">
      <c r="A693" s="3">
        <v>1741</v>
      </c>
      <c r="B693" s="4" t="s">
        <v>4365</v>
      </c>
      <c r="C693" s="3" t="s">
        <v>4366</v>
      </c>
      <c r="D693" s="3" t="e">
        <f>VLOOKUP(A693,Hebrew!A:C,3,0)</f>
        <v>#N/A</v>
      </c>
      <c r="E693" s="3" t="s">
        <v>4367</v>
      </c>
      <c r="F693" s="3" t="e">
        <f>VLOOKUP($A693,Hebrew!$A:$S,4,0)</f>
        <v>#N/A</v>
      </c>
      <c r="G693" s="3" t="s">
        <v>523</v>
      </c>
      <c r="H693" s="3" t="s">
        <v>523</v>
      </c>
      <c r="I693" s="3" t="s">
        <v>523</v>
      </c>
      <c r="J693" s="3" t="s">
        <v>135</v>
      </c>
      <c r="K693" s="3" t="s">
        <v>4368</v>
      </c>
      <c r="L693" s="3" t="e">
        <f>VLOOKUP($A693,Hebrew!$A:$S,9,0)</f>
        <v>#N/A</v>
      </c>
      <c r="M693" s="2"/>
      <c r="N693" s="2"/>
      <c r="O693" s="3" t="s">
        <v>26</v>
      </c>
      <c r="P693" s="3" t="s">
        <v>357</v>
      </c>
      <c r="Q693" s="3" t="e">
        <f>VLOOKUP($A693,Hebrew!$A:$S,13,0)</f>
        <v>#N/A</v>
      </c>
      <c r="R693" s="3" t="s">
        <v>1215</v>
      </c>
      <c r="S693" s="3" t="s">
        <v>397</v>
      </c>
      <c r="T693" s="3" t="s">
        <v>4369</v>
      </c>
      <c r="U693" s="3" t="s">
        <v>715</v>
      </c>
      <c r="V693" s="3" t="s">
        <v>4370</v>
      </c>
      <c r="W693" s="3" t="s">
        <v>4371</v>
      </c>
      <c r="X693" s="2"/>
      <c r="Y693" s="2"/>
    </row>
    <row r="694" spans="1:25" hidden="1" x14ac:dyDescent="0.2">
      <c r="A694" s="3">
        <v>1744</v>
      </c>
      <c r="B694" s="4" t="s">
        <v>4372</v>
      </c>
      <c r="C694" s="3" t="s">
        <v>4373</v>
      </c>
      <c r="D694" s="3" t="e">
        <f>VLOOKUP(A694,Hebrew!A:C,3,0)</f>
        <v>#N/A</v>
      </c>
      <c r="E694" s="3" t="s">
        <v>4374</v>
      </c>
      <c r="F694" s="3" t="e">
        <f>VLOOKUP($A694,Hebrew!$A:$S,4,0)</f>
        <v>#N/A</v>
      </c>
      <c r="G694" s="3" t="s">
        <v>3245</v>
      </c>
      <c r="H694" s="3" t="s">
        <v>2527</v>
      </c>
      <c r="I694" s="3" t="s">
        <v>2527</v>
      </c>
      <c r="J694" s="3" t="s">
        <v>135</v>
      </c>
      <c r="K694" s="3" t="s">
        <v>4375</v>
      </c>
      <c r="L694" s="3" t="e">
        <f>VLOOKUP($A694,Hebrew!$A:$S,9,0)</f>
        <v>#N/A</v>
      </c>
      <c r="M694" s="2"/>
      <c r="N694" s="2"/>
      <c r="O694" s="3" t="s">
        <v>26</v>
      </c>
      <c r="P694" s="3" t="s">
        <v>357</v>
      </c>
      <c r="Q694" s="3" t="e">
        <f>VLOOKUP($A694,Hebrew!$A:$S,13,0)</f>
        <v>#N/A</v>
      </c>
      <c r="R694" s="3" t="s">
        <v>1215</v>
      </c>
      <c r="S694" s="3" t="s">
        <v>2314</v>
      </c>
      <c r="T694" s="3" t="s">
        <v>4376</v>
      </c>
      <c r="U694" s="3" t="s">
        <v>715</v>
      </c>
      <c r="V694" s="3" t="s">
        <v>3251</v>
      </c>
      <c r="W694" s="3" t="s">
        <v>716</v>
      </c>
      <c r="X694" s="2"/>
      <c r="Y694" s="2"/>
    </row>
    <row r="695" spans="1:25" hidden="1" x14ac:dyDescent="0.2">
      <c r="A695" s="3">
        <v>1445</v>
      </c>
      <c r="B695" s="4" t="s">
        <v>4377</v>
      </c>
      <c r="C695" s="3" t="s">
        <v>4378</v>
      </c>
      <c r="D695" s="3" t="e">
        <f>VLOOKUP(A695,Hebrew!A:C,3,0)</f>
        <v>#N/A</v>
      </c>
      <c r="E695" s="3" t="s">
        <v>4379</v>
      </c>
      <c r="F695" s="3" t="e">
        <f>VLOOKUP($A695,Hebrew!$A:$S,4,0)</f>
        <v>#N/A</v>
      </c>
      <c r="G695" s="3" t="s">
        <v>4380</v>
      </c>
      <c r="H695" s="2"/>
      <c r="I695" s="2"/>
      <c r="J695" s="3" t="s">
        <v>393</v>
      </c>
      <c r="K695" s="3" t="s">
        <v>4381</v>
      </c>
      <c r="L695" s="3" t="e">
        <f>VLOOKUP($A695,Hebrew!$A:$S,9,0)</f>
        <v>#N/A</v>
      </c>
      <c r="M695" s="3" t="s">
        <v>4318</v>
      </c>
      <c r="N695" s="4" t="s">
        <v>4382</v>
      </c>
      <c r="O695" s="3" t="s">
        <v>26</v>
      </c>
      <c r="P695" s="3" t="s">
        <v>357</v>
      </c>
      <c r="Q695" s="3" t="e">
        <f>VLOOKUP($A695,Hebrew!$A:$S,13,0)</f>
        <v>#N/A</v>
      </c>
      <c r="R695" s="3" t="s">
        <v>4383</v>
      </c>
      <c r="S695" s="3" t="s">
        <v>405</v>
      </c>
      <c r="T695" s="3" t="s">
        <v>4384</v>
      </c>
      <c r="U695" s="3" t="s">
        <v>4385</v>
      </c>
      <c r="V695" s="3" t="s">
        <v>357</v>
      </c>
      <c r="W695" s="3" t="s">
        <v>4386</v>
      </c>
      <c r="X695" s="2"/>
      <c r="Y695" s="2"/>
    </row>
    <row r="696" spans="1:25" hidden="1" x14ac:dyDescent="0.2">
      <c r="A696" s="3">
        <v>1741</v>
      </c>
      <c r="B696" s="4" t="s">
        <v>4365</v>
      </c>
      <c r="C696" s="3" t="s">
        <v>4366</v>
      </c>
      <c r="D696" s="3" t="e">
        <f>VLOOKUP(A696,Hebrew!A:C,3,0)</f>
        <v>#N/A</v>
      </c>
      <c r="E696" s="3" t="s">
        <v>4367</v>
      </c>
      <c r="F696" s="3" t="e">
        <f>VLOOKUP($A696,Hebrew!$A:$S,4,0)</f>
        <v>#N/A</v>
      </c>
      <c r="G696" s="3" t="s">
        <v>523</v>
      </c>
      <c r="H696" s="3" t="s">
        <v>523</v>
      </c>
      <c r="I696" s="3" t="s">
        <v>523</v>
      </c>
      <c r="J696" s="3" t="s">
        <v>135</v>
      </c>
      <c r="K696" s="3" t="s">
        <v>4368</v>
      </c>
      <c r="L696" s="3" t="e">
        <f>VLOOKUP($A696,Hebrew!$A:$S,9,0)</f>
        <v>#N/A</v>
      </c>
      <c r="M696" s="2"/>
      <c r="N696" s="2"/>
      <c r="O696" s="3" t="s">
        <v>26</v>
      </c>
      <c r="P696" s="3" t="s">
        <v>357</v>
      </c>
      <c r="Q696" s="3" t="e">
        <f>VLOOKUP($A696,Hebrew!$A:$S,13,0)</f>
        <v>#N/A</v>
      </c>
      <c r="R696" s="3" t="s">
        <v>1215</v>
      </c>
      <c r="S696" s="3" t="s">
        <v>397</v>
      </c>
      <c r="T696" s="3" t="s">
        <v>4387</v>
      </c>
      <c r="U696" s="3" t="s">
        <v>715</v>
      </c>
      <c r="V696" s="3" t="s">
        <v>4370</v>
      </c>
      <c r="W696" s="3" t="s">
        <v>4371</v>
      </c>
      <c r="X696" s="2"/>
      <c r="Y696" s="2"/>
    </row>
    <row r="697" spans="1:25" hidden="1" x14ac:dyDescent="0.2">
      <c r="A697" s="3">
        <v>1744</v>
      </c>
      <c r="B697" s="4" t="s">
        <v>4372</v>
      </c>
      <c r="C697" s="3" t="s">
        <v>4373</v>
      </c>
      <c r="D697" s="3" t="e">
        <f>VLOOKUP(A697,Hebrew!A:C,3,0)</f>
        <v>#N/A</v>
      </c>
      <c r="E697" s="3" t="s">
        <v>4374</v>
      </c>
      <c r="F697" s="3" t="e">
        <f>VLOOKUP($A697,Hebrew!$A:$S,4,0)</f>
        <v>#N/A</v>
      </c>
      <c r="G697" s="3" t="s">
        <v>3245</v>
      </c>
      <c r="H697" s="3" t="s">
        <v>2527</v>
      </c>
      <c r="I697" s="3" t="s">
        <v>2527</v>
      </c>
      <c r="J697" s="3" t="s">
        <v>135</v>
      </c>
      <c r="K697" s="3" t="s">
        <v>4375</v>
      </c>
      <c r="L697" s="3" t="e">
        <f>VLOOKUP($A697,Hebrew!$A:$S,9,0)</f>
        <v>#N/A</v>
      </c>
      <c r="M697" s="2"/>
      <c r="N697" s="2"/>
      <c r="O697" s="3" t="s">
        <v>26</v>
      </c>
      <c r="P697" s="3" t="s">
        <v>357</v>
      </c>
      <c r="Q697" s="3" t="e">
        <f>VLOOKUP($A697,Hebrew!$A:$S,13,0)</f>
        <v>#N/A</v>
      </c>
      <c r="R697" s="3" t="s">
        <v>1215</v>
      </c>
      <c r="S697" s="3" t="s">
        <v>2314</v>
      </c>
      <c r="T697" s="3" t="s">
        <v>4388</v>
      </c>
      <c r="U697" s="3" t="s">
        <v>715</v>
      </c>
      <c r="V697" s="3" t="s">
        <v>3251</v>
      </c>
      <c r="W697" s="3" t="s">
        <v>716</v>
      </c>
      <c r="X697" s="2"/>
      <c r="Y697" s="2"/>
    </row>
    <row r="698" spans="1:25" hidden="1" x14ac:dyDescent="0.2">
      <c r="A698" s="3">
        <v>346</v>
      </c>
      <c r="B698" s="4" t="s">
        <v>4389</v>
      </c>
      <c r="C698" s="3" t="s">
        <v>4390</v>
      </c>
      <c r="D698" s="3" t="e">
        <f>VLOOKUP(A698,Hebrew!A:C,3,0)</f>
        <v>#N/A</v>
      </c>
      <c r="E698" s="3" t="s">
        <v>4391</v>
      </c>
      <c r="F698" s="3" t="e">
        <f>VLOOKUP($A698,Hebrew!$A:$S,4,0)</f>
        <v>#N/A</v>
      </c>
      <c r="G698" s="3" t="s">
        <v>1722</v>
      </c>
      <c r="H698" s="3" t="s">
        <v>1722</v>
      </c>
      <c r="I698" s="3" t="s">
        <v>1722</v>
      </c>
      <c r="J698" s="3" t="s">
        <v>258</v>
      </c>
      <c r="K698" s="3" t="s">
        <v>4392</v>
      </c>
      <c r="L698" s="3" t="e">
        <f>VLOOKUP($A698,Hebrew!$A:$S,9,0)</f>
        <v>#N/A</v>
      </c>
      <c r="M698" s="2"/>
      <c r="N698" s="2"/>
      <c r="O698" s="3" t="s">
        <v>39</v>
      </c>
      <c r="P698" s="3" t="s">
        <v>27</v>
      </c>
      <c r="Q698" s="3" t="e">
        <f>VLOOKUP($A698,Hebrew!$A:$S,13,0)</f>
        <v>#N/A</v>
      </c>
      <c r="R698" s="3" t="s">
        <v>1215</v>
      </c>
      <c r="S698" s="3" t="s">
        <v>455</v>
      </c>
      <c r="T698" s="3" t="s">
        <v>4393</v>
      </c>
      <c r="U698" s="3" t="s">
        <v>43</v>
      </c>
      <c r="V698" s="3" t="s">
        <v>1459</v>
      </c>
      <c r="W698" s="2"/>
      <c r="X698" s="2"/>
      <c r="Y698" s="2"/>
    </row>
    <row r="699" spans="1:25" hidden="1" x14ac:dyDescent="0.2">
      <c r="A699" s="3">
        <v>752</v>
      </c>
      <c r="B699" s="4" t="s">
        <v>4394</v>
      </c>
      <c r="C699" s="3" t="s">
        <v>4395</v>
      </c>
      <c r="D699" s="3" t="e">
        <f>VLOOKUP(A699,Hebrew!A:C,3,0)</f>
        <v>#N/A</v>
      </c>
      <c r="E699" s="3" t="s">
        <v>4396</v>
      </c>
      <c r="F699" s="3" t="e">
        <f>VLOOKUP($A699,Hebrew!$A:$S,4,0)</f>
        <v>#N/A</v>
      </c>
      <c r="G699" s="3" t="s">
        <v>4285</v>
      </c>
      <c r="H699" s="3" t="s">
        <v>3981</v>
      </c>
      <c r="I699" s="3" t="s">
        <v>3981</v>
      </c>
      <c r="J699" s="3" t="s">
        <v>258</v>
      </c>
      <c r="K699" s="3" t="s">
        <v>4397</v>
      </c>
      <c r="L699" s="3" t="e">
        <f>VLOOKUP($A699,Hebrew!$A:$S,9,0)</f>
        <v>#N/A</v>
      </c>
      <c r="M699" s="2"/>
      <c r="N699" s="2"/>
      <c r="O699" s="3" t="s">
        <v>39</v>
      </c>
      <c r="P699" s="3" t="s">
        <v>60</v>
      </c>
      <c r="Q699" s="3" t="e">
        <f>VLOOKUP($A699,Hebrew!$A:$S,13,0)</f>
        <v>#N/A</v>
      </c>
      <c r="R699" s="3" t="s">
        <v>1215</v>
      </c>
      <c r="S699" s="3" t="s">
        <v>455</v>
      </c>
      <c r="T699" s="3" t="s">
        <v>4398</v>
      </c>
      <c r="U699" s="3" t="s">
        <v>43</v>
      </c>
      <c r="V699" s="3" t="s">
        <v>1459</v>
      </c>
      <c r="W699" s="2"/>
      <c r="X699" s="2"/>
      <c r="Y699" s="2"/>
    </row>
    <row r="700" spans="1:25" hidden="1" x14ac:dyDescent="0.2">
      <c r="A700" s="3">
        <v>2029</v>
      </c>
      <c r="B700" s="4" t="s">
        <v>97</v>
      </c>
      <c r="C700" s="3" t="s">
        <v>4399</v>
      </c>
      <c r="D700" s="3" t="e">
        <f>VLOOKUP(A700,Hebrew!A:C,3,0)</f>
        <v>#N/A</v>
      </c>
      <c r="E700" s="3" t="s">
        <v>4400</v>
      </c>
      <c r="F700" s="3" t="e">
        <f>VLOOKUP($A700,Hebrew!$A:$S,4,0)</f>
        <v>#N/A</v>
      </c>
      <c r="G700" s="3" t="s">
        <v>100</v>
      </c>
      <c r="H700" s="3" t="s">
        <v>101</v>
      </c>
      <c r="I700" s="3" t="s">
        <v>101</v>
      </c>
      <c r="J700" s="3" t="s">
        <v>36</v>
      </c>
      <c r="K700" s="3" t="s">
        <v>102</v>
      </c>
      <c r="L700" s="3" t="e">
        <f>VLOOKUP($A700,Hebrew!$A:$S,9,0)</f>
        <v>#N/A</v>
      </c>
      <c r="M700" s="2"/>
      <c r="N700" s="2"/>
      <c r="O700" s="3" t="s">
        <v>39</v>
      </c>
      <c r="P700" s="3" t="s">
        <v>105</v>
      </c>
      <c r="Q700" s="3" t="e">
        <f>VLOOKUP($A700,Hebrew!$A:$S,13,0)</f>
        <v>#N/A</v>
      </c>
      <c r="R700" s="3" t="s">
        <v>1215</v>
      </c>
      <c r="S700" s="3" t="s">
        <v>397</v>
      </c>
      <c r="T700" s="3" t="s">
        <v>4401</v>
      </c>
      <c r="U700" s="3" t="s">
        <v>3203</v>
      </c>
      <c r="V700" s="3" t="s">
        <v>4402</v>
      </c>
      <c r="W700" s="2"/>
      <c r="X700" s="2"/>
      <c r="Y700" s="2"/>
    </row>
    <row r="701" spans="1:25" hidden="1" x14ac:dyDescent="0.2">
      <c r="A701" s="3">
        <v>1683</v>
      </c>
      <c r="B701" s="4" t="s">
        <v>4403</v>
      </c>
      <c r="C701" s="3" t="s">
        <v>4404</v>
      </c>
      <c r="D701" s="3" t="e">
        <f>VLOOKUP(A701,Hebrew!A:C,3,0)</f>
        <v>#N/A</v>
      </c>
      <c r="E701" s="3" t="s">
        <v>4405</v>
      </c>
      <c r="F701" s="3" t="e">
        <f>VLOOKUP($A701,Hebrew!$A:$S,4,0)</f>
        <v>#N/A</v>
      </c>
      <c r="G701" s="3" t="s">
        <v>4406</v>
      </c>
      <c r="H701" s="3" t="s">
        <v>4242</v>
      </c>
      <c r="I701" s="3" t="s">
        <v>4407</v>
      </c>
      <c r="J701" s="3" t="s">
        <v>1684</v>
      </c>
      <c r="K701" s="3" t="s">
        <v>4408</v>
      </c>
      <c r="L701" s="3" t="e">
        <f>VLOOKUP($A701,Hebrew!$A:$S,9,0)</f>
        <v>#N/A</v>
      </c>
      <c r="M701" s="2"/>
      <c r="N701" s="2"/>
      <c r="O701" s="3" t="s">
        <v>26</v>
      </c>
      <c r="P701" s="3" t="s">
        <v>4409</v>
      </c>
      <c r="Q701" s="3" t="e">
        <f>VLOOKUP($A701,Hebrew!$A:$S,13,0)</f>
        <v>#N/A</v>
      </c>
      <c r="R701" s="3" t="s">
        <v>1215</v>
      </c>
      <c r="S701" s="3" t="s">
        <v>397</v>
      </c>
      <c r="T701" s="3" t="s">
        <v>4410</v>
      </c>
      <c r="U701" s="3" t="s">
        <v>314</v>
      </c>
      <c r="V701" s="3" t="s">
        <v>4411</v>
      </c>
      <c r="W701" s="3" t="s">
        <v>4371</v>
      </c>
      <c r="X701" s="2"/>
      <c r="Y701" s="2"/>
    </row>
    <row r="702" spans="1:25" hidden="1" x14ac:dyDescent="0.2">
      <c r="A702" s="3">
        <v>1675</v>
      </c>
      <c r="B702" s="4" t="s">
        <v>4412</v>
      </c>
      <c r="C702" s="3" t="s">
        <v>4413</v>
      </c>
      <c r="D702" s="3" t="e">
        <f>VLOOKUP(A702,Hebrew!A:C,3,0)</f>
        <v>#N/A</v>
      </c>
      <c r="E702" s="3" t="s">
        <v>4414</v>
      </c>
      <c r="F702" s="3" t="e">
        <f>VLOOKUP($A702,Hebrew!$A:$S,4,0)</f>
        <v>#N/A</v>
      </c>
      <c r="G702" s="3" t="s">
        <v>4415</v>
      </c>
      <c r="H702" s="2"/>
      <c r="I702" s="2"/>
      <c r="J702" s="3" t="s">
        <v>1684</v>
      </c>
      <c r="K702" s="3" t="s">
        <v>4416</v>
      </c>
      <c r="L702" s="3" t="e">
        <f>VLOOKUP($A702,Hebrew!$A:$S,9,0)</f>
        <v>#N/A</v>
      </c>
      <c r="M702" s="2"/>
      <c r="N702" s="2"/>
      <c r="O702" s="3" t="s">
        <v>26</v>
      </c>
      <c r="P702" s="3" t="s">
        <v>357</v>
      </c>
      <c r="Q702" s="3" t="e">
        <f>VLOOKUP($A702,Hebrew!$A:$S,13,0)</f>
        <v>#N/A</v>
      </c>
      <c r="R702" s="3" t="s">
        <v>1215</v>
      </c>
      <c r="S702" s="3" t="s">
        <v>413</v>
      </c>
      <c r="T702" s="3" t="s">
        <v>4417</v>
      </c>
      <c r="U702" s="3" t="s">
        <v>95</v>
      </c>
      <c r="V702" s="3" t="s">
        <v>4306</v>
      </c>
      <c r="W702" s="3" t="s">
        <v>4418</v>
      </c>
      <c r="X702" s="2"/>
      <c r="Y702" s="2"/>
    </row>
    <row r="703" spans="1:25" hidden="1" x14ac:dyDescent="0.2">
      <c r="A703" s="3">
        <v>1738</v>
      </c>
      <c r="B703" s="4" t="s">
        <v>4419</v>
      </c>
      <c r="C703" s="3" t="s">
        <v>4420</v>
      </c>
      <c r="D703" s="3" t="e">
        <f>VLOOKUP(A703,Hebrew!A:C,3,0)</f>
        <v>#N/A</v>
      </c>
      <c r="E703" s="3" t="s">
        <v>4421</v>
      </c>
      <c r="F703" s="3" t="e">
        <f>VLOOKUP($A703,Hebrew!$A:$S,4,0)</f>
        <v>#N/A</v>
      </c>
      <c r="G703" s="3" t="s">
        <v>4026</v>
      </c>
      <c r="H703" s="2"/>
      <c r="I703" s="2"/>
      <c r="J703" s="3" t="s">
        <v>135</v>
      </c>
      <c r="K703" s="3" t="s">
        <v>4422</v>
      </c>
      <c r="L703" s="3" t="e">
        <f>VLOOKUP($A703,Hebrew!$A:$S,9,0)</f>
        <v>#N/A</v>
      </c>
      <c r="M703" s="2"/>
      <c r="N703" s="2"/>
      <c r="O703" s="3" t="s">
        <v>26</v>
      </c>
      <c r="P703" s="3" t="s">
        <v>357</v>
      </c>
      <c r="Q703" s="3" t="e">
        <f>VLOOKUP($A703,Hebrew!$A:$S,13,0)</f>
        <v>#N/A</v>
      </c>
      <c r="R703" s="3" t="s">
        <v>1215</v>
      </c>
      <c r="S703" s="3" t="s">
        <v>413</v>
      </c>
      <c r="T703" s="3" t="s">
        <v>4423</v>
      </c>
      <c r="U703" s="3" t="s">
        <v>95</v>
      </c>
      <c r="V703" s="3" t="s">
        <v>3692</v>
      </c>
      <c r="W703" s="3" t="s">
        <v>4424</v>
      </c>
      <c r="X703" s="2"/>
      <c r="Y703" s="2"/>
    </row>
    <row r="704" spans="1:25" hidden="1" x14ac:dyDescent="0.2">
      <c r="A704" s="3">
        <v>1086</v>
      </c>
      <c r="B704" s="4" t="s">
        <v>4425</v>
      </c>
      <c r="C704" s="3" t="s">
        <v>4426</v>
      </c>
      <c r="D704" s="3" t="e">
        <f>VLOOKUP(A704,Hebrew!A:C,3,0)</f>
        <v>#N/A</v>
      </c>
      <c r="E704" s="3" t="s">
        <v>4427</v>
      </c>
      <c r="F704" s="3" t="e">
        <f>VLOOKUP($A704,Hebrew!$A:$S,4,0)</f>
        <v>#N/A</v>
      </c>
      <c r="G704" s="3" t="s">
        <v>1267</v>
      </c>
      <c r="H704" s="3" t="s">
        <v>4428</v>
      </c>
      <c r="I704" s="3" t="s">
        <v>840</v>
      </c>
      <c r="J704" s="3" t="s">
        <v>393</v>
      </c>
      <c r="K704" s="3" t="s">
        <v>453</v>
      </c>
      <c r="L704" s="3" t="e">
        <f>VLOOKUP($A704,Hebrew!$A:$S,9,0)</f>
        <v>#N/A</v>
      </c>
      <c r="M704" s="2"/>
      <c r="N704" s="2"/>
      <c r="O704" s="3" t="s">
        <v>426</v>
      </c>
      <c r="P704" s="3" t="s">
        <v>245</v>
      </c>
      <c r="Q704" s="3" t="e">
        <f>VLOOKUP($A704,Hebrew!$A:$S,13,0)</f>
        <v>#N/A</v>
      </c>
      <c r="R704" s="3" t="s">
        <v>396</v>
      </c>
      <c r="S704" s="3" t="s">
        <v>1186</v>
      </c>
      <c r="T704" s="3" t="s">
        <v>4429</v>
      </c>
      <c r="U704" s="3" t="s">
        <v>43</v>
      </c>
      <c r="V704" s="3" t="s">
        <v>245</v>
      </c>
      <c r="W704" s="2"/>
      <c r="X704" s="2"/>
      <c r="Y704" s="2"/>
    </row>
    <row r="705" spans="1:25" hidden="1" x14ac:dyDescent="0.2">
      <c r="A705" s="3">
        <v>1087</v>
      </c>
      <c r="B705" s="4" t="s">
        <v>4430</v>
      </c>
      <c r="C705" s="3" t="s">
        <v>4431</v>
      </c>
      <c r="D705" s="3" t="e">
        <f>VLOOKUP(A705,Hebrew!A:C,3,0)</f>
        <v>#N/A</v>
      </c>
      <c r="E705" s="3" t="s">
        <v>4432</v>
      </c>
      <c r="F705" s="3" t="e">
        <f>VLOOKUP($A705,Hebrew!$A:$S,4,0)</f>
        <v>#N/A</v>
      </c>
      <c r="G705" s="3" t="s">
        <v>1267</v>
      </c>
      <c r="H705" s="3" t="s">
        <v>4310</v>
      </c>
      <c r="I705" s="3" t="s">
        <v>4310</v>
      </c>
      <c r="J705" s="3" t="s">
        <v>393</v>
      </c>
      <c r="K705" s="3" t="s">
        <v>453</v>
      </c>
      <c r="L705" s="3" t="e">
        <f>VLOOKUP($A705,Hebrew!$A:$S,9,0)</f>
        <v>#N/A</v>
      </c>
      <c r="M705" s="3" t="s">
        <v>2087</v>
      </c>
      <c r="N705" s="2"/>
      <c r="O705" s="3" t="s">
        <v>426</v>
      </c>
      <c r="P705" s="3" t="s">
        <v>4433</v>
      </c>
      <c r="Q705" s="3" t="e">
        <f>VLOOKUP($A705,Hebrew!$A:$S,13,0)</f>
        <v>#N/A</v>
      </c>
      <c r="R705" s="3" t="s">
        <v>396</v>
      </c>
      <c r="S705" s="3" t="s">
        <v>455</v>
      </c>
      <c r="T705" s="3" t="s">
        <v>4434</v>
      </c>
      <c r="U705" s="3" t="s">
        <v>43</v>
      </c>
      <c r="V705" s="3" t="s">
        <v>4433</v>
      </c>
      <c r="W705" s="2"/>
      <c r="X705" s="2"/>
      <c r="Y705" s="2"/>
    </row>
    <row r="706" spans="1:25" hidden="1" x14ac:dyDescent="0.2">
      <c r="A706" s="3">
        <v>353</v>
      </c>
      <c r="B706" s="4" t="s">
        <v>4435</v>
      </c>
      <c r="C706" s="3" t="s">
        <v>4436</v>
      </c>
      <c r="D706" s="3" t="e">
        <f>VLOOKUP(A706,Hebrew!A:C,3,0)</f>
        <v>#N/A</v>
      </c>
      <c r="E706" s="3" t="s">
        <v>4437</v>
      </c>
      <c r="F706" s="3" t="e">
        <f>VLOOKUP($A706,Hebrew!$A:$S,4,0)</f>
        <v>#N/A</v>
      </c>
      <c r="G706" s="3" t="s">
        <v>2609</v>
      </c>
      <c r="H706" s="2"/>
      <c r="I706" s="2"/>
      <c r="J706" s="3" t="s">
        <v>3427</v>
      </c>
      <c r="K706" s="3" t="s">
        <v>4438</v>
      </c>
      <c r="L706" s="3" t="e">
        <f>VLOOKUP($A706,Hebrew!$A:$S,9,0)</f>
        <v>#N/A</v>
      </c>
      <c r="M706" s="2"/>
      <c r="N706" s="2"/>
      <c r="O706" s="3" t="s">
        <v>39</v>
      </c>
      <c r="P706" s="3" t="s">
        <v>4439</v>
      </c>
      <c r="Q706" s="3" t="e">
        <f>VLOOKUP($A706,Hebrew!$A:$S,13,0)</f>
        <v>#N/A</v>
      </c>
      <c r="R706" s="3" t="s">
        <v>1215</v>
      </c>
      <c r="S706" s="3" t="s">
        <v>29</v>
      </c>
      <c r="T706" s="3" t="s">
        <v>4440</v>
      </c>
      <c r="U706" s="3" t="s">
        <v>4441</v>
      </c>
      <c r="V706" s="3" t="s">
        <v>60</v>
      </c>
      <c r="W706" s="3" t="s">
        <v>4442</v>
      </c>
      <c r="X706" s="2"/>
      <c r="Y706" s="2"/>
    </row>
    <row r="707" spans="1:25" hidden="1" x14ac:dyDescent="0.2">
      <c r="A707" s="3">
        <v>1473</v>
      </c>
      <c r="B707" s="4" t="s">
        <v>4443</v>
      </c>
      <c r="C707" s="3" t="s">
        <v>4444</v>
      </c>
      <c r="D707" s="3" t="e">
        <f>VLOOKUP(A707,Hebrew!A:C,3,0)</f>
        <v>#N/A</v>
      </c>
      <c r="E707" s="3" t="s">
        <v>4445</v>
      </c>
      <c r="F707" s="3" t="e">
        <f>VLOOKUP($A707,Hebrew!$A:$S,4,0)</f>
        <v>#N/A</v>
      </c>
      <c r="G707" s="3" t="s">
        <v>2920</v>
      </c>
      <c r="H707" s="3" t="s">
        <v>2920</v>
      </c>
      <c r="I707" s="3" t="s">
        <v>2920</v>
      </c>
      <c r="J707" s="3" t="s">
        <v>1199</v>
      </c>
      <c r="K707" s="3" t="s">
        <v>4446</v>
      </c>
      <c r="L707" s="3" t="e">
        <f>VLOOKUP($A707,Hebrew!$A:$S,9,0)</f>
        <v>#N/A</v>
      </c>
      <c r="M707" s="2"/>
      <c r="N707" s="2"/>
      <c r="O707" s="3" t="s">
        <v>39</v>
      </c>
      <c r="P707" s="3" t="s">
        <v>27</v>
      </c>
      <c r="Q707" s="3" t="e">
        <f>VLOOKUP($A707,Hebrew!$A:$S,13,0)</f>
        <v>#N/A</v>
      </c>
      <c r="R707" s="3" t="s">
        <v>1215</v>
      </c>
      <c r="S707" s="3" t="s">
        <v>29</v>
      </c>
      <c r="T707" s="3" t="s">
        <v>4447</v>
      </c>
      <c r="U707" s="3" t="s">
        <v>4448</v>
      </c>
      <c r="V707" s="3" t="s">
        <v>27</v>
      </c>
      <c r="W707" s="3" t="s">
        <v>2533</v>
      </c>
      <c r="X707" s="2"/>
      <c r="Y707" s="2"/>
    </row>
    <row r="708" spans="1:25" hidden="1" x14ac:dyDescent="0.2">
      <c r="A708" s="3">
        <v>667</v>
      </c>
      <c r="B708" s="4" t="s">
        <v>4449</v>
      </c>
      <c r="C708" s="3" t="s">
        <v>4450</v>
      </c>
      <c r="D708" s="3" t="e">
        <f>VLOOKUP(A708,Hebrew!A:C,3,0)</f>
        <v>#N/A</v>
      </c>
      <c r="E708" s="3" t="s">
        <v>4451</v>
      </c>
      <c r="F708" s="3" t="e">
        <f>VLOOKUP($A708,Hebrew!$A:$S,4,0)</f>
        <v>#N/A</v>
      </c>
      <c r="G708" s="3" t="s">
        <v>677</v>
      </c>
      <c r="H708" s="2"/>
      <c r="I708" s="2"/>
      <c r="J708" s="3" t="s">
        <v>4452</v>
      </c>
      <c r="K708" s="3" t="s">
        <v>4453</v>
      </c>
      <c r="L708" s="3" t="e">
        <f>VLOOKUP($A708,Hebrew!$A:$S,9,0)</f>
        <v>#N/A</v>
      </c>
      <c r="M708" s="3" t="s">
        <v>36</v>
      </c>
      <c r="N708" s="6" t="s">
        <v>4454</v>
      </c>
      <c r="O708" s="3" t="s">
        <v>26</v>
      </c>
      <c r="P708" s="3" t="s">
        <v>4455</v>
      </c>
      <c r="Q708" s="3" t="e">
        <f>VLOOKUP($A708,Hebrew!$A:$S,13,0)</f>
        <v>#N/A</v>
      </c>
      <c r="R708" s="3" t="s">
        <v>1215</v>
      </c>
      <c r="S708" s="3" t="s">
        <v>397</v>
      </c>
      <c r="T708" s="3" t="s">
        <v>4456</v>
      </c>
      <c r="U708" s="3" t="s">
        <v>4457</v>
      </c>
      <c r="V708" s="3" t="s">
        <v>4458</v>
      </c>
      <c r="W708" s="3" t="s">
        <v>4459</v>
      </c>
      <c r="X708" s="2"/>
      <c r="Y708" s="2"/>
    </row>
    <row r="709" spans="1:25" hidden="1" x14ac:dyDescent="0.2">
      <c r="A709" s="3">
        <v>1966</v>
      </c>
      <c r="B709" s="4" t="s">
        <v>4460</v>
      </c>
      <c r="C709" s="3" t="s">
        <v>4461</v>
      </c>
      <c r="D709" s="3" t="e">
        <f>VLOOKUP(A709,Hebrew!A:C,3,0)</f>
        <v>#N/A</v>
      </c>
      <c r="E709" s="3" t="s">
        <v>4462</v>
      </c>
      <c r="F709" s="3" t="e">
        <f>VLOOKUP($A709,Hebrew!$A:$S,4,0)</f>
        <v>#N/A</v>
      </c>
      <c r="G709" s="3" t="s">
        <v>979</v>
      </c>
      <c r="H709" s="3" t="s">
        <v>979</v>
      </c>
      <c r="I709" s="3" t="s">
        <v>979</v>
      </c>
      <c r="J709" s="3" t="s">
        <v>393</v>
      </c>
      <c r="K709" s="3" t="s">
        <v>4463</v>
      </c>
      <c r="L709" s="3" t="e">
        <f>VLOOKUP($A709,Hebrew!$A:$S,9,0)</f>
        <v>#N/A</v>
      </c>
      <c r="M709" s="3" t="s">
        <v>135</v>
      </c>
      <c r="N709" s="2"/>
      <c r="O709" s="3" t="s">
        <v>26</v>
      </c>
      <c r="P709" s="3" t="s">
        <v>4464</v>
      </c>
      <c r="Q709" s="3" t="e">
        <f>VLOOKUP($A709,Hebrew!$A:$S,13,0)</f>
        <v>#N/A</v>
      </c>
      <c r="R709" s="3" t="s">
        <v>396</v>
      </c>
      <c r="S709" s="3" t="s">
        <v>413</v>
      </c>
      <c r="T709" s="3" t="s">
        <v>4465</v>
      </c>
      <c r="U709" s="3" t="s">
        <v>95</v>
      </c>
      <c r="V709" s="3" t="s">
        <v>357</v>
      </c>
      <c r="W709" s="2"/>
      <c r="X709" s="3" t="s">
        <v>4466</v>
      </c>
      <c r="Y709" s="4" t="s">
        <v>4467</v>
      </c>
    </row>
    <row r="710" spans="1:25" hidden="1" x14ac:dyDescent="0.2">
      <c r="A710" s="3">
        <v>1967</v>
      </c>
      <c r="B710" s="4" t="s">
        <v>4468</v>
      </c>
      <c r="C710" s="3" t="s">
        <v>4469</v>
      </c>
      <c r="D710" s="3" t="e">
        <f>VLOOKUP(A710,Hebrew!A:C,3,0)</f>
        <v>#N/A</v>
      </c>
      <c r="E710" s="3" t="s">
        <v>4470</v>
      </c>
      <c r="F710" s="3" t="e">
        <f>VLOOKUP($A710,Hebrew!$A:$S,4,0)</f>
        <v>#N/A</v>
      </c>
      <c r="G710" s="3" t="s">
        <v>3718</v>
      </c>
      <c r="H710" s="3" t="s">
        <v>3718</v>
      </c>
      <c r="I710" s="3" t="s">
        <v>3718</v>
      </c>
      <c r="J710" s="3" t="s">
        <v>393</v>
      </c>
      <c r="K710" s="3" t="s">
        <v>4471</v>
      </c>
      <c r="L710" s="3" t="e">
        <f>VLOOKUP($A710,Hebrew!$A:$S,9,0)</f>
        <v>#N/A</v>
      </c>
      <c r="M710" s="2"/>
      <c r="N710" s="2"/>
      <c r="O710" s="3" t="s">
        <v>26</v>
      </c>
      <c r="P710" s="3" t="s">
        <v>4472</v>
      </c>
      <c r="Q710" s="3" t="e">
        <f>VLOOKUP($A710,Hebrew!$A:$S,13,0)</f>
        <v>#N/A</v>
      </c>
      <c r="R710" s="3" t="s">
        <v>396</v>
      </c>
      <c r="S710" s="3" t="s">
        <v>405</v>
      </c>
      <c r="T710" s="3" t="s">
        <v>4473</v>
      </c>
      <c r="U710" s="3" t="s">
        <v>95</v>
      </c>
      <c r="V710" s="3" t="s">
        <v>357</v>
      </c>
      <c r="W710" s="2"/>
      <c r="X710" s="3" t="s">
        <v>4466</v>
      </c>
      <c r="Y710" s="4" t="s">
        <v>4474</v>
      </c>
    </row>
    <row r="711" spans="1:25" hidden="1" x14ac:dyDescent="0.2">
      <c r="A711" s="3">
        <v>1973</v>
      </c>
      <c r="B711" s="4" t="s">
        <v>4475</v>
      </c>
      <c r="C711" s="3" t="s">
        <v>4476</v>
      </c>
      <c r="D711" s="3" t="e">
        <f>VLOOKUP(A711,Hebrew!A:C,3,0)</f>
        <v>#N/A</v>
      </c>
      <c r="E711" s="3" t="s">
        <v>4477</v>
      </c>
      <c r="F711" s="3" t="e">
        <f>VLOOKUP($A711,Hebrew!$A:$S,4,0)</f>
        <v>#N/A</v>
      </c>
      <c r="G711" s="3" t="s">
        <v>3718</v>
      </c>
      <c r="H711" s="3" t="s">
        <v>3718</v>
      </c>
      <c r="I711" s="3" t="s">
        <v>3718</v>
      </c>
      <c r="J711" s="3" t="s">
        <v>393</v>
      </c>
      <c r="K711" s="3" t="s">
        <v>4478</v>
      </c>
      <c r="L711" s="3" t="e">
        <f>VLOOKUP($A711,Hebrew!$A:$S,9,0)</f>
        <v>#N/A</v>
      </c>
      <c r="M711" s="2"/>
      <c r="N711" s="2"/>
      <c r="O711" s="3" t="s">
        <v>26</v>
      </c>
      <c r="P711" s="3" t="s">
        <v>4479</v>
      </c>
      <c r="Q711" s="3" t="e">
        <f>VLOOKUP($A711,Hebrew!$A:$S,13,0)</f>
        <v>#N/A</v>
      </c>
      <c r="R711" s="3" t="s">
        <v>396</v>
      </c>
      <c r="S711" s="3" t="s">
        <v>413</v>
      </c>
      <c r="T711" s="3" t="s">
        <v>4480</v>
      </c>
      <c r="U711" s="3" t="s">
        <v>95</v>
      </c>
      <c r="V711" s="3" t="s">
        <v>357</v>
      </c>
      <c r="W711" s="2"/>
      <c r="X711" s="3" t="s">
        <v>4481</v>
      </c>
      <c r="Y711" s="4" t="s">
        <v>4482</v>
      </c>
    </row>
    <row r="712" spans="1:25" hidden="1" x14ac:dyDescent="0.2">
      <c r="A712" s="3">
        <v>1969</v>
      </c>
      <c r="B712" s="4" t="s">
        <v>4483</v>
      </c>
      <c r="C712" s="3" t="s">
        <v>4484</v>
      </c>
      <c r="D712" s="3" t="e">
        <f>VLOOKUP(A712,Hebrew!A:C,3,0)</f>
        <v>#N/A</v>
      </c>
      <c r="E712" s="3" t="s">
        <v>4485</v>
      </c>
      <c r="F712" s="3" t="e">
        <f>VLOOKUP($A712,Hebrew!$A:$S,4,0)</f>
        <v>#N/A</v>
      </c>
      <c r="G712" s="3" t="s">
        <v>3088</v>
      </c>
      <c r="H712" s="3" t="s">
        <v>3088</v>
      </c>
      <c r="I712" s="3" t="s">
        <v>3088</v>
      </c>
      <c r="J712" s="3" t="s">
        <v>393</v>
      </c>
      <c r="K712" s="3" t="s">
        <v>4486</v>
      </c>
      <c r="L712" s="3" t="e">
        <f>VLOOKUP($A712,Hebrew!$A:$S,9,0)</f>
        <v>#N/A</v>
      </c>
      <c r="M712" s="2"/>
      <c r="N712" s="2"/>
      <c r="O712" s="3" t="s">
        <v>26</v>
      </c>
      <c r="P712" s="3" t="s">
        <v>4487</v>
      </c>
      <c r="Q712" s="3" t="e">
        <f>VLOOKUP($A712,Hebrew!$A:$S,13,0)</f>
        <v>#N/A</v>
      </c>
      <c r="R712" s="3" t="s">
        <v>396</v>
      </c>
      <c r="S712" s="3" t="s">
        <v>405</v>
      </c>
      <c r="T712" s="3" t="s">
        <v>4488</v>
      </c>
      <c r="U712" s="3" t="s">
        <v>95</v>
      </c>
      <c r="V712" s="3" t="s">
        <v>357</v>
      </c>
      <c r="W712" s="2"/>
      <c r="X712" s="3" t="s">
        <v>4481</v>
      </c>
      <c r="Y712" s="4" t="s">
        <v>4489</v>
      </c>
    </row>
    <row r="713" spans="1:25" hidden="1" x14ac:dyDescent="0.2">
      <c r="A713" s="3">
        <v>1974</v>
      </c>
      <c r="B713" s="4" t="s">
        <v>4490</v>
      </c>
      <c r="C713" s="3" t="s">
        <v>4491</v>
      </c>
      <c r="D713" s="3" t="e">
        <f>VLOOKUP(A713,Hebrew!A:C,3,0)</f>
        <v>#N/A</v>
      </c>
      <c r="E713" s="3" t="s">
        <v>4492</v>
      </c>
      <c r="F713" s="3" t="e">
        <f>VLOOKUP($A713,Hebrew!$A:$S,4,0)</f>
        <v>#N/A</v>
      </c>
      <c r="G713" s="3" t="s">
        <v>3088</v>
      </c>
      <c r="H713" s="3" t="s">
        <v>4180</v>
      </c>
      <c r="I713" s="3" t="s">
        <v>4180</v>
      </c>
      <c r="J713" s="3" t="s">
        <v>393</v>
      </c>
      <c r="K713" s="3" t="s">
        <v>4493</v>
      </c>
      <c r="L713" s="3" t="e">
        <f>VLOOKUP($A713,Hebrew!$A:$S,9,0)</f>
        <v>#N/A</v>
      </c>
      <c r="M713" s="2"/>
      <c r="N713" s="2"/>
      <c r="O713" s="3" t="s">
        <v>26</v>
      </c>
      <c r="P713" s="3" t="s">
        <v>4494</v>
      </c>
      <c r="Q713" s="3" t="e">
        <f>VLOOKUP($A713,Hebrew!$A:$S,13,0)</f>
        <v>#N/A</v>
      </c>
      <c r="R713" s="3" t="s">
        <v>396</v>
      </c>
      <c r="S713" s="3" t="s">
        <v>413</v>
      </c>
      <c r="T713" s="3" t="s">
        <v>4495</v>
      </c>
      <c r="U713" s="3" t="s">
        <v>95</v>
      </c>
      <c r="V713" s="3" t="s">
        <v>357</v>
      </c>
      <c r="W713" s="2"/>
      <c r="X713" s="3" t="s">
        <v>4481</v>
      </c>
      <c r="Y713" s="4" t="s">
        <v>4496</v>
      </c>
    </row>
    <row r="714" spans="1:25" hidden="1" x14ac:dyDescent="0.2">
      <c r="A714" s="3">
        <v>2130</v>
      </c>
      <c r="B714" s="4" t="s">
        <v>4497</v>
      </c>
      <c r="C714" s="3" t="s">
        <v>4498</v>
      </c>
      <c r="D714" s="3" t="e">
        <f>VLOOKUP(A714,Hebrew!A:C,3,0)</f>
        <v>#N/A</v>
      </c>
      <c r="E714" s="3" t="s">
        <v>4499</v>
      </c>
      <c r="F714" s="3" t="e">
        <f>VLOOKUP($A714,Hebrew!$A:$S,4,0)</f>
        <v>#N/A</v>
      </c>
      <c r="G714" s="3" t="s">
        <v>617</v>
      </c>
      <c r="H714" s="3" t="s">
        <v>4500</v>
      </c>
      <c r="I714" s="3" t="s">
        <v>223</v>
      </c>
      <c r="J714" s="3" t="s">
        <v>393</v>
      </c>
      <c r="K714" s="3" t="s">
        <v>4501</v>
      </c>
      <c r="L714" s="3" t="e">
        <f>VLOOKUP($A714,Hebrew!$A:$S,9,0)</f>
        <v>#N/A</v>
      </c>
      <c r="M714" s="2"/>
      <c r="N714" s="2"/>
      <c r="O714" s="3" t="s">
        <v>26</v>
      </c>
      <c r="P714" s="3" t="s">
        <v>212</v>
      </c>
      <c r="Q714" s="3" t="e">
        <f>VLOOKUP($A714,Hebrew!$A:$S,13,0)</f>
        <v>#N/A</v>
      </c>
      <c r="R714" s="3" t="s">
        <v>396</v>
      </c>
      <c r="S714" s="3" t="s">
        <v>29</v>
      </c>
      <c r="T714" s="3" t="s">
        <v>4502</v>
      </c>
      <c r="U714" s="3" t="s">
        <v>1355</v>
      </c>
      <c r="V714" s="3" t="s">
        <v>4503</v>
      </c>
      <c r="W714" s="2"/>
      <c r="X714" s="2"/>
      <c r="Y714" s="2"/>
    </row>
    <row r="715" spans="1:25" hidden="1" x14ac:dyDescent="0.2">
      <c r="A715" s="3">
        <v>1749</v>
      </c>
      <c r="B715" s="4" t="s">
        <v>4504</v>
      </c>
      <c r="C715" s="3" t="s">
        <v>4505</v>
      </c>
      <c r="D715" s="3" t="e">
        <f>VLOOKUP(A715,Hebrew!A:C,3,0)</f>
        <v>#N/A</v>
      </c>
      <c r="E715" s="3" t="s">
        <v>4506</v>
      </c>
      <c r="F715" s="3" t="e">
        <f>VLOOKUP($A715,Hebrew!$A:$S,4,0)</f>
        <v>#N/A</v>
      </c>
      <c r="G715" s="3" t="s">
        <v>77</v>
      </c>
      <c r="H715" s="3" t="s">
        <v>2501</v>
      </c>
      <c r="I715" s="3" t="s">
        <v>77</v>
      </c>
      <c r="J715" s="3" t="s">
        <v>2935</v>
      </c>
      <c r="K715" s="3" t="s">
        <v>4507</v>
      </c>
      <c r="L715" s="3" t="e">
        <f>VLOOKUP($A715,Hebrew!$A:$S,9,0)</f>
        <v>#N/A</v>
      </c>
      <c r="M715" s="2"/>
      <c r="N715" s="2"/>
      <c r="O715" s="3" t="s">
        <v>26</v>
      </c>
      <c r="P715" s="3" t="s">
        <v>4508</v>
      </c>
      <c r="Q715" s="3" t="e">
        <f>VLOOKUP($A715,Hebrew!$A:$S,13,0)</f>
        <v>#N/A</v>
      </c>
      <c r="R715" s="3" t="s">
        <v>1225</v>
      </c>
      <c r="S715" s="3" t="s">
        <v>413</v>
      </c>
      <c r="T715" s="3" t="s">
        <v>4509</v>
      </c>
      <c r="U715" s="3" t="s">
        <v>4510</v>
      </c>
      <c r="V715" s="3" t="s">
        <v>1459</v>
      </c>
      <c r="W715" s="3" t="s">
        <v>2533</v>
      </c>
      <c r="X715" s="2"/>
      <c r="Y715" s="2"/>
    </row>
    <row r="716" spans="1:25" hidden="1" x14ac:dyDescent="0.2">
      <c r="A716" s="3">
        <v>1239</v>
      </c>
      <c r="B716" s="4" t="s">
        <v>4511</v>
      </c>
      <c r="C716" s="3" t="s">
        <v>4512</v>
      </c>
      <c r="D716" s="3" t="e">
        <f>VLOOKUP(A716,Hebrew!A:C,3,0)</f>
        <v>#N/A</v>
      </c>
      <c r="E716" s="3" t="s">
        <v>4513</v>
      </c>
      <c r="F716" s="3" t="e">
        <f>VLOOKUP($A716,Hebrew!$A:$S,4,0)</f>
        <v>#N/A</v>
      </c>
      <c r="G716" s="3" t="s">
        <v>2163</v>
      </c>
      <c r="H716" s="3" t="s">
        <v>1997</v>
      </c>
      <c r="I716" s="3" t="s">
        <v>1722</v>
      </c>
      <c r="J716" s="3" t="s">
        <v>1801</v>
      </c>
      <c r="K716" s="3" t="s">
        <v>4514</v>
      </c>
      <c r="L716" s="3" t="e">
        <f>VLOOKUP($A716,Hebrew!$A:$S,9,0)</f>
        <v>#N/A</v>
      </c>
      <c r="M716" s="2"/>
      <c r="N716" s="2"/>
      <c r="O716" s="3" t="s">
        <v>26</v>
      </c>
      <c r="P716" s="3" t="s">
        <v>71</v>
      </c>
      <c r="Q716" s="3" t="e">
        <f>VLOOKUP($A716,Hebrew!$A:$S,13,0)</f>
        <v>#N/A</v>
      </c>
      <c r="R716" s="3" t="s">
        <v>1225</v>
      </c>
      <c r="S716" s="3" t="s">
        <v>29</v>
      </c>
      <c r="T716" s="3" t="s">
        <v>4515</v>
      </c>
      <c r="U716" s="3" t="s">
        <v>43</v>
      </c>
      <c r="V716" s="3" t="s">
        <v>4516</v>
      </c>
      <c r="W716" s="2"/>
      <c r="X716" s="2"/>
      <c r="Y716" s="2"/>
    </row>
    <row r="717" spans="1:25" hidden="1" x14ac:dyDescent="0.2">
      <c r="A717" s="3">
        <v>1469</v>
      </c>
      <c r="B717" s="4" t="s">
        <v>4517</v>
      </c>
      <c r="C717" s="3" t="s">
        <v>4518</v>
      </c>
      <c r="D717" s="3" t="e">
        <f>VLOOKUP(A717,Hebrew!A:C,3,0)</f>
        <v>#N/A</v>
      </c>
      <c r="E717" s="3" t="s">
        <v>4519</v>
      </c>
      <c r="F717" s="3" t="e">
        <f>VLOOKUP($A717,Hebrew!$A:$S,4,0)</f>
        <v>#N/A</v>
      </c>
      <c r="G717" s="3" t="s">
        <v>4520</v>
      </c>
      <c r="H717" s="3" t="s">
        <v>4285</v>
      </c>
      <c r="I717" s="3" t="s">
        <v>4520</v>
      </c>
      <c r="J717" s="3" t="s">
        <v>1213</v>
      </c>
      <c r="K717" s="3" t="s">
        <v>4521</v>
      </c>
      <c r="L717" s="3" t="e">
        <f>VLOOKUP($A717,Hebrew!$A:$S,9,0)</f>
        <v>#N/A</v>
      </c>
      <c r="M717" s="2"/>
      <c r="N717" s="2"/>
      <c r="O717" s="3" t="s">
        <v>26</v>
      </c>
      <c r="P717" s="3" t="s">
        <v>2992</v>
      </c>
      <c r="Q717" s="3" t="e">
        <f>VLOOKUP($A717,Hebrew!$A:$S,13,0)</f>
        <v>#N/A</v>
      </c>
      <c r="R717" s="3" t="s">
        <v>1215</v>
      </c>
      <c r="S717" s="3" t="s">
        <v>397</v>
      </c>
      <c r="T717" s="3" t="s">
        <v>4522</v>
      </c>
      <c r="U717" s="3" t="s">
        <v>4523</v>
      </c>
      <c r="V717" s="3" t="s">
        <v>4524</v>
      </c>
      <c r="W717" s="2"/>
      <c r="X717" s="2"/>
      <c r="Y717" s="2"/>
    </row>
    <row r="718" spans="1:25" hidden="1" x14ac:dyDescent="0.2">
      <c r="A718" s="3">
        <v>2028</v>
      </c>
      <c r="B718" s="4" t="s">
        <v>4525</v>
      </c>
      <c r="C718" s="3" t="s">
        <v>4526</v>
      </c>
      <c r="D718" s="3" t="e">
        <f>VLOOKUP(A718,Hebrew!A:C,3,0)</f>
        <v>#N/A</v>
      </c>
      <c r="E718" s="3" t="s">
        <v>4527</v>
      </c>
      <c r="F718" s="3" t="e">
        <f>VLOOKUP($A718,Hebrew!$A:$S,4,0)</f>
        <v>#N/A</v>
      </c>
      <c r="G718" s="3" t="s">
        <v>22</v>
      </c>
      <c r="H718" s="3" t="s">
        <v>1338</v>
      </c>
      <c r="I718" s="3" t="s">
        <v>22</v>
      </c>
      <c r="J718" s="3" t="s">
        <v>36</v>
      </c>
      <c r="K718" s="3" t="s">
        <v>4528</v>
      </c>
      <c r="L718" s="3" t="e">
        <f>VLOOKUP($A718,Hebrew!$A:$S,9,0)</f>
        <v>#N/A</v>
      </c>
      <c r="M718" s="2"/>
      <c r="N718" s="2"/>
      <c r="O718" s="3" t="s">
        <v>39</v>
      </c>
      <c r="P718" s="3" t="s">
        <v>461</v>
      </c>
      <c r="Q718" s="3" t="e">
        <f>VLOOKUP($A718,Hebrew!$A:$S,13,0)</f>
        <v>#N/A</v>
      </c>
      <c r="R718" s="3" t="s">
        <v>1215</v>
      </c>
      <c r="S718" s="3" t="s">
        <v>397</v>
      </c>
      <c r="T718" s="3" t="s">
        <v>4529</v>
      </c>
      <c r="U718" s="3" t="s">
        <v>43</v>
      </c>
      <c r="V718" s="3" t="s">
        <v>4530</v>
      </c>
      <c r="W718" s="2"/>
      <c r="X718" s="2"/>
      <c r="Y718" s="2"/>
    </row>
    <row r="719" spans="1:25" hidden="1" x14ac:dyDescent="0.2">
      <c r="A719" s="3">
        <v>1474</v>
      </c>
      <c r="B719" s="4" t="s">
        <v>4531</v>
      </c>
      <c r="C719" s="3" t="s">
        <v>4532</v>
      </c>
      <c r="D719" s="3" t="e">
        <f>VLOOKUP(A719,Hebrew!A:C,3,0)</f>
        <v>#N/A</v>
      </c>
      <c r="E719" s="3" t="s">
        <v>4533</v>
      </c>
      <c r="F719" s="3" t="e">
        <f>VLOOKUP($A719,Hebrew!$A:$S,4,0)</f>
        <v>#N/A</v>
      </c>
      <c r="G719" s="3" t="s">
        <v>2860</v>
      </c>
      <c r="H719" s="3" t="s">
        <v>2608</v>
      </c>
      <c r="I719" s="3" t="s">
        <v>2860</v>
      </c>
      <c r="J719" s="3" t="s">
        <v>1199</v>
      </c>
      <c r="K719" s="3" t="s">
        <v>4534</v>
      </c>
      <c r="L719" s="3" t="e">
        <f>VLOOKUP($A719,Hebrew!$A:$S,9,0)</f>
        <v>#N/A</v>
      </c>
      <c r="M719" s="2"/>
      <c r="N719" s="2"/>
      <c r="O719" s="3" t="s">
        <v>26</v>
      </c>
      <c r="P719" s="3" t="s">
        <v>60</v>
      </c>
      <c r="Q719" s="3" t="e">
        <f>VLOOKUP($A719,Hebrew!$A:$S,13,0)</f>
        <v>#N/A</v>
      </c>
      <c r="R719" s="3" t="s">
        <v>1215</v>
      </c>
      <c r="S719" s="3" t="s">
        <v>397</v>
      </c>
      <c r="T719" s="3" t="s">
        <v>4535</v>
      </c>
      <c r="U719" s="2"/>
      <c r="V719" s="3" t="s">
        <v>60</v>
      </c>
      <c r="W719" s="2"/>
      <c r="X719" s="2"/>
      <c r="Y719" s="2"/>
    </row>
    <row r="720" spans="1:25" hidden="1" x14ac:dyDescent="0.2">
      <c r="A720" s="3">
        <v>2150</v>
      </c>
      <c r="B720" s="4" t="s">
        <v>4536</v>
      </c>
      <c r="C720" s="3" t="s">
        <v>4537</v>
      </c>
      <c r="D720" s="3" t="e">
        <f>VLOOKUP(A720,Hebrew!A:C,3,0)</f>
        <v>#N/A</v>
      </c>
      <c r="E720" s="3" t="s">
        <v>4538</v>
      </c>
      <c r="F720" s="3" t="e">
        <f>VLOOKUP($A720,Hebrew!$A:$S,4,0)</f>
        <v>#N/A</v>
      </c>
      <c r="G720" s="3" t="s">
        <v>2478</v>
      </c>
      <c r="H720" s="3" t="s">
        <v>125</v>
      </c>
      <c r="I720" s="3" t="s">
        <v>2478</v>
      </c>
      <c r="J720" s="3" t="s">
        <v>393</v>
      </c>
      <c r="K720" s="3" t="s">
        <v>4539</v>
      </c>
      <c r="L720" s="3" t="e">
        <f>VLOOKUP($A720,Hebrew!$A:$S,9,0)</f>
        <v>#N/A</v>
      </c>
      <c r="M720" s="2"/>
      <c r="N720" s="2"/>
      <c r="O720" s="3" t="s">
        <v>39</v>
      </c>
      <c r="P720" s="3" t="s">
        <v>461</v>
      </c>
      <c r="Q720" s="3" t="e">
        <f>VLOOKUP($A720,Hebrew!$A:$S,13,0)</f>
        <v>#N/A</v>
      </c>
      <c r="R720" s="3" t="s">
        <v>396</v>
      </c>
      <c r="S720" s="3" t="s">
        <v>413</v>
      </c>
      <c r="T720" s="3" t="s">
        <v>4540</v>
      </c>
      <c r="U720" s="3" t="s">
        <v>43</v>
      </c>
      <c r="V720" s="3" t="s">
        <v>4541</v>
      </c>
      <c r="W720" s="2"/>
      <c r="X720" s="2"/>
      <c r="Y720" s="2"/>
    </row>
    <row r="721" spans="1:25" hidden="1" x14ac:dyDescent="0.2">
      <c r="A721" s="3">
        <v>2152</v>
      </c>
      <c r="B721" s="4" t="s">
        <v>4542</v>
      </c>
      <c r="C721" s="3" t="s">
        <v>4543</v>
      </c>
      <c r="D721" s="3" t="e">
        <f>VLOOKUP(A721,Hebrew!A:C,3,0)</f>
        <v>#N/A</v>
      </c>
      <c r="E721" s="3" t="s">
        <v>4544</v>
      </c>
      <c r="F721" s="3" t="e">
        <f>VLOOKUP($A721,Hebrew!$A:$S,4,0)</f>
        <v>#N/A</v>
      </c>
      <c r="G721" s="3" t="s">
        <v>327</v>
      </c>
      <c r="H721" s="2"/>
      <c r="I721" s="2"/>
      <c r="J721" s="3" t="s">
        <v>393</v>
      </c>
      <c r="K721" s="3" t="s">
        <v>4545</v>
      </c>
      <c r="L721" s="3" t="e">
        <f>VLOOKUP($A721,Hebrew!$A:$S,9,0)</f>
        <v>#N/A</v>
      </c>
      <c r="M721" s="2"/>
      <c r="N721" s="2"/>
      <c r="O721" s="3" t="s">
        <v>26</v>
      </c>
      <c r="P721" s="3" t="s">
        <v>4068</v>
      </c>
      <c r="Q721" s="3" t="e">
        <f>VLOOKUP($A721,Hebrew!$A:$S,13,0)</f>
        <v>#N/A</v>
      </c>
      <c r="R721" s="3" t="s">
        <v>396</v>
      </c>
      <c r="S721" s="3" t="s">
        <v>413</v>
      </c>
      <c r="T721" s="3" t="s">
        <v>4546</v>
      </c>
      <c r="U721" s="3" t="s">
        <v>43</v>
      </c>
      <c r="V721" s="3" t="s">
        <v>461</v>
      </c>
      <c r="W721" s="2"/>
      <c r="X721" s="2"/>
      <c r="Y721" s="2"/>
    </row>
    <row r="722" spans="1:25" hidden="1" x14ac:dyDescent="0.2">
      <c r="A722" s="3">
        <v>2153</v>
      </c>
      <c r="B722" s="4" t="s">
        <v>4547</v>
      </c>
      <c r="C722" s="3" t="s">
        <v>4548</v>
      </c>
      <c r="D722" s="3" t="e">
        <f>VLOOKUP(A722,Hebrew!A:C,3,0)</f>
        <v>#N/A</v>
      </c>
      <c r="E722" s="3" t="s">
        <v>4549</v>
      </c>
      <c r="F722" s="3" t="e">
        <f>VLOOKUP($A722,Hebrew!$A:$S,4,0)</f>
        <v>#N/A</v>
      </c>
      <c r="G722" s="3" t="s">
        <v>125</v>
      </c>
      <c r="H722" s="3" t="s">
        <v>1338</v>
      </c>
      <c r="I722" s="3" t="s">
        <v>125</v>
      </c>
      <c r="J722" s="3" t="s">
        <v>393</v>
      </c>
      <c r="K722" s="3" t="s">
        <v>2313</v>
      </c>
      <c r="L722" s="3" t="e">
        <f>VLOOKUP($A722,Hebrew!$A:$S,9,0)</f>
        <v>#N/A</v>
      </c>
      <c r="M722" s="2"/>
      <c r="N722" s="2"/>
      <c r="O722" s="3" t="s">
        <v>39</v>
      </c>
      <c r="P722" s="3" t="s">
        <v>212</v>
      </c>
      <c r="Q722" s="3" t="e">
        <f>VLOOKUP($A722,Hebrew!$A:$S,13,0)</f>
        <v>#N/A</v>
      </c>
      <c r="R722" s="3" t="s">
        <v>396</v>
      </c>
      <c r="S722" s="3" t="s">
        <v>397</v>
      </c>
      <c r="T722" s="3" t="s">
        <v>4550</v>
      </c>
      <c r="U722" s="3" t="s">
        <v>43</v>
      </c>
      <c r="V722" s="3" t="s">
        <v>4551</v>
      </c>
      <c r="W722" s="2"/>
      <c r="X722" s="2"/>
      <c r="Y722" s="2"/>
    </row>
    <row r="723" spans="1:25" hidden="1" x14ac:dyDescent="0.2">
      <c r="A723" s="3">
        <v>1426</v>
      </c>
      <c r="B723" s="4" t="s">
        <v>4552</v>
      </c>
      <c r="C723" s="3" t="s">
        <v>4553</v>
      </c>
      <c r="D723" s="3" t="e">
        <f>VLOOKUP(A723,Hebrew!A:C,3,0)</f>
        <v>#N/A</v>
      </c>
      <c r="E723" s="3" t="s">
        <v>4554</v>
      </c>
      <c r="F723" s="3" t="e">
        <f>VLOOKUP($A723,Hebrew!$A:$S,4,0)</f>
        <v>#N/A</v>
      </c>
      <c r="G723" s="3" t="s">
        <v>2124</v>
      </c>
      <c r="H723" s="3" t="s">
        <v>1545</v>
      </c>
      <c r="I723" s="3" t="s">
        <v>2119</v>
      </c>
      <c r="J723" s="3" t="s">
        <v>393</v>
      </c>
      <c r="K723" s="3" t="s">
        <v>589</v>
      </c>
      <c r="L723" s="3" t="e">
        <f>VLOOKUP($A723,Hebrew!$A:$S,9,0)</f>
        <v>#N/A</v>
      </c>
      <c r="M723" s="3" t="s">
        <v>173</v>
      </c>
      <c r="N723" s="4" t="s">
        <v>4555</v>
      </c>
      <c r="O723" s="3" t="s">
        <v>26</v>
      </c>
      <c r="P723" s="3" t="s">
        <v>27</v>
      </c>
      <c r="Q723" s="3" t="e">
        <f>VLOOKUP($A723,Hebrew!$A:$S,13,0)</f>
        <v>#N/A</v>
      </c>
      <c r="R723" s="3" t="s">
        <v>396</v>
      </c>
      <c r="S723" s="3" t="s">
        <v>397</v>
      </c>
      <c r="T723" s="3" t="s">
        <v>4556</v>
      </c>
      <c r="U723" s="3" t="s">
        <v>420</v>
      </c>
      <c r="V723" s="3" t="s">
        <v>27</v>
      </c>
      <c r="W723" s="2"/>
      <c r="X723" s="2"/>
      <c r="Y723" s="2"/>
    </row>
    <row r="724" spans="1:25" hidden="1" x14ac:dyDescent="0.2">
      <c r="A724" s="3">
        <v>1441</v>
      </c>
      <c r="B724" s="4" t="s">
        <v>4557</v>
      </c>
      <c r="C724" s="3" t="s">
        <v>4558</v>
      </c>
      <c r="D724" s="3" t="e">
        <f>VLOOKUP(A724,Hebrew!A:C,3,0)</f>
        <v>#N/A</v>
      </c>
      <c r="E724" s="3" t="s">
        <v>4559</v>
      </c>
      <c r="F724" s="3" t="e">
        <f>VLOOKUP($A724,Hebrew!$A:$S,4,0)</f>
        <v>#N/A</v>
      </c>
      <c r="G724" s="3" t="s">
        <v>4560</v>
      </c>
      <c r="H724" s="3" t="s">
        <v>4560</v>
      </c>
      <c r="I724" s="3" t="s">
        <v>4560</v>
      </c>
      <c r="J724" s="3" t="s">
        <v>393</v>
      </c>
      <c r="K724" s="3" t="s">
        <v>4561</v>
      </c>
      <c r="L724" s="3" t="e">
        <f>VLOOKUP($A724,Hebrew!$A:$S,9,0)</f>
        <v>#N/A</v>
      </c>
      <c r="M724" s="3" t="s">
        <v>393</v>
      </c>
      <c r="N724" s="2"/>
      <c r="O724" s="3" t="s">
        <v>39</v>
      </c>
      <c r="P724" s="3" t="s">
        <v>168</v>
      </c>
      <c r="Q724" s="3" t="e">
        <f>VLOOKUP($A724,Hebrew!$A:$S,13,0)</f>
        <v>#N/A</v>
      </c>
      <c r="R724" s="3" t="s">
        <v>396</v>
      </c>
      <c r="S724" s="3" t="s">
        <v>405</v>
      </c>
      <c r="T724" s="3" t="s">
        <v>4562</v>
      </c>
      <c r="U724" s="3" t="s">
        <v>268</v>
      </c>
      <c r="V724" s="3" t="s">
        <v>4563</v>
      </c>
      <c r="W724" s="2"/>
      <c r="X724" s="2"/>
      <c r="Y724" s="2"/>
    </row>
    <row r="725" spans="1:25" hidden="1" x14ac:dyDescent="0.2">
      <c r="A725" s="3">
        <v>2031</v>
      </c>
      <c r="B725" s="4" t="s">
        <v>4564</v>
      </c>
      <c r="C725" s="3" t="s">
        <v>4565</v>
      </c>
      <c r="D725" s="3" t="e">
        <f>VLOOKUP(A725,Hebrew!A:C,3,0)</f>
        <v>#N/A</v>
      </c>
      <c r="E725" s="3" t="s">
        <v>4566</v>
      </c>
      <c r="F725" s="3" t="e">
        <f>VLOOKUP($A725,Hebrew!$A:$S,4,0)</f>
        <v>#N/A</v>
      </c>
      <c r="G725" s="3" t="s">
        <v>192</v>
      </c>
      <c r="H725" s="3" t="s">
        <v>2799</v>
      </c>
      <c r="I725" s="3" t="s">
        <v>192</v>
      </c>
      <c r="J725" s="3" t="s">
        <v>36</v>
      </c>
      <c r="K725" s="3" t="s">
        <v>292</v>
      </c>
      <c r="L725" s="3" t="e">
        <f>VLOOKUP($A725,Hebrew!$A:$S,9,0)</f>
        <v>#N/A</v>
      </c>
      <c r="M725" s="2"/>
      <c r="N725" s="2"/>
      <c r="O725" s="3" t="s">
        <v>39</v>
      </c>
      <c r="P725" s="3" t="s">
        <v>4567</v>
      </c>
      <c r="Q725" s="3" t="e">
        <f>VLOOKUP($A725,Hebrew!$A:$S,13,0)</f>
        <v>#N/A</v>
      </c>
      <c r="R725" s="3" t="s">
        <v>1215</v>
      </c>
      <c r="S725" s="3" t="s">
        <v>397</v>
      </c>
      <c r="T725" s="3" t="s">
        <v>4568</v>
      </c>
      <c r="U725" s="3" t="s">
        <v>1973</v>
      </c>
      <c r="V725" s="3" t="s">
        <v>4569</v>
      </c>
      <c r="W725" s="2"/>
      <c r="X725" s="2"/>
      <c r="Y725" s="2"/>
    </row>
    <row r="726" spans="1:25" hidden="1" x14ac:dyDescent="0.2">
      <c r="A726" s="3">
        <v>915</v>
      </c>
      <c r="B726" s="4" t="s">
        <v>4570</v>
      </c>
      <c r="C726" s="3" t="s">
        <v>4571</v>
      </c>
      <c r="D726" s="3" t="e">
        <f>VLOOKUP(A726,Hebrew!A:C,3,0)</f>
        <v>#N/A</v>
      </c>
      <c r="E726" s="3" t="s">
        <v>4572</v>
      </c>
      <c r="F726" s="3" t="e">
        <f>VLOOKUP($A726,Hebrew!$A:$S,4,0)</f>
        <v>#N/A</v>
      </c>
      <c r="G726" s="3" t="s">
        <v>4573</v>
      </c>
      <c r="H726" s="2"/>
      <c r="I726" s="2"/>
      <c r="J726" s="3" t="s">
        <v>36</v>
      </c>
      <c r="K726" s="3" t="s">
        <v>4574</v>
      </c>
      <c r="L726" s="3" t="e">
        <f>VLOOKUP($A726,Hebrew!$A:$S,9,0)</f>
        <v>#N/A</v>
      </c>
      <c r="M726" s="2"/>
      <c r="N726" s="2"/>
      <c r="O726" s="3" t="s">
        <v>39</v>
      </c>
      <c r="P726" s="2"/>
      <c r="Q726" s="3" t="e">
        <f>VLOOKUP($A726,Hebrew!$A:$S,13,0)</f>
        <v>#N/A</v>
      </c>
      <c r="R726" s="3" t="s">
        <v>41</v>
      </c>
      <c r="S726" s="3" t="s">
        <v>397</v>
      </c>
      <c r="T726" s="3" t="s">
        <v>4575</v>
      </c>
      <c r="U726" s="3" t="s">
        <v>4576</v>
      </c>
      <c r="V726" s="3" t="s">
        <v>4577</v>
      </c>
      <c r="W726" s="3" t="s">
        <v>1356</v>
      </c>
      <c r="X726" s="2"/>
      <c r="Y726" s="2"/>
    </row>
    <row r="727" spans="1:25" hidden="1" x14ac:dyDescent="0.2">
      <c r="A727" s="2">
        <v>1427</v>
      </c>
      <c r="B727" s="8" t="s">
        <v>4578</v>
      </c>
      <c r="C727" s="2" t="s">
        <v>4579</v>
      </c>
      <c r="D727" s="3" t="e">
        <f>VLOOKUP(A727,Hebrew!A:C,3,0)</f>
        <v>#N/A</v>
      </c>
      <c r="E727" s="2" t="s">
        <v>4580</v>
      </c>
      <c r="F727" s="3" t="e">
        <f>VLOOKUP($A727,Hebrew!$A:$S,4,0)</f>
        <v>#N/A</v>
      </c>
      <c r="G727" s="2" t="s">
        <v>4581</v>
      </c>
      <c r="H727" s="2" t="s">
        <v>4581</v>
      </c>
      <c r="I727" s="2" t="s">
        <v>4581</v>
      </c>
      <c r="J727" s="2" t="s">
        <v>393</v>
      </c>
      <c r="K727" s="2" t="s">
        <v>589</v>
      </c>
      <c r="L727" s="3" t="e">
        <f>VLOOKUP($A727,Hebrew!$A:$S,9,0)</f>
        <v>#N/A</v>
      </c>
      <c r="M727" s="2" t="s">
        <v>173</v>
      </c>
      <c r="N727" s="2"/>
      <c r="O727" s="2" t="s">
        <v>26</v>
      </c>
      <c r="P727" s="2"/>
      <c r="Q727" s="3" t="e">
        <f>VLOOKUP($A727,Hebrew!$A:$S,13,0)</f>
        <v>#N/A</v>
      </c>
      <c r="R727" s="2" t="s">
        <v>396</v>
      </c>
      <c r="S727" s="2" t="s">
        <v>397</v>
      </c>
      <c r="T727" s="2" t="s">
        <v>4582</v>
      </c>
      <c r="U727" s="2" t="s">
        <v>4583</v>
      </c>
      <c r="V727" s="2" t="s">
        <v>4584</v>
      </c>
      <c r="W727" s="2"/>
      <c r="X727" s="2"/>
      <c r="Y727" s="2"/>
    </row>
    <row r="728" spans="1:25" hidden="1" x14ac:dyDescent="0.2">
      <c r="A728" s="2">
        <v>1429</v>
      </c>
      <c r="B728" s="8" t="s">
        <v>4585</v>
      </c>
      <c r="C728" s="2" t="s">
        <v>4586</v>
      </c>
      <c r="D728" s="3" t="e">
        <f>VLOOKUP(A728,Hebrew!A:C,3,0)</f>
        <v>#N/A</v>
      </c>
      <c r="E728" s="2" t="s">
        <v>4587</v>
      </c>
      <c r="F728" s="3" t="e">
        <f>VLOOKUP($A728,Hebrew!$A:$S,4,0)</f>
        <v>#N/A</v>
      </c>
      <c r="G728" s="2" t="s">
        <v>1692</v>
      </c>
      <c r="H728" s="2" t="s">
        <v>546</v>
      </c>
      <c r="I728" s="2" t="s">
        <v>546</v>
      </c>
      <c r="J728" s="2" t="s">
        <v>393</v>
      </c>
      <c r="K728" s="2" t="s">
        <v>589</v>
      </c>
      <c r="L728" s="3" t="e">
        <f>VLOOKUP($A728,Hebrew!$A:$S,9,0)</f>
        <v>#N/A</v>
      </c>
      <c r="M728" s="2" t="s">
        <v>1213</v>
      </c>
      <c r="N728" s="8" t="s">
        <v>4588</v>
      </c>
      <c r="O728" s="2" t="s">
        <v>26</v>
      </c>
      <c r="P728" s="2" t="s">
        <v>4589</v>
      </c>
      <c r="Q728" s="3" t="e">
        <f>VLOOKUP($A728,Hebrew!$A:$S,13,0)</f>
        <v>#N/A</v>
      </c>
      <c r="R728" s="2" t="s">
        <v>396</v>
      </c>
      <c r="S728" s="2" t="s">
        <v>397</v>
      </c>
      <c r="T728" s="2" t="s">
        <v>4590</v>
      </c>
      <c r="U728" s="2" t="s">
        <v>43</v>
      </c>
      <c r="V728" s="2" t="s">
        <v>245</v>
      </c>
      <c r="W728" s="2"/>
      <c r="X728" s="2"/>
      <c r="Y728" s="2"/>
    </row>
    <row r="729" spans="1:25" hidden="1" x14ac:dyDescent="0.2">
      <c r="A729" s="9">
        <v>1526</v>
      </c>
      <c r="B729" s="10" t="s">
        <v>4591</v>
      </c>
      <c r="C729" s="9" t="s">
        <v>4592</v>
      </c>
      <c r="D729" s="3" t="e">
        <f>VLOOKUP(A729,Hebrew!A:C,3,0)</f>
        <v>#N/A</v>
      </c>
      <c r="E729" s="9" t="s">
        <v>4593</v>
      </c>
      <c r="F729" s="3" t="e">
        <f>VLOOKUP($A729,Hebrew!$A:$S,4,0)</f>
        <v>#N/A</v>
      </c>
      <c r="G729" s="9" t="s">
        <v>3255</v>
      </c>
      <c r="H729" s="2"/>
      <c r="I729" s="2"/>
      <c r="J729" s="10" t="s">
        <v>36</v>
      </c>
      <c r="K729" s="9" t="s">
        <v>4594</v>
      </c>
      <c r="L729" s="3" t="e">
        <f>VLOOKUP($A729,Hebrew!$A:$S,9,0)</f>
        <v>#N/A</v>
      </c>
      <c r="M729" s="2"/>
      <c r="N729" s="2"/>
      <c r="O729" s="2" t="s">
        <v>26</v>
      </c>
      <c r="P729" s="2" t="s">
        <v>4595</v>
      </c>
      <c r="Q729" s="3" t="e">
        <f>VLOOKUP($A729,Hebrew!$A:$S,13,0)</f>
        <v>#N/A</v>
      </c>
      <c r="R729" s="9" t="s">
        <v>1215</v>
      </c>
      <c r="S729" s="11" t="s">
        <v>397</v>
      </c>
      <c r="T729" s="2" t="s">
        <v>4596</v>
      </c>
      <c r="U729" s="2" t="s">
        <v>4597</v>
      </c>
      <c r="V729" s="2" t="s">
        <v>3714</v>
      </c>
      <c r="W729" s="2"/>
      <c r="X729" s="2"/>
      <c r="Y729" s="2"/>
    </row>
    <row r="730" spans="1:25" hidden="1" x14ac:dyDescent="0.2">
      <c r="A730" s="9">
        <v>951</v>
      </c>
      <c r="B730" s="10" t="s">
        <v>4598</v>
      </c>
      <c r="C730" s="9" t="s">
        <v>4599</v>
      </c>
      <c r="D730" s="3" t="e">
        <f>VLOOKUP(A730,Hebrew!A:C,3,0)</f>
        <v>#N/A</v>
      </c>
      <c r="E730" s="9" t="s">
        <v>4600</v>
      </c>
      <c r="F730" s="3" t="e">
        <f>VLOOKUP($A730,Hebrew!$A:$S,4,0)</f>
        <v>#N/A</v>
      </c>
      <c r="G730" s="9" t="s">
        <v>4601</v>
      </c>
      <c r="H730" s="2"/>
      <c r="I730" s="2"/>
      <c r="J730" s="9" t="s">
        <v>3247</v>
      </c>
      <c r="K730" s="9" t="s">
        <v>4602</v>
      </c>
      <c r="L730" s="3" t="e">
        <f>VLOOKUP($A730,Hebrew!$A:$S,9,0)</f>
        <v>#N/A</v>
      </c>
      <c r="M730" s="2"/>
      <c r="N730" s="2"/>
      <c r="O730" s="2" t="s">
        <v>26</v>
      </c>
      <c r="P730" s="9" t="s">
        <v>27</v>
      </c>
      <c r="Q730" s="3" t="e">
        <f>VLOOKUP($A730,Hebrew!$A:$S,13,0)</f>
        <v>#N/A</v>
      </c>
      <c r="R730" s="9" t="s">
        <v>41</v>
      </c>
      <c r="S730" s="2" t="s">
        <v>397</v>
      </c>
      <c r="T730" s="2" t="s">
        <v>4603</v>
      </c>
      <c r="U730" s="2" t="s">
        <v>4604</v>
      </c>
      <c r="V730" s="2" t="s">
        <v>27</v>
      </c>
      <c r="W730" s="2"/>
      <c r="X730" s="2"/>
      <c r="Y730" s="2"/>
    </row>
    <row r="731" spans="1:25" hidden="1" x14ac:dyDescent="0.2">
      <c r="A731" s="9">
        <v>886</v>
      </c>
      <c r="B731" s="10" t="s">
        <v>4605</v>
      </c>
      <c r="C731" s="9" t="s">
        <v>4606</v>
      </c>
      <c r="D731" s="3" t="e">
        <f>VLOOKUP(A731,Hebrew!A:C,3,0)</f>
        <v>#N/A</v>
      </c>
      <c r="E731" s="9" t="s">
        <v>4607</v>
      </c>
      <c r="F731" s="3" t="e">
        <f>VLOOKUP($A731,Hebrew!$A:$S,4,0)</f>
        <v>#N/A</v>
      </c>
      <c r="G731" s="9" t="s">
        <v>4608</v>
      </c>
      <c r="H731" s="2"/>
      <c r="I731" s="2"/>
      <c r="J731" s="9" t="s">
        <v>4609</v>
      </c>
      <c r="K731" s="9" t="s">
        <v>4610</v>
      </c>
      <c r="L731" s="3" t="e">
        <f>VLOOKUP($A731,Hebrew!$A:$S,9,0)</f>
        <v>#N/A</v>
      </c>
      <c r="M731" s="2"/>
      <c r="N731" s="2" t="s">
        <v>4611</v>
      </c>
      <c r="O731" s="2" t="s">
        <v>26</v>
      </c>
      <c r="P731" s="9" t="s">
        <v>27</v>
      </c>
      <c r="Q731" s="3" t="e">
        <f>VLOOKUP($A731,Hebrew!$A:$S,13,0)</f>
        <v>#N/A</v>
      </c>
      <c r="R731" s="9" t="s">
        <v>61</v>
      </c>
      <c r="S731" s="2" t="s">
        <v>397</v>
      </c>
      <c r="T731" s="2" t="s">
        <v>4612</v>
      </c>
      <c r="U731" s="2" t="s">
        <v>4448</v>
      </c>
      <c r="V731" s="2" t="s">
        <v>3706</v>
      </c>
      <c r="W731" s="2" t="s">
        <v>1460</v>
      </c>
      <c r="X731" s="2"/>
      <c r="Y731" s="2"/>
    </row>
    <row r="732" spans="1:25" hidden="1" x14ac:dyDescent="0.2">
      <c r="A732" s="9">
        <v>1651</v>
      </c>
      <c r="B732" s="10" t="s">
        <v>4613</v>
      </c>
      <c r="C732" s="9" t="s">
        <v>4614</v>
      </c>
      <c r="D732" s="3" t="e">
        <f>VLOOKUP(A732,Hebrew!A:C,3,0)</f>
        <v>#N/A</v>
      </c>
      <c r="E732" s="9" t="s">
        <v>4615</v>
      </c>
      <c r="F732" s="3" t="e">
        <f>VLOOKUP($A732,Hebrew!$A:$S,4,0)</f>
        <v>#N/A</v>
      </c>
      <c r="G732" s="9" t="s">
        <v>927</v>
      </c>
      <c r="H732" s="2" t="s">
        <v>67</v>
      </c>
      <c r="I732" s="2" t="s">
        <v>927</v>
      </c>
      <c r="J732" s="9" t="s">
        <v>258</v>
      </c>
      <c r="K732" s="9" t="s">
        <v>2603</v>
      </c>
      <c r="L732" s="3" t="e">
        <f>VLOOKUP($A732,Hebrew!$A:$S,9,0)</f>
        <v>#N/A</v>
      </c>
      <c r="M732" s="2"/>
      <c r="N732" s="2"/>
      <c r="O732" s="2" t="s">
        <v>39</v>
      </c>
      <c r="P732" s="9" t="s">
        <v>27</v>
      </c>
      <c r="Q732" s="3" t="e">
        <f>VLOOKUP($A732,Hebrew!$A:$S,13,0)</f>
        <v>#N/A</v>
      </c>
      <c r="R732" s="9" t="s">
        <v>1215</v>
      </c>
      <c r="S732" s="11" t="s">
        <v>2611</v>
      </c>
      <c r="T732" s="2" t="s">
        <v>4616</v>
      </c>
      <c r="U732" s="2" t="s">
        <v>4617</v>
      </c>
      <c r="V732" s="2" t="s">
        <v>27</v>
      </c>
      <c r="W732" s="2" t="s">
        <v>1696</v>
      </c>
      <c r="X732" s="2"/>
      <c r="Y732" s="2"/>
    </row>
    <row r="733" spans="1:25" hidden="1" x14ac:dyDescent="0.2">
      <c r="A733" s="9">
        <v>1587</v>
      </c>
      <c r="B733" s="10" t="s">
        <v>4618</v>
      </c>
      <c r="C733" s="9" t="s">
        <v>4619</v>
      </c>
      <c r="D733" s="3" t="e">
        <f>VLOOKUP(A733,Hebrew!A:C,3,0)</f>
        <v>#N/A</v>
      </c>
      <c r="E733" s="9" t="s">
        <v>4620</v>
      </c>
      <c r="F733" s="3" t="e">
        <f>VLOOKUP($A733,Hebrew!$A:$S,4,0)</f>
        <v>#N/A</v>
      </c>
      <c r="G733" s="9" t="s">
        <v>4621</v>
      </c>
      <c r="H733" s="2"/>
      <c r="I733" s="2"/>
      <c r="J733" s="9" t="s">
        <v>4622</v>
      </c>
      <c r="K733" s="9" t="s">
        <v>4623</v>
      </c>
      <c r="L733" s="3" t="e">
        <f>VLOOKUP($A733,Hebrew!$A:$S,9,0)</f>
        <v>#N/A</v>
      </c>
      <c r="M733" s="2"/>
      <c r="N733" s="2"/>
      <c r="O733" s="2" t="s">
        <v>26</v>
      </c>
      <c r="P733" s="2" t="s">
        <v>4624</v>
      </c>
      <c r="Q733" s="3" t="e">
        <f>VLOOKUP($A733,Hebrew!$A:$S,13,0)</f>
        <v>#N/A</v>
      </c>
      <c r="R733" s="9" t="s">
        <v>1215</v>
      </c>
      <c r="S733" s="2" t="s">
        <v>405</v>
      </c>
      <c r="T733" s="2" t="s">
        <v>4625</v>
      </c>
      <c r="U733" s="2" t="s">
        <v>4626</v>
      </c>
      <c r="V733" s="2" t="s">
        <v>3394</v>
      </c>
      <c r="W733" s="2"/>
      <c r="X733" s="2"/>
      <c r="Y733" s="2"/>
    </row>
    <row r="734" spans="1:25" hidden="1" x14ac:dyDescent="0.2">
      <c r="A734" s="9">
        <v>1389</v>
      </c>
      <c r="B734" s="10" t="s">
        <v>4627</v>
      </c>
      <c r="C734" s="9" t="s">
        <v>4628</v>
      </c>
      <c r="D734" s="3" t="e">
        <f>VLOOKUP(A734,Hebrew!A:C,3,0)</f>
        <v>#N/A</v>
      </c>
      <c r="E734" s="9" t="s">
        <v>4629</v>
      </c>
      <c r="F734" s="3" t="e">
        <f>VLOOKUP($A734,Hebrew!$A:$S,4,0)</f>
        <v>#N/A</v>
      </c>
      <c r="G734" s="9" t="s">
        <v>2520</v>
      </c>
      <c r="H734" s="2"/>
      <c r="I734" s="2"/>
      <c r="J734" s="9" t="s">
        <v>4630</v>
      </c>
      <c r="K734" s="9" t="s">
        <v>4631</v>
      </c>
      <c r="L734" s="3" t="e">
        <f>VLOOKUP($A734,Hebrew!$A:$S,9,0)</f>
        <v>#N/A</v>
      </c>
      <c r="M734" s="2"/>
      <c r="N734" s="2"/>
      <c r="O734" s="2" t="s">
        <v>26</v>
      </c>
      <c r="P734" s="2" t="s">
        <v>4624</v>
      </c>
      <c r="Q734" s="3" t="e">
        <f>VLOOKUP($A734,Hebrew!$A:$S,13,0)</f>
        <v>#N/A</v>
      </c>
      <c r="R734" s="9" t="s">
        <v>61</v>
      </c>
      <c r="S734" s="2" t="s">
        <v>397</v>
      </c>
      <c r="T734" s="2" t="s">
        <v>4632</v>
      </c>
      <c r="U734" s="2" t="s">
        <v>4633</v>
      </c>
      <c r="V734" s="2" t="s">
        <v>3394</v>
      </c>
      <c r="W734" s="2" t="s">
        <v>2533</v>
      </c>
      <c r="X734" s="2"/>
      <c r="Y734" s="2"/>
    </row>
    <row r="735" spans="1:25" hidden="1" x14ac:dyDescent="0.2">
      <c r="A735" s="2">
        <v>2098</v>
      </c>
      <c r="B735" s="10" t="s">
        <v>4634</v>
      </c>
      <c r="C735" s="2" t="s">
        <v>4635</v>
      </c>
      <c r="D735" s="3" t="e">
        <f>VLOOKUP(A735,Hebrew!A:C,3,0)</f>
        <v>#N/A</v>
      </c>
      <c r="E735" s="2" t="s">
        <v>4636</v>
      </c>
      <c r="F735" s="3" t="e">
        <f>VLOOKUP($A735,Hebrew!$A:$S,4,0)</f>
        <v>#N/A</v>
      </c>
      <c r="G735" s="2" t="s">
        <v>1257</v>
      </c>
      <c r="H735" s="2"/>
      <c r="I735" s="2"/>
      <c r="J735" s="2" t="s">
        <v>258</v>
      </c>
      <c r="K735" s="2" t="s">
        <v>4637</v>
      </c>
      <c r="L735" s="3" t="e">
        <f>VLOOKUP($A735,Hebrew!$A:$S,9,0)</f>
        <v>#N/A</v>
      </c>
      <c r="M735" s="2"/>
      <c r="N735" s="2"/>
      <c r="O735" s="2" t="s">
        <v>39</v>
      </c>
      <c r="P735" s="2" t="s">
        <v>4638</v>
      </c>
      <c r="Q735" s="3" t="e">
        <f>VLOOKUP($A735,Hebrew!$A:$S,13,0)</f>
        <v>#N/A</v>
      </c>
      <c r="R735" s="2" t="s">
        <v>1215</v>
      </c>
      <c r="S735" s="2" t="s">
        <v>413</v>
      </c>
      <c r="T735" s="2" t="s">
        <v>4639</v>
      </c>
      <c r="U735" s="11" t="s">
        <v>43</v>
      </c>
      <c r="V735" s="2" t="s">
        <v>2771</v>
      </c>
      <c r="W735" s="2"/>
      <c r="X735" s="2"/>
      <c r="Y735" s="2"/>
    </row>
    <row r="736" spans="1:25" hidden="1" x14ac:dyDescent="0.2">
      <c r="A736" s="2">
        <v>1268</v>
      </c>
      <c r="B736" s="10" t="s">
        <v>4640</v>
      </c>
      <c r="C736" s="2" t="s">
        <v>4641</v>
      </c>
      <c r="D736" s="3" t="e">
        <f>VLOOKUP(A736,Hebrew!A:C,3,0)</f>
        <v>#N/A</v>
      </c>
      <c r="E736" s="2" t="s">
        <v>4642</v>
      </c>
      <c r="F736" s="3" t="e">
        <f>VLOOKUP($A736,Hebrew!$A:$S,4,0)</f>
        <v>#N/A</v>
      </c>
      <c r="G736" s="2" t="s">
        <v>3680</v>
      </c>
      <c r="H736" s="2" t="s">
        <v>3680</v>
      </c>
      <c r="I736" s="2" t="s">
        <v>3680</v>
      </c>
      <c r="J736" s="2" t="s">
        <v>36</v>
      </c>
      <c r="K736" s="2" t="s">
        <v>150</v>
      </c>
      <c r="L736" s="3" t="e">
        <f>VLOOKUP($A736,Hebrew!$A:$S,9,0)</f>
        <v>#N/A</v>
      </c>
      <c r="M736" s="2"/>
      <c r="N736" s="2"/>
      <c r="O736" s="2" t="s">
        <v>39</v>
      </c>
      <c r="P736" s="2" t="s">
        <v>4643</v>
      </c>
      <c r="Q736" s="3" t="e">
        <f>VLOOKUP($A736,Hebrew!$A:$S,13,0)</f>
        <v>#N/A</v>
      </c>
      <c r="R736" s="2" t="s">
        <v>1215</v>
      </c>
      <c r="S736" s="2" t="s">
        <v>397</v>
      </c>
      <c r="T736" s="2" t="s">
        <v>4644</v>
      </c>
      <c r="U736" s="2" t="s">
        <v>889</v>
      </c>
      <c r="V736" s="2" t="s">
        <v>728</v>
      </c>
      <c r="W736" s="2" t="s">
        <v>1160</v>
      </c>
      <c r="X736" s="2"/>
      <c r="Y736" s="2"/>
    </row>
    <row r="737" spans="1:25" hidden="1" x14ac:dyDescent="0.2">
      <c r="A737" s="2">
        <v>1862</v>
      </c>
      <c r="B737" s="10" t="s">
        <v>4645</v>
      </c>
      <c r="C737" s="2" t="s">
        <v>4646</v>
      </c>
      <c r="D737" s="3" t="e">
        <f>VLOOKUP(A737,Hebrew!A:C,3,0)</f>
        <v>#N/A</v>
      </c>
      <c r="E737" s="2" t="s">
        <v>4647</v>
      </c>
      <c r="F737" s="3" t="e">
        <f>VLOOKUP($A737,Hebrew!$A:$S,4,0)</f>
        <v>#N/A</v>
      </c>
      <c r="G737" s="2" t="s">
        <v>3681</v>
      </c>
      <c r="H737" s="2" t="s">
        <v>523</v>
      </c>
      <c r="I737" s="2" t="s">
        <v>3681</v>
      </c>
      <c r="J737" s="2" t="s">
        <v>2678</v>
      </c>
      <c r="K737" s="2" t="s">
        <v>2678</v>
      </c>
      <c r="L737" s="3" t="e">
        <f>VLOOKUP($A737,Hebrew!$A:$S,9,0)</f>
        <v>#N/A</v>
      </c>
      <c r="M737" s="2"/>
      <c r="N737" s="2"/>
      <c r="O737" s="2" t="s">
        <v>26</v>
      </c>
      <c r="P737" s="2" t="s">
        <v>4648</v>
      </c>
      <c r="Q737" s="3" t="e">
        <f>VLOOKUP($A737,Hebrew!$A:$S,13,0)</f>
        <v>#N/A</v>
      </c>
      <c r="R737" s="2" t="s">
        <v>1215</v>
      </c>
      <c r="S737" s="2" t="s">
        <v>397</v>
      </c>
      <c r="T737" s="2" t="s">
        <v>4649</v>
      </c>
      <c r="U737" s="2" t="s">
        <v>43</v>
      </c>
      <c r="V737" s="2" t="s">
        <v>4650</v>
      </c>
      <c r="W737" s="2"/>
      <c r="X737" s="2"/>
      <c r="Y737" s="2"/>
    </row>
    <row r="738" spans="1:25" hidden="1" x14ac:dyDescent="0.2">
      <c r="A738" s="2">
        <v>1292</v>
      </c>
      <c r="B738" s="10" t="s">
        <v>4651</v>
      </c>
      <c r="C738" s="2" t="s">
        <v>4652</v>
      </c>
      <c r="D738" s="3" t="e">
        <f>VLOOKUP(A738,Hebrew!A:C,3,0)</f>
        <v>#N/A</v>
      </c>
      <c r="E738" s="2" t="s">
        <v>4653</v>
      </c>
      <c r="F738" s="3" t="e">
        <f>VLOOKUP($A738,Hebrew!$A:$S,4,0)</f>
        <v>#N/A</v>
      </c>
      <c r="G738" s="2" t="s">
        <v>1727</v>
      </c>
      <c r="H738" s="2" t="s">
        <v>1722</v>
      </c>
      <c r="I738" s="2" t="s">
        <v>1722</v>
      </c>
      <c r="J738" s="2" t="s">
        <v>2589</v>
      </c>
      <c r="K738" s="2" t="s">
        <v>4654</v>
      </c>
      <c r="L738" s="3" t="e">
        <f>VLOOKUP($A738,Hebrew!$A:$S,9,0)</f>
        <v>#N/A</v>
      </c>
      <c r="M738" s="2"/>
      <c r="N738" s="2"/>
      <c r="O738" s="2" t="s">
        <v>26</v>
      </c>
      <c r="P738" s="2"/>
      <c r="Q738" s="3" t="e">
        <f>VLOOKUP($A738,Hebrew!$A:$S,13,0)</f>
        <v>#N/A</v>
      </c>
      <c r="R738" s="2" t="s">
        <v>1215</v>
      </c>
      <c r="S738" s="2" t="s">
        <v>29</v>
      </c>
      <c r="T738" s="2" t="s">
        <v>4655</v>
      </c>
      <c r="U738" s="2" t="s">
        <v>43</v>
      </c>
      <c r="V738" s="2" t="s">
        <v>836</v>
      </c>
      <c r="W738" s="2"/>
      <c r="X738" s="2"/>
      <c r="Y738" s="2"/>
    </row>
    <row r="739" spans="1:25" hidden="1" x14ac:dyDescent="0.2">
      <c r="A739" s="2">
        <v>2151</v>
      </c>
      <c r="B739" s="8" t="s">
        <v>4656</v>
      </c>
      <c r="C739" s="2" t="s">
        <v>4657</v>
      </c>
      <c r="D739" s="3" t="e">
        <f>VLOOKUP(A739,Hebrew!A:C,3,0)</f>
        <v>#N/A</v>
      </c>
      <c r="E739" s="2" t="s">
        <v>4658</v>
      </c>
      <c r="F739" s="3" t="e">
        <f>VLOOKUP($A739,Hebrew!$A:$S,4,0)</f>
        <v>#N/A</v>
      </c>
      <c r="G739" s="2" t="s">
        <v>4659</v>
      </c>
      <c r="H739" s="2" t="s">
        <v>4659</v>
      </c>
      <c r="I739" s="2" t="s">
        <v>4659</v>
      </c>
      <c r="J739" s="2" t="s">
        <v>393</v>
      </c>
      <c r="K739" s="2" t="s">
        <v>4545</v>
      </c>
      <c r="L739" s="3" t="e">
        <f>VLOOKUP($A739,Hebrew!$A:$S,9,0)</f>
        <v>#N/A</v>
      </c>
      <c r="M739" s="2"/>
      <c r="N739" s="2"/>
      <c r="O739" s="2" t="s">
        <v>26</v>
      </c>
      <c r="P739" s="2" t="s">
        <v>105</v>
      </c>
      <c r="Q739" s="3" t="e">
        <f>VLOOKUP($A739,Hebrew!$A:$S,13,0)</f>
        <v>#N/A</v>
      </c>
      <c r="R739" s="2" t="s">
        <v>396</v>
      </c>
      <c r="S739" s="2" t="s">
        <v>2314</v>
      </c>
      <c r="T739" s="2" t="s">
        <v>4660</v>
      </c>
      <c r="U739" s="2" t="s">
        <v>43</v>
      </c>
      <c r="V739" s="2" t="s">
        <v>4661</v>
      </c>
      <c r="W739" s="2"/>
      <c r="X739" s="2"/>
      <c r="Y739" s="2"/>
    </row>
    <row r="740" spans="1:25" hidden="1" x14ac:dyDescent="0.2">
      <c r="A740" s="2">
        <v>297</v>
      </c>
      <c r="B740" s="10" t="s">
        <v>4662</v>
      </c>
      <c r="C740" s="2" t="s">
        <v>4663</v>
      </c>
      <c r="D740" s="3" t="e">
        <f>VLOOKUP(A740,Hebrew!A:C,3,0)</f>
        <v>#N/A</v>
      </c>
      <c r="E740" s="2" t="s">
        <v>4664</v>
      </c>
      <c r="F740" s="3" t="e">
        <f>VLOOKUP($A740,Hebrew!$A:$S,4,0)</f>
        <v>#N/A</v>
      </c>
      <c r="G740" s="2" t="s">
        <v>1017</v>
      </c>
      <c r="H740" s="2" t="s">
        <v>1075</v>
      </c>
      <c r="I740" s="2" t="s">
        <v>2124</v>
      </c>
      <c r="J740" s="2" t="s">
        <v>36</v>
      </c>
      <c r="K740" s="2" t="s">
        <v>4665</v>
      </c>
      <c r="L740" s="3" t="e">
        <f>VLOOKUP($A740,Hebrew!$A:$S,9,0)</f>
        <v>#N/A</v>
      </c>
      <c r="M740" s="2"/>
      <c r="N740" s="6" t="s">
        <v>4666</v>
      </c>
      <c r="O740" s="2" t="s">
        <v>39</v>
      </c>
      <c r="P740" s="2" t="s">
        <v>395</v>
      </c>
      <c r="Q740" s="3" t="e">
        <f>VLOOKUP($A740,Hebrew!$A:$S,13,0)</f>
        <v>#N/A</v>
      </c>
      <c r="R740" s="2" t="s">
        <v>1215</v>
      </c>
      <c r="S740" s="2" t="s">
        <v>397</v>
      </c>
      <c r="T740" s="2" t="s">
        <v>4667</v>
      </c>
      <c r="U740" s="2" t="s">
        <v>4668</v>
      </c>
      <c r="V740" s="2" t="s">
        <v>4669</v>
      </c>
      <c r="W740" s="2" t="s">
        <v>729</v>
      </c>
      <c r="X740" s="2"/>
      <c r="Y740" s="2"/>
    </row>
    <row r="741" spans="1:25" hidden="1" x14ac:dyDescent="0.2">
      <c r="A741" s="2">
        <v>1483</v>
      </c>
      <c r="B741" s="10" t="s">
        <v>4670</v>
      </c>
      <c r="C741" s="2" t="s">
        <v>4671</v>
      </c>
      <c r="D741" s="3" t="e">
        <f>VLOOKUP(A741,Hebrew!A:C,3,0)</f>
        <v>#N/A</v>
      </c>
      <c r="E741" s="2" t="s">
        <v>4672</v>
      </c>
      <c r="F741" s="3" t="e">
        <f>VLOOKUP($A741,Hebrew!$A:$S,4,0)</f>
        <v>#N/A</v>
      </c>
      <c r="G741" s="2" t="s">
        <v>2753</v>
      </c>
      <c r="H741" s="2"/>
      <c r="I741" s="2"/>
      <c r="J741" s="2" t="s">
        <v>4673</v>
      </c>
      <c r="K741" s="2" t="s">
        <v>4674</v>
      </c>
      <c r="L741" s="3" t="e">
        <f>VLOOKUP($A741,Hebrew!$A:$S,9,0)</f>
        <v>#N/A</v>
      </c>
      <c r="M741" s="2" t="s">
        <v>393</v>
      </c>
      <c r="N741" s="6" t="s">
        <v>4675</v>
      </c>
      <c r="O741" s="2" t="s">
        <v>26</v>
      </c>
      <c r="P741" s="2"/>
      <c r="Q741" s="3" t="e">
        <f>VLOOKUP($A741,Hebrew!$A:$S,13,0)</f>
        <v>#N/A</v>
      </c>
      <c r="R741" s="2" t="s">
        <v>1215</v>
      </c>
      <c r="S741" s="2" t="s">
        <v>29</v>
      </c>
      <c r="T741" s="2" t="s">
        <v>4676</v>
      </c>
      <c r="U741" s="2" t="s">
        <v>1748</v>
      </c>
      <c r="V741" s="2"/>
      <c r="W741" s="2"/>
      <c r="X741" s="2"/>
      <c r="Y741" s="2"/>
    </row>
    <row r="742" spans="1:25" hidden="1" x14ac:dyDescent="0.2">
      <c r="A742" s="2">
        <v>1942</v>
      </c>
      <c r="B742" s="10" t="s">
        <v>4677</v>
      </c>
      <c r="C742" s="2" t="s">
        <v>4678</v>
      </c>
      <c r="D742" s="3" t="e">
        <f>VLOOKUP(A742,Hebrew!A:C,3,0)</f>
        <v>#N/A</v>
      </c>
      <c r="E742" s="2" t="s">
        <v>4679</v>
      </c>
      <c r="F742" s="3" t="e">
        <f>VLOOKUP($A742,Hebrew!$A:$S,4,0)</f>
        <v>#N/A</v>
      </c>
      <c r="G742" s="2" t="s">
        <v>600</v>
      </c>
      <c r="H742" s="2"/>
      <c r="I742" s="2"/>
      <c r="J742" s="2" t="s">
        <v>4680</v>
      </c>
      <c r="K742" s="2" t="s">
        <v>4681</v>
      </c>
      <c r="L742" s="3" t="e">
        <f>VLOOKUP($A742,Hebrew!$A:$S,9,0)</f>
        <v>#N/A</v>
      </c>
      <c r="M742" s="2"/>
      <c r="N742" s="2"/>
      <c r="O742" s="2" t="s">
        <v>26</v>
      </c>
      <c r="P742" s="2" t="s">
        <v>4682</v>
      </c>
      <c r="Q742" s="3" t="e">
        <f>VLOOKUP($A742,Hebrew!$A:$S,13,0)</f>
        <v>#N/A</v>
      </c>
      <c r="R742" s="2" t="s">
        <v>1215</v>
      </c>
      <c r="S742" s="2" t="s">
        <v>29</v>
      </c>
      <c r="T742" s="2" t="s">
        <v>4683</v>
      </c>
      <c r="U742" s="2" t="s">
        <v>95</v>
      </c>
      <c r="V742" s="2" t="s">
        <v>357</v>
      </c>
      <c r="W742" s="2"/>
      <c r="X742" s="2"/>
      <c r="Y742" s="2"/>
    </row>
    <row r="743" spans="1:25" hidden="1" x14ac:dyDescent="0.2">
      <c r="A743" s="2">
        <v>2132</v>
      </c>
      <c r="B743" s="8" t="s">
        <v>4684</v>
      </c>
      <c r="C743" s="2" t="s">
        <v>4685</v>
      </c>
      <c r="D743" s="3" t="e">
        <f>VLOOKUP(A743,Hebrew!A:C,3,0)</f>
        <v>#N/A</v>
      </c>
      <c r="E743" s="2" t="s">
        <v>4686</v>
      </c>
      <c r="F743" s="3" t="e">
        <f>VLOOKUP($A743,Hebrew!$A:$S,4,0)</f>
        <v>#N/A</v>
      </c>
      <c r="G743" s="2" t="s">
        <v>1907</v>
      </c>
      <c r="H743" s="2" t="s">
        <v>1907</v>
      </c>
      <c r="I743" s="2" t="s">
        <v>1907</v>
      </c>
      <c r="J743" s="2" t="s">
        <v>393</v>
      </c>
      <c r="K743" s="2" t="s">
        <v>4501</v>
      </c>
      <c r="L743" s="3" t="e">
        <f>VLOOKUP($A743,Hebrew!$A:$S,9,0)</f>
        <v>#N/A</v>
      </c>
      <c r="M743" s="2" t="s">
        <v>1324</v>
      </c>
      <c r="N743" s="2"/>
      <c r="O743" s="2" t="s">
        <v>412</v>
      </c>
      <c r="P743" s="2" t="s">
        <v>105</v>
      </c>
      <c r="Q743" s="3" t="e">
        <f>VLOOKUP($A743,Hebrew!$A:$S,13,0)</f>
        <v>#N/A</v>
      </c>
      <c r="R743" s="2" t="s">
        <v>396</v>
      </c>
      <c r="S743" s="2" t="s">
        <v>405</v>
      </c>
      <c r="T743" s="2" t="s">
        <v>4687</v>
      </c>
      <c r="U743" s="2" t="s">
        <v>43</v>
      </c>
      <c r="V743" s="2" t="s">
        <v>4661</v>
      </c>
      <c r="W743" s="2"/>
      <c r="X743" s="2"/>
      <c r="Y743" s="2"/>
    </row>
    <row r="744" spans="1:25" hidden="1" x14ac:dyDescent="0.2">
      <c r="A744" s="2">
        <v>2145</v>
      </c>
      <c r="B744" s="8" t="s">
        <v>4688</v>
      </c>
      <c r="C744" s="2" t="s">
        <v>4689</v>
      </c>
      <c r="D744" s="3" t="e">
        <f>VLOOKUP(A744,Hebrew!A:C,3,0)</f>
        <v>#N/A</v>
      </c>
      <c r="E744" s="2" t="s">
        <v>4690</v>
      </c>
      <c r="F744" s="3" t="e">
        <f>VLOOKUP($A744,Hebrew!$A:$S,4,0)</f>
        <v>#N/A</v>
      </c>
      <c r="G744" s="2" t="s">
        <v>216</v>
      </c>
      <c r="H744" s="2" t="s">
        <v>1352</v>
      </c>
      <c r="I744" s="2" t="s">
        <v>216</v>
      </c>
      <c r="J744" s="2" t="s">
        <v>393</v>
      </c>
      <c r="K744" s="2" t="s">
        <v>4345</v>
      </c>
      <c r="L744" s="3" t="e">
        <f>VLOOKUP($A744,Hebrew!$A:$S,9,0)</f>
        <v>#N/A</v>
      </c>
      <c r="M744" s="2"/>
      <c r="N744" s="2"/>
      <c r="O744" s="2" t="s">
        <v>26</v>
      </c>
      <c r="P744" s="2" t="s">
        <v>395</v>
      </c>
      <c r="Q744" s="3" t="e">
        <f>VLOOKUP($A744,Hebrew!$A:$S,13,0)</f>
        <v>#N/A</v>
      </c>
      <c r="R744" s="2" t="s">
        <v>396</v>
      </c>
      <c r="S744" s="2" t="s">
        <v>455</v>
      </c>
      <c r="T744" s="2" t="s">
        <v>129</v>
      </c>
      <c r="U744" s="2" t="s">
        <v>4691</v>
      </c>
      <c r="V744" s="2" t="s">
        <v>1090</v>
      </c>
      <c r="W744" s="2"/>
      <c r="X744" s="2"/>
      <c r="Y744" s="2"/>
    </row>
    <row r="745" spans="1:25" hidden="1" x14ac:dyDescent="0.2">
      <c r="A745" s="2">
        <v>1434</v>
      </c>
      <c r="B745" s="8" t="s">
        <v>4692</v>
      </c>
      <c r="C745" s="2" t="s">
        <v>4693</v>
      </c>
      <c r="D745" s="3" t="e">
        <f>VLOOKUP(A745,Hebrew!A:C,3,0)</f>
        <v>#N/A</v>
      </c>
      <c r="E745" s="2" t="s">
        <v>4694</v>
      </c>
      <c r="F745" s="3" t="e">
        <f>VLOOKUP($A745,Hebrew!$A:$S,4,0)</f>
        <v>#N/A</v>
      </c>
      <c r="G745" s="2" t="s">
        <v>946</v>
      </c>
      <c r="H745" s="2" t="s">
        <v>552</v>
      </c>
      <c r="I745" s="2" t="s">
        <v>552</v>
      </c>
      <c r="J745" s="2" t="s">
        <v>393</v>
      </c>
      <c r="K745" s="2" t="s">
        <v>4695</v>
      </c>
      <c r="L745" s="3" t="e">
        <f>VLOOKUP($A745,Hebrew!$A:$S,9,0)</f>
        <v>#N/A</v>
      </c>
      <c r="M745" s="2" t="s">
        <v>393</v>
      </c>
      <c r="N745" s="2"/>
      <c r="O745" s="2" t="s">
        <v>39</v>
      </c>
      <c r="P745" s="2" t="s">
        <v>60</v>
      </c>
      <c r="Q745" s="3" t="e">
        <f>VLOOKUP($A745,Hebrew!$A:$S,13,0)</f>
        <v>#N/A</v>
      </c>
      <c r="R745" s="2" t="s">
        <v>396</v>
      </c>
      <c r="S745" s="2" t="s">
        <v>2005</v>
      </c>
      <c r="T745" s="2" t="s">
        <v>4696</v>
      </c>
      <c r="U745" s="2" t="s">
        <v>43</v>
      </c>
      <c r="V745" s="2" t="s">
        <v>60</v>
      </c>
      <c r="W745" s="2" t="s">
        <v>4697</v>
      </c>
      <c r="X745" s="2"/>
      <c r="Y745" s="2"/>
    </row>
    <row r="746" spans="1:25" hidden="1" x14ac:dyDescent="0.2">
      <c r="A746" s="2">
        <v>1435</v>
      </c>
      <c r="B746" s="6" t="s">
        <v>4698</v>
      </c>
      <c r="C746" s="2" t="s">
        <v>4699</v>
      </c>
      <c r="D746" s="3" t="e">
        <f>VLOOKUP(A746,Hebrew!A:C,3,0)</f>
        <v>#N/A</v>
      </c>
      <c r="E746" s="2" t="s">
        <v>4700</v>
      </c>
      <c r="F746" s="3" t="e">
        <f>VLOOKUP($A746,Hebrew!$A:$S,4,0)</f>
        <v>#N/A</v>
      </c>
      <c r="G746" s="2" t="s">
        <v>4262</v>
      </c>
      <c r="H746" s="2" t="s">
        <v>67</v>
      </c>
      <c r="I746" s="2" t="s">
        <v>67</v>
      </c>
      <c r="J746" s="2" t="s">
        <v>393</v>
      </c>
      <c r="K746" s="2" t="s">
        <v>4129</v>
      </c>
      <c r="L746" s="3" t="e">
        <f>VLOOKUP($A746,Hebrew!$A:$S,9,0)</f>
        <v>#N/A</v>
      </c>
      <c r="M746" s="2" t="s">
        <v>393</v>
      </c>
      <c r="N746" s="2"/>
      <c r="O746" s="2" t="s">
        <v>26</v>
      </c>
      <c r="P746" s="2" t="s">
        <v>60</v>
      </c>
      <c r="Q746" s="3" t="e">
        <f>VLOOKUP($A746,Hebrew!$A:$S,13,0)</f>
        <v>#N/A</v>
      </c>
      <c r="R746" s="2" t="s">
        <v>396</v>
      </c>
      <c r="S746" s="2" t="s">
        <v>397</v>
      </c>
      <c r="T746" s="2" t="s">
        <v>4701</v>
      </c>
      <c r="U746" s="2" t="s">
        <v>2925</v>
      </c>
      <c r="V746" s="2" t="s">
        <v>60</v>
      </c>
      <c r="W746" s="2"/>
      <c r="X746" s="2"/>
      <c r="Y746" s="2"/>
    </row>
    <row r="747" spans="1:25" hidden="1" x14ac:dyDescent="0.2">
      <c r="A747" s="2">
        <v>1436</v>
      </c>
      <c r="B747" s="8" t="s">
        <v>4702</v>
      </c>
      <c r="C747" s="2" t="s">
        <v>4703</v>
      </c>
      <c r="D747" s="3" t="e">
        <f>VLOOKUP(A747,Hebrew!A:C,3,0)</f>
        <v>#N/A</v>
      </c>
      <c r="E747" s="2" t="s">
        <v>4704</v>
      </c>
      <c r="F747" s="3" t="e">
        <f>VLOOKUP($A747,Hebrew!$A:$S,4,0)</f>
        <v>#N/A</v>
      </c>
      <c r="G747" s="2" t="s">
        <v>3462</v>
      </c>
      <c r="H747" s="2" t="s">
        <v>67</v>
      </c>
      <c r="I747" s="2" t="s">
        <v>67</v>
      </c>
      <c r="J747" s="2" t="s">
        <v>393</v>
      </c>
      <c r="K747" s="2" t="s">
        <v>4705</v>
      </c>
      <c r="L747" s="3" t="e">
        <f>VLOOKUP($A747,Hebrew!$A:$S,9,0)</f>
        <v>#N/A</v>
      </c>
      <c r="M747" s="2" t="s">
        <v>393</v>
      </c>
      <c r="N747" s="2"/>
      <c r="O747" s="2" t="s">
        <v>26</v>
      </c>
      <c r="P747" s="2" t="s">
        <v>4706</v>
      </c>
      <c r="Q747" s="3" t="e">
        <f>VLOOKUP($A747,Hebrew!$A:$S,13,0)</f>
        <v>#N/A</v>
      </c>
      <c r="R747" s="2" t="s">
        <v>396</v>
      </c>
      <c r="S747" s="2" t="s">
        <v>405</v>
      </c>
      <c r="T747" s="2" t="s">
        <v>4707</v>
      </c>
      <c r="U747" s="2" t="s">
        <v>4708</v>
      </c>
      <c r="V747" s="2" t="s">
        <v>60</v>
      </c>
      <c r="W747" s="2"/>
      <c r="X747" s="2"/>
      <c r="Y747" s="2"/>
    </row>
    <row r="748" spans="1:25" hidden="1" x14ac:dyDescent="0.2">
      <c r="A748" s="2">
        <v>1437</v>
      </c>
      <c r="B748" s="8" t="s">
        <v>4709</v>
      </c>
      <c r="C748" s="2" t="s">
        <v>4710</v>
      </c>
      <c r="D748" s="3" t="e">
        <f>VLOOKUP(A748,Hebrew!A:C,3,0)</f>
        <v>#N/A</v>
      </c>
      <c r="E748" s="2" t="s">
        <v>4711</v>
      </c>
      <c r="F748" s="3" t="e">
        <f>VLOOKUP($A748,Hebrew!$A:$S,4,0)</f>
        <v>#N/A</v>
      </c>
      <c r="G748" s="2" t="s">
        <v>1631</v>
      </c>
      <c r="H748" s="2"/>
      <c r="I748" s="2"/>
      <c r="J748" s="2" t="s">
        <v>393</v>
      </c>
      <c r="K748" s="2" t="s">
        <v>4712</v>
      </c>
      <c r="L748" s="3" t="e">
        <f>VLOOKUP($A748,Hebrew!$A:$S,9,0)</f>
        <v>#N/A</v>
      </c>
      <c r="M748" s="2" t="s">
        <v>36</v>
      </c>
      <c r="N748" s="6" t="s">
        <v>4713</v>
      </c>
      <c r="O748" s="2" t="s">
        <v>39</v>
      </c>
      <c r="P748" s="2" t="s">
        <v>60</v>
      </c>
      <c r="Q748" s="3" t="e">
        <f>VLOOKUP($A748,Hebrew!$A:$S,13,0)</f>
        <v>#N/A</v>
      </c>
      <c r="R748" s="2" t="s">
        <v>396</v>
      </c>
      <c r="S748" s="2" t="s">
        <v>413</v>
      </c>
      <c r="T748" s="2" t="s">
        <v>4714</v>
      </c>
      <c r="U748" s="2" t="s">
        <v>268</v>
      </c>
      <c r="V748" s="2" t="s">
        <v>4563</v>
      </c>
      <c r="W748" s="2"/>
      <c r="X748" s="2"/>
      <c r="Y748" s="2"/>
    </row>
    <row r="749" spans="1:25" hidden="1" x14ac:dyDescent="0.2">
      <c r="A749" s="2">
        <v>1438</v>
      </c>
      <c r="B749" s="8" t="s">
        <v>4715</v>
      </c>
      <c r="C749" s="2" t="s">
        <v>4716</v>
      </c>
      <c r="D749" s="3" t="e">
        <f>VLOOKUP(A749,Hebrew!A:C,3,0)</f>
        <v>#N/A</v>
      </c>
      <c r="E749" s="2" t="s">
        <v>4717</v>
      </c>
      <c r="F749" s="3" t="e">
        <f>VLOOKUP($A749,Hebrew!$A:$S,4,0)</f>
        <v>#N/A</v>
      </c>
      <c r="G749" s="2" t="s">
        <v>2119</v>
      </c>
      <c r="H749" s="2" t="s">
        <v>2119</v>
      </c>
      <c r="I749" s="2" t="s">
        <v>2119</v>
      </c>
      <c r="J749" s="2" t="s">
        <v>393</v>
      </c>
      <c r="K749" s="2" t="s">
        <v>4718</v>
      </c>
      <c r="L749" s="3" t="e">
        <f>VLOOKUP($A749,Hebrew!$A:$S,9,0)</f>
        <v>#N/A</v>
      </c>
      <c r="M749" s="2" t="s">
        <v>1213</v>
      </c>
      <c r="N749" s="2"/>
      <c r="O749" s="2" t="s">
        <v>26</v>
      </c>
      <c r="P749" s="2" t="s">
        <v>4719</v>
      </c>
      <c r="Q749" s="3" t="e">
        <f>VLOOKUP($A749,Hebrew!$A:$S,13,0)</f>
        <v>#N/A</v>
      </c>
      <c r="R749" s="2" t="s">
        <v>396</v>
      </c>
      <c r="S749" s="2" t="s">
        <v>405</v>
      </c>
      <c r="T749" s="2" t="s">
        <v>4720</v>
      </c>
      <c r="U749" s="2" t="s">
        <v>4721</v>
      </c>
      <c r="V749" s="2"/>
      <c r="W749" s="2"/>
      <c r="X749" s="2"/>
      <c r="Y749" s="2"/>
    </row>
    <row r="750" spans="1:25" hidden="1" x14ac:dyDescent="0.2">
      <c r="A750" s="2">
        <v>1439</v>
      </c>
      <c r="B750" s="8" t="s">
        <v>4722</v>
      </c>
      <c r="C750" s="2" t="s">
        <v>4723</v>
      </c>
      <c r="D750" s="3" t="e">
        <f>VLOOKUP(A750,Hebrew!A:C,3,0)</f>
        <v>#N/A</v>
      </c>
      <c r="E750" s="2" t="s">
        <v>4724</v>
      </c>
      <c r="F750" s="3" t="e">
        <f>VLOOKUP($A750,Hebrew!$A:$S,4,0)</f>
        <v>#N/A</v>
      </c>
      <c r="G750" s="2" t="s">
        <v>523</v>
      </c>
      <c r="H750" s="2" t="s">
        <v>523</v>
      </c>
      <c r="I750" s="2" t="s">
        <v>523</v>
      </c>
      <c r="J750" s="2" t="s">
        <v>393</v>
      </c>
      <c r="K750" s="2" t="s">
        <v>4725</v>
      </c>
      <c r="L750" s="3" t="e">
        <f>VLOOKUP($A750,Hebrew!$A:$S,9,0)</f>
        <v>#N/A</v>
      </c>
      <c r="M750" s="2"/>
      <c r="N750" s="2"/>
      <c r="O750" s="2" t="s">
        <v>39</v>
      </c>
      <c r="P750" s="2" t="s">
        <v>168</v>
      </c>
      <c r="Q750" s="3" t="e">
        <f>VLOOKUP($A750,Hebrew!$A:$S,13,0)</f>
        <v>#N/A</v>
      </c>
      <c r="R750" s="2" t="s">
        <v>396</v>
      </c>
      <c r="S750" s="2" t="s">
        <v>405</v>
      </c>
      <c r="T750" s="2" t="s">
        <v>4726</v>
      </c>
      <c r="U750" s="2" t="s">
        <v>4727</v>
      </c>
      <c r="V750" s="2" t="s">
        <v>773</v>
      </c>
      <c r="W750" s="2" t="s">
        <v>4728</v>
      </c>
      <c r="X750" s="2"/>
      <c r="Y750" s="2"/>
    </row>
    <row r="751" spans="1:25" hidden="1" x14ac:dyDescent="0.2">
      <c r="A751" s="2">
        <v>1440</v>
      </c>
      <c r="B751" s="8" t="s">
        <v>4729</v>
      </c>
      <c r="C751" s="2" t="s">
        <v>4730</v>
      </c>
      <c r="D751" s="3" t="e">
        <f>VLOOKUP(A751,Hebrew!A:C,3,0)</f>
        <v>#N/A</v>
      </c>
      <c r="E751" s="2" t="s">
        <v>4731</v>
      </c>
      <c r="F751" s="3" t="e">
        <f>VLOOKUP($A751,Hebrew!$A:$S,4,0)</f>
        <v>#N/A</v>
      </c>
      <c r="G751" s="2" t="s">
        <v>3718</v>
      </c>
      <c r="H751" s="2"/>
      <c r="I751" s="2"/>
      <c r="J751" s="2" t="s">
        <v>393</v>
      </c>
      <c r="K751" s="2" t="s">
        <v>4732</v>
      </c>
      <c r="L751" s="3" t="e">
        <f>VLOOKUP($A751,Hebrew!$A:$S,9,0)</f>
        <v>#N/A</v>
      </c>
      <c r="M751" s="2" t="s">
        <v>275</v>
      </c>
      <c r="N751" s="6" t="s">
        <v>4733</v>
      </c>
      <c r="O751" s="2" t="s">
        <v>26</v>
      </c>
      <c r="P751" s="2"/>
      <c r="Q751" s="3" t="e">
        <f>VLOOKUP($A751,Hebrew!$A:$S,13,0)</f>
        <v>#N/A</v>
      </c>
      <c r="R751" s="2" t="s">
        <v>396</v>
      </c>
      <c r="S751" s="2" t="s">
        <v>29</v>
      </c>
      <c r="T751" s="2" t="s">
        <v>4734</v>
      </c>
      <c r="U751" s="2" t="s">
        <v>4735</v>
      </c>
      <c r="V751" s="2" t="s">
        <v>4736</v>
      </c>
      <c r="W751" s="2"/>
      <c r="X751" s="2"/>
      <c r="Y751" s="2"/>
    </row>
    <row r="752" spans="1:25" hidden="1" x14ac:dyDescent="0.2">
      <c r="A752" s="2">
        <v>1442</v>
      </c>
      <c r="B752" s="8" t="s">
        <v>4737</v>
      </c>
      <c r="C752" s="2" t="s">
        <v>4738</v>
      </c>
      <c r="D752" s="3" t="e">
        <f>VLOOKUP(A752,Hebrew!A:C,3,0)</f>
        <v>#N/A</v>
      </c>
      <c r="E752" s="2" t="s">
        <v>4739</v>
      </c>
      <c r="F752" s="3" t="e">
        <f>VLOOKUP($A752,Hebrew!$A:$S,4,0)</f>
        <v>#N/A</v>
      </c>
      <c r="G752" s="2" t="s">
        <v>3634</v>
      </c>
      <c r="H752" s="2" t="s">
        <v>3634</v>
      </c>
      <c r="I752" s="2" t="s">
        <v>3634</v>
      </c>
      <c r="J752" s="2" t="s">
        <v>393</v>
      </c>
      <c r="K752" s="2" t="s">
        <v>4740</v>
      </c>
      <c r="L752" s="3" t="e">
        <f>VLOOKUP($A752,Hebrew!$A:$S,9,0)</f>
        <v>#N/A</v>
      </c>
      <c r="M752" s="2" t="s">
        <v>393</v>
      </c>
      <c r="N752" s="2"/>
      <c r="O752" s="2" t="s">
        <v>26</v>
      </c>
      <c r="P752" s="2" t="s">
        <v>357</v>
      </c>
      <c r="Q752" s="3" t="e">
        <f>VLOOKUP($A752,Hebrew!$A:$S,13,0)</f>
        <v>#N/A</v>
      </c>
      <c r="R752" s="2" t="s">
        <v>396</v>
      </c>
      <c r="S752" s="2" t="s">
        <v>397</v>
      </c>
      <c r="T752" s="2" t="s">
        <v>4741</v>
      </c>
      <c r="U752" s="2" t="s">
        <v>95</v>
      </c>
      <c r="V752" s="2" t="s">
        <v>357</v>
      </c>
      <c r="W752" s="2"/>
      <c r="X752" s="2"/>
      <c r="Y752" s="2"/>
    </row>
    <row r="753" spans="1:25" hidden="1" x14ac:dyDescent="0.2">
      <c r="A753" s="9">
        <v>726</v>
      </c>
      <c r="B753" s="10" t="s">
        <v>4742</v>
      </c>
      <c r="C753" s="9" t="s">
        <v>4743</v>
      </c>
      <c r="D753" s="3" t="e">
        <f>VLOOKUP(A753,Hebrew!A:C,3,0)</f>
        <v>#N/A</v>
      </c>
      <c r="E753" s="9" t="s">
        <v>4744</v>
      </c>
      <c r="F753" s="3" t="e">
        <f>VLOOKUP($A753,Hebrew!$A:$S,4,0)</f>
        <v>#N/A</v>
      </c>
      <c r="G753" s="9" t="s">
        <v>2752</v>
      </c>
      <c r="H753" s="9" t="s">
        <v>4745</v>
      </c>
      <c r="I753" s="2" t="s">
        <v>4745</v>
      </c>
      <c r="J753" s="9" t="s">
        <v>2821</v>
      </c>
      <c r="K753" s="9" t="s">
        <v>4746</v>
      </c>
      <c r="L753" s="3" t="e">
        <f>VLOOKUP($A753,Hebrew!$A:$S,9,0)</f>
        <v>#N/A</v>
      </c>
      <c r="M753" s="2"/>
      <c r="N753" s="2"/>
      <c r="O753" s="2" t="s">
        <v>26</v>
      </c>
      <c r="P753" s="2" t="s">
        <v>4747</v>
      </c>
      <c r="Q753" s="3" t="e">
        <f>VLOOKUP($A753,Hebrew!$A:$S,13,0)</f>
        <v>#N/A</v>
      </c>
      <c r="R753" s="9" t="s">
        <v>1215</v>
      </c>
      <c r="S753" s="2" t="s">
        <v>500</v>
      </c>
      <c r="T753" s="2" t="s">
        <v>4748</v>
      </c>
      <c r="U753" s="2" t="s">
        <v>4749</v>
      </c>
      <c r="V753" s="2" t="s">
        <v>709</v>
      </c>
      <c r="W753" s="2" t="s">
        <v>1460</v>
      </c>
      <c r="X753" s="2"/>
      <c r="Y753" s="2"/>
    </row>
    <row r="754" spans="1:25" hidden="1" x14ac:dyDescent="0.2">
      <c r="A754" s="2">
        <v>2133</v>
      </c>
      <c r="B754" s="8" t="s">
        <v>4750</v>
      </c>
      <c r="C754" s="2" t="s">
        <v>4751</v>
      </c>
      <c r="D754" s="3" t="e">
        <f>VLOOKUP(A754,Hebrew!A:C,3,0)</f>
        <v>#N/A</v>
      </c>
      <c r="E754" s="2" t="s">
        <v>4752</v>
      </c>
      <c r="F754" s="3" t="e">
        <f>VLOOKUP($A754,Hebrew!$A:$S,4,0)</f>
        <v>#N/A</v>
      </c>
      <c r="G754" s="2" t="s">
        <v>2460</v>
      </c>
      <c r="H754" s="2"/>
      <c r="I754" s="2"/>
      <c r="J754" s="2" t="s">
        <v>393</v>
      </c>
      <c r="K754" s="2" t="s">
        <v>4501</v>
      </c>
      <c r="L754" s="3" t="e">
        <f>VLOOKUP($A754,Hebrew!$A:$S,9,0)</f>
        <v>#N/A</v>
      </c>
      <c r="M754" s="2"/>
      <c r="N754" s="2"/>
      <c r="O754" s="2" t="s">
        <v>26</v>
      </c>
      <c r="P754" s="2" t="s">
        <v>4753</v>
      </c>
      <c r="Q754" s="3" t="e">
        <f>VLOOKUP($A754,Hebrew!$A:$S,13,0)</f>
        <v>#N/A</v>
      </c>
      <c r="R754" s="2" t="s">
        <v>396</v>
      </c>
      <c r="S754" s="2" t="s">
        <v>29</v>
      </c>
      <c r="T754" s="2" t="s">
        <v>4754</v>
      </c>
      <c r="U754" s="2" t="s">
        <v>43</v>
      </c>
      <c r="V754" s="2" t="s">
        <v>4755</v>
      </c>
      <c r="W754" s="2"/>
      <c r="X754" s="2"/>
      <c r="Y754" s="2"/>
    </row>
    <row r="755" spans="1:25" hidden="1" x14ac:dyDescent="0.2">
      <c r="A755" s="2">
        <v>2137</v>
      </c>
      <c r="B755" s="8" t="s">
        <v>4756</v>
      </c>
      <c r="C755" s="2" t="s">
        <v>4757</v>
      </c>
      <c r="D755" s="3" t="e">
        <f>VLOOKUP(A755,Hebrew!A:C,3,0)</f>
        <v>#N/A</v>
      </c>
      <c r="E755" s="2" t="s">
        <v>4758</v>
      </c>
      <c r="F755" s="3" t="e">
        <f>VLOOKUP($A755,Hebrew!$A:$S,4,0)</f>
        <v>#N/A</v>
      </c>
      <c r="G755" s="2" t="s">
        <v>199</v>
      </c>
      <c r="H755" s="2"/>
      <c r="I755" s="2"/>
      <c r="J755" s="2" t="s">
        <v>393</v>
      </c>
      <c r="K755" s="2" t="s">
        <v>4501</v>
      </c>
      <c r="L755" s="3" t="e">
        <f>VLOOKUP($A755,Hebrew!$A:$S,9,0)</f>
        <v>#N/A</v>
      </c>
      <c r="M755" s="2"/>
      <c r="N755" s="2"/>
      <c r="O755" s="2" t="s">
        <v>26</v>
      </c>
      <c r="P755" s="2" t="s">
        <v>4759</v>
      </c>
      <c r="Q755" s="3" t="e">
        <f>VLOOKUP($A755,Hebrew!$A:$S,13,0)</f>
        <v>#N/A</v>
      </c>
      <c r="R755" s="2" t="s">
        <v>396</v>
      </c>
      <c r="S755" s="2" t="s">
        <v>29</v>
      </c>
      <c r="T755" s="2" t="s">
        <v>4760</v>
      </c>
      <c r="U755" s="2" t="s">
        <v>628</v>
      </c>
      <c r="V755" s="2" t="s">
        <v>4761</v>
      </c>
      <c r="W755" s="2"/>
      <c r="X755" s="2"/>
      <c r="Y755" s="2"/>
    </row>
    <row r="756" spans="1:25" hidden="1" x14ac:dyDescent="0.2">
      <c r="A756" s="2">
        <v>1946</v>
      </c>
      <c r="B756" s="8" t="s">
        <v>4762</v>
      </c>
      <c r="C756" s="2" t="s">
        <v>4763</v>
      </c>
      <c r="D756" s="3" t="e">
        <f>VLOOKUP(A756,Hebrew!A:C,3,0)</f>
        <v>#N/A</v>
      </c>
      <c r="E756" s="2" t="s">
        <v>4764</v>
      </c>
      <c r="F756" s="3" t="e">
        <f>VLOOKUP($A756,Hebrew!$A:$S,4,0)</f>
        <v>#N/A</v>
      </c>
      <c r="G756" s="2" t="s">
        <v>2327</v>
      </c>
      <c r="H756" s="2" t="s">
        <v>4765</v>
      </c>
      <c r="I756" s="2" t="s">
        <v>4765</v>
      </c>
      <c r="J756" s="2" t="s">
        <v>110</v>
      </c>
      <c r="K756" s="2" t="s">
        <v>4766</v>
      </c>
      <c r="L756" s="3" t="e">
        <f>VLOOKUP($A756,Hebrew!$A:$S,9,0)</f>
        <v>#N/A</v>
      </c>
      <c r="M756" s="2"/>
      <c r="N756" s="2"/>
      <c r="O756" s="2" t="s">
        <v>26</v>
      </c>
      <c r="P756" s="2" t="s">
        <v>4222</v>
      </c>
      <c r="Q756" s="3" t="e">
        <f>VLOOKUP($A756,Hebrew!$A:$S,13,0)</f>
        <v>#N/A</v>
      </c>
      <c r="R756" s="2" t="s">
        <v>1215</v>
      </c>
      <c r="S756" s="2" t="s">
        <v>2314</v>
      </c>
      <c r="T756" s="2" t="s">
        <v>4767</v>
      </c>
      <c r="U756" s="2"/>
      <c r="V756" s="2" t="s">
        <v>4273</v>
      </c>
      <c r="W756" s="2"/>
      <c r="X756" s="2"/>
      <c r="Y756" s="2"/>
    </row>
    <row r="757" spans="1:25" hidden="1" x14ac:dyDescent="0.2">
      <c r="A757" s="2">
        <v>2273</v>
      </c>
      <c r="B757" s="6" t="s">
        <v>4768</v>
      </c>
      <c r="C757" s="2" t="s">
        <v>4769</v>
      </c>
      <c r="D757" s="3" t="e">
        <f>VLOOKUP(A757,Hebrew!A:C,3,0)</f>
        <v>#N/A</v>
      </c>
      <c r="E757" s="2" t="s">
        <v>4770</v>
      </c>
      <c r="F757" s="3" t="e">
        <f>VLOOKUP($A757,Hebrew!$A:$S,4,0)</f>
        <v>#N/A</v>
      </c>
      <c r="G757" s="2" t="s">
        <v>2452</v>
      </c>
      <c r="H757" s="2" t="s">
        <v>2452</v>
      </c>
      <c r="I757" s="2" t="s">
        <v>2452</v>
      </c>
      <c r="J757" s="2" t="s">
        <v>393</v>
      </c>
      <c r="K757" s="2" t="s">
        <v>4771</v>
      </c>
      <c r="L757" s="3" t="e">
        <f>VLOOKUP($A757,Hebrew!$A:$S,9,0)</f>
        <v>#N/A</v>
      </c>
      <c r="M757" s="2"/>
      <c r="N757" s="2"/>
      <c r="O757" s="2" t="s">
        <v>26</v>
      </c>
      <c r="P757" s="2" t="s">
        <v>105</v>
      </c>
      <c r="Q757" s="3" t="e">
        <f>VLOOKUP($A757,Hebrew!$A:$S,13,0)</f>
        <v>#N/A</v>
      </c>
      <c r="R757" s="2" t="s">
        <v>396</v>
      </c>
      <c r="S757" s="2" t="s">
        <v>455</v>
      </c>
      <c r="T757" s="2" t="s">
        <v>4772</v>
      </c>
      <c r="U757" s="2" t="s">
        <v>43</v>
      </c>
      <c r="V757" s="2" t="s">
        <v>4773</v>
      </c>
      <c r="W757" s="2"/>
      <c r="X757" s="2"/>
      <c r="Y757" s="2"/>
    </row>
    <row r="758" spans="1:25" hidden="1" x14ac:dyDescent="0.2">
      <c r="A758" s="2">
        <v>2274</v>
      </c>
      <c r="B758" s="8" t="s">
        <v>4774</v>
      </c>
      <c r="C758" s="2" t="s">
        <v>4775</v>
      </c>
      <c r="D758" s="3" t="e">
        <f>VLOOKUP(A758,Hebrew!A:C,3,0)</f>
        <v>#N/A</v>
      </c>
      <c r="E758" s="2" t="s">
        <v>4776</v>
      </c>
      <c r="F758" s="3" t="e">
        <f>VLOOKUP($A758,Hebrew!$A:$S,4,0)</f>
        <v>#N/A</v>
      </c>
      <c r="G758" s="2" t="s">
        <v>2452</v>
      </c>
      <c r="H758" s="2" t="s">
        <v>2452</v>
      </c>
      <c r="I758" s="2" t="s">
        <v>2452</v>
      </c>
      <c r="J758" s="2" t="s">
        <v>393</v>
      </c>
      <c r="K758" s="2" t="s">
        <v>4771</v>
      </c>
      <c r="L758" s="3" t="e">
        <f>VLOOKUP($A758,Hebrew!$A:$S,9,0)</f>
        <v>#N/A</v>
      </c>
      <c r="M758" s="2"/>
      <c r="N758" s="2"/>
      <c r="O758" s="2" t="s">
        <v>26</v>
      </c>
      <c r="P758" s="2" t="s">
        <v>105</v>
      </c>
      <c r="Q758" s="3" t="e">
        <f>VLOOKUP($A758,Hebrew!$A:$S,13,0)</f>
        <v>#N/A</v>
      </c>
      <c r="R758" s="2" t="s">
        <v>396</v>
      </c>
      <c r="S758" s="2" t="s">
        <v>405</v>
      </c>
      <c r="T758" s="2" t="s">
        <v>4777</v>
      </c>
      <c r="U758" s="2" t="s">
        <v>43</v>
      </c>
      <c r="V758" s="2" t="s">
        <v>4778</v>
      </c>
      <c r="W758" s="2"/>
      <c r="X758" s="2"/>
      <c r="Y758" s="2"/>
    </row>
    <row r="759" spans="1:25" hidden="1" x14ac:dyDescent="0.2">
      <c r="A759" s="2">
        <v>611</v>
      </c>
      <c r="B759" s="8" t="s">
        <v>4779</v>
      </c>
      <c r="C759" s="2" t="s">
        <v>4780</v>
      </c>
      <c r="D759" s="3" t="e">
        <f>VLOOKUP(A759,Hebrew!A:C,3,0)</f>
        <v>#N/A</v>
      </c>
      <c r="E759" s="2" t="s">
        <v>4781</v>
      </c>
      <c r="F759" s="3" t="e">
        <f>VLOOKUP($A759,Hebrew!$A:$S,4,0)</f>
        <v>#N/A</v>
      </c>
      <c r="G759" s="2" t="s">
        <v>523</v>
      </c>
      <c r="H759" s="2"/>
      <c r="I759" s="2"/>
      <c r="J759" s="2" t="s">
        <v>393</v>
      </c>
      <c r="K759" s="2" t="s">
        <v>453</v>
      </c>
      <c r="L759" s="3" t="e">
        <f>VLOOKUP($A759,Hebrew!$A:$S,9,0)</f>
        <v>#N/A</v>
      </c>
      <c r="M759" s="2"/>
      <c r="N759" s="2"/>
      <c r="O759" s="2" t="s">
        <v>1553</v>
      </c>
      <c r="P759" s="2" t="s">
        <v>395</v>
      </c>
      <c r="Q759" s="3" t="e">
        <f>VLOOKUP($A759,Hebrew!$A:$S,13,0)</f>
        <v>#N/A</v>
      </c>
      <c r="R759" s="2" t="s">
        <v>396</v>
      </c>
      <c r="S759" s="2" t="s">
        <v>982</v>
      </c>
      <c r="T759" s="2" t="s">
        <v>4782</v>
      </c>
      <c r="U759" s="2" t="s">
        <v>43</v>
      </c>
      <c r="V759" s="2" t="s">
        <v>4783</v>
      </c>
      <c r="W759" s="2"/>
      <c r="X759" s="2"/>
      <c r="Y759" s="2"/>
    </row>
    <row r="760" spans="1:25" hidden="1" x14ac:dyDescent="0.2">
      <c r="A760" s="2">
        <v>1432</v>
      </c>
      <c r="B760" s="8" t="s">
        <v>4784</v>
      </c>
      <c r="C760" s="2" t="s">
        <v>4785</v>
      </c>
      <c r="D760" s="3" t="e">
        <f>VLOOKUP(A760,Hebrew!A:C,3,0)</f>
        <v>#N/A</v>
      </c>
      <c r="E760" s="2" t="s">
        <v>4786</v>
      </c>
      <c r="F760" s="3" t="e">
        <f>VLOOKUP($A760,Hebrew!$A:$S,4,0)</f>
        <v>#N/A</v>
      </c>
      <c r="G760" s="2" t="s">
        <v>3567</v>
      </c>
      <c r="H760" s="2"/>
      <c r="I760" s="2"/>
      <c r="J760" s="2" t="s">
        <v>393</v>
      </c>
      <c r="K760" s="2" t="s">
        <v>4787</v>
      </c>
      <c r="L760" s="3" t="e">
        <f>VLOOKUP($A760,Hebrew!$A:$S,9,0)</f>
        <v>#N/A</v>
      </c>
      <c r="M760" s="2" t="s">
        <v>1316</v>
      </c>
      <c r="N760" s="8" t="s">
        <v>4788</v>
      </c>
      <c r="O760" s="2" t="s">
        <v>26</v>
      </c>
      <c r="P760" s="2" t="s">
        <v>27</v>
      </c>
      <c r="Q760" s="3" t="e">
        <f>VLOOKUP($A760,Hebrew!$A:$S,13,0)</f>
        <v>#N/A</v>
      </c>
      <c r="R760" s="2" t="s">
        <v>396</v>
      </c>
      <c r="S760" s="2" t="s">
        <v>405</v>
      </c>
      <c r="T760" s="2" t="s">
        <v>3320</v>
      </c>
      <c r="U760" s="2" t="s">
        <v>4789</v>
      </c>
      <c r="V760" s="2" t="s">
        <v>27</v>
      </c>
      <c r="W760" s="2"/>
      <c r="X760" s="2"/>
      <c r="Y760" s="2"/>
    </row>
    <row r="761" spans="1:25" hidden="1" x14ac:dyDescent="0.2">
      <c r="A761" s="2">
        <v>1433</v>
      </c>
      <c r="B761" s="8" t="s">
        <v>4790</v>
      </c>
      <c r="C761" s="2" t="s">
        <v>4791</v>
      </c>
      <c r="D761" s="3" t="e">
        <f>VLOOKUP(A761,Hebrew!A:C,3,0)</f>
        <v>#N/A</v>
      </c>
      <c r="E761" s="2" t="s">
        <v>4792</v>
      </c>
      <c r="F761" s="3" t="e">
        <f>VLOOKUP($A761,Hebrew!$A:$S,4,0)</f>
        <v>#N/A</v>
      </c>
      <c r="G761" s="2" t="s">
        <v>2239</v>
      </c>
      <c r="H761" s="2" t="s">
        <v>2882</v>
      </c>
      <c r="I761" s="2" t="s">
        <v>2882</v>
      </c>
      <c r="J761" s="2" t="s">
        <v>393</v>
      </c>
      <c r="K761" s="2" t="s">
        <v>4793</v>
      </c>
      <c r="L761" s="3" t="e">
        <f>VLOOKUP($A761,Hebrew!$A:$S,9,0)</f>
        <v>#N/A</v>
      </c>
      <c r="M761" s="2" t="s">
        <v>4794</v>
      </c>
      <c r="N761" s="2"/>
      <c r="O761" s="2" t="s">
        <v>26</v>
      </c>
      <c r="P761" s="2" t="s">
        <v>27</v>
      </c>
      <c r="Q761" s="3" t="e">
        <f>VLOOKUP($A761,Hebrew!$A:$S,13,0)</f>
        <v>#N/A</v>
      </c>
      <c r="R761" s="2" t="s">
        <v>1694</v>
      </c>
      <c r="S761" s="2" t="s">
        <v>29</v>
      </c>
      <c r="T761" s="2" t="s">
        <v>4795</v>
      </c>
      <c r="U761" s="2" t="s">
        <v>4796</v>
      </c>
      <c r="V761" s="2" t="s">
        <v>27</v>
      </c>
      <c r="W761" s="2"/>
      <c r="X761" s="2"/>
      <c r="Y761" s="2"/>
    </row>
    <row r="762" spans="1:25" hidden="1" x14ac:dyDescent="0.2">
      <c r="A762" s="9">
        <v>1340</v>
      </c>
      <c r="B762" s="10" t="s">
        <v>4797</v>
      </c>
      <c r="C762" s="9" t="s">
        <v>4798</v>
      </c>
      <c r="D762" s="3" t="e">
        <f>VLOOKUP(A762,Hebrew!A:C,3,0)</f>
        <v>#N/A</v>
      </c>
      <c r="E762" s="9" t="s">
        <v>4799</v>
      </c>
      <c r="F762" s="3" t="e">
        <f>VLOOKUP($A762,Hebrew!$A:$S,4,0)</f>
        <v>#N/A</v>
      </c>
      <c r="G762" s="9" t="s">
        <v>523</v>
      </c>
      <c r="H762" s="9" t="s">
        <v>2608</v>
      </c>
      <c r="I762" s="9" t="s">
        <v>523</v>
      </c>
      <c r="J762" s="9" t="s">
        <v>2831</v>
      </c>
      <c r="K762" s="9" t="s">
        <v>4800</v>
      </c>
      <c r="L762" s="3" t="e">
        <f>VLOOKUP($A762,Hebrew!$A:$S,9,0)</f>
        <v>#N/A</v>
      </c>
      <c r="M762" s="2"/>
      <c r="N762" s="2"/>
      <c r="O762" s="2" t="s">
        <v>26</v>
      </c>
      <c r="P762" s="2" t="s">
        <v>357</v>
      </c>
      <c r="Q762" s="3" t="e">
        <f>VLOOKUP($A762,Hebrew!$A:$S,13,0)</f>
        <v>#N/A</v>
      </c>
      <c r="R762" s="9" t="s">
        <v>1215</v>
      </c>
      <c r="S762" s="2" t="s">
        <v>2005</v>
      </c>
      <c r="T762" s="2" t="s">
        <v>4801</v>
      </c>
      <c r="U762" s="2" t="s">
        <v>4802</v>
      </c>
      <c r="V762" s="2" t="s">
        <v>4803</v>
      </c>
      <c r="W762" s="2" t="s">
        <v>4231</v>
      </c>
      <c r="X762" s="2"/>
      <c r="Y762" s="2"/>
    </row>
    <row r="763" spans="1:25" hidden="1" x14ac:dyDescent="0.2">
      <c r="A763" s="2">
        <v>226</v>
      </c>
      <c r="B763" s="10" t="s">
        <v>4804</v>
      </c>
      <c r="C763" s="2" t="s">
        <v>4805</v>
      </c>
      <c r="D763" s="3" t="e">
        <f>VLOOKUP(A763,Hebrew!A:C,3,0)</f>
        <v>#N/A</v>
      </c>
      <c r="E763" s="2" t="s">
        <v>4806</v>
      </c>
      <c r="F763" s="3" t="e">
        <f>VLOOKUP($A763,Hebrew!$A:$S,4,0)</f>
        <v>#N/A</v>
      </c>
      <c r="G763" s="2" t="s">
        <v>3088</v>
      </c>
      <c r="H763" s="2" t="s">
        <v>658</v>
      </c>
      <c r="I763" s="2" t="s">
        <v>751</v>
      </c>
      <c r="J763" s="2" t="s">
        <v>1353</v>
      </c>
      <c r="K763" s="12" t="s">
        <v>4807</v>
      </c>
      <c r="L763" s="3" t="e">
        <f>VLOOKUP($A763,Hebrew!$A:$S,9,0)</f>
        <v>#N/A</v>
      </c>
      <c r="M763" s="2"/>
      <c r="N763" s="2"/>
      <c r="O763" s="2" t="s">
        <v>26</v>
      </c>
      <c r="P763" s="2" t="s">
        <v>3201</v>
      </c>
      <c r="Q763" s="3" t="e">
        <f>VLOOKUP($A763,Hebrew!$A:$S,13,0)</f>
        <v>#N/A</v>
      </c>
      <c r="R763" s="2" t="s">
        <v>1215</v>
      </c>
      <c r="S763" s="2" t="s">
        <v>2005</v>
      </c>
      <c r="T763" s="2" t="s">
        <v>4808</v>
      </c>
      <c r="U763" s="2" t="s">
        <v>2925</v>
      </c>
      <c r="V763" s="2" t="s">
        <v>4809</v>
      </c>
      <c r="W763" s="2"/>
      <c r="X763" s="2"/>
      <c r="Y763" s="2"/>
    </row>
    <row r="764" spans="1:25" hidden="1" x14ac:dyDescent="0.2">
      <c r="A764" s="13">
        <v>1088</v>
      </c>
      <c r="B764" s="14" t="s">
        <v>4810</v>
      </c>
      <c r="C764" s="13" t="s">
        <v>4811</v>
      </c>
      <c r="D764" s="3" t="e">
        <f>VLOOKUP(A764,Hebrew!A:C,3,0)</f>
        <v>#N/A</v>
      </c>
      <c r="E764" s="13" t="s">
        <v>4812</v>
      </c>
      <c r="F764" s="3" t="e">
        <f>VLOOKUP($A764,Hebrew!$A:$S,4,0)</f>
        <v>#N/A</v>
      </c>
      <c r="G764" s="13" t="s">
        <v>1267</v>
      </c>
      <c r="H764" s="2"/>
      <c r="I764" s="2"/>
      <c r="J764" s="13" t="s">
        <v>393</v>
      </c>
      <c r="K764" s="13" t="s">
        <v>453</v>
      </c>
      <c r="L764" s="3" t="e">
        <f>VLOOKUP($A764,Hebrew!$A:$S,9,0)</f>
        <v>#N/A</v>
      </c>
      <c r="M764" s="13" t="s">
        <v>1820</v>
      </c>
      <c r="N764" s="2"/>
      <c r="O764" s="13" t="s">
        <v>426</v>
      </c>
      <c r="P764" s="13" t="s">
        <v>4813</v>
      </c>
      <c r="Q764" s="3" t="e">
        <f>VLOOKUP($A764,Hebrew!$A:$S,13,0)</f>
        <v>#N/A</v>
      </c>
      <c r="R764" s="13" t="s">
        <v>396</v>
      </c>
      <c r="S764" s="13" t="s">
        <v>405</v>
      </c>
      <c r="T764" s="13" t="s">
        <v>4814</v>
      </c>
      <c r="U764" s="13" t="s">
        <v>43</v>
      </c>
      <c r="V764" s="13" t="s">
        <v>4813</v>
      </c>
      <c r="W764" s="2"/>
      <c r="X764" s="2"/>
      <c r="Y764" s="2"/>
    </row>
    <row r="765" spans="1:25" hidden="1" x14ac:dyDescent="0.2">
      <c r="A765" s="13">
        <v>1089</v>
      </c>
      <c r="B765" s="14" t="s">
        <v>4815</v>
      </c>
      <c r="C765" s="13" t="s">
        <v>4816</v>
      </c>
      <c r="D765" s="3" t="e">
        <f>VLOOKUP(A765,Hebrew!A:C,3,0)</f>
        <v>#N/A</v>
      </c>
      <c r="E765" s="13" t="s">
        <v>4817</v>
      </c>
      <c r="F765" s="3" t="e">
        <f>VLOOKUP($A765,Hebrew!$A:$S,4,0)</f>
        <v>#N/A</v>
      </c>
      <c r="G765" s="13" t="s">
        <v>1267</v>
      </c>
      <c r="H765" s="2"/>
      <c r="I765" s="2"/>
      <c r="J765" s="13" t="s">
        <v>393</v>
      </c>
      <c r="K765" s="13" t="s">
        <v>453</v>
      </c>
      <c r="L765" s="3" t="e">
        <f>VLOOKUP($A765,Hebrew!$A:$S,9,0)</f>
        <v>#N/A</v>
      </c>
      <c r="M765" s="2"/>
      <c r="N765" s="2"/>
      <c r="O765" s="13" t="s">
        <v>426</v>
      </c>
      <c r="P765" s="13" t="s">
        <v>245</v>
      </c>
      <c r="Q765" s="3" t="e">
        <f>VLOOKUP($A765,Hebrew!$A:$S,13,0)</f>
        <v>#N/A</v>
      </c>
      <c r="R765" s="13" t="s">
        <v>396</v>
      </c>
      <c r="S765" s="13" t="s">
        <v>405</v>
      </c>
      <c r="T765" s="13" t="s">
        <v>4818</v>
      </c>
      <c r="U765" s="13" t="s">
        <v>43</v>
      </c>
      <c r="V765" s="13" t="s">
        <v>245</v>
      </c>
      <c r="W765" s="2"/>
      <c r="X765" s="2"/>
      <c r="Y765" s="2"/>
    </row>
    <row r="766" spans="1:25" hidden="1" x14ac:dyDescent="0.2">
      <c r="A766" s="13">
        <v>1091</v>
      </c>
      <c r="B766" s="14" t="s">
        <v>4819</v>
      </c>
      <c r="C766" s="13" t="s">
        <v>4820</v>
      </c>
      <c r="D766" s="3" t="e">
        <f>VLOOKUP(A766,Hebrew!A:C,3,0)</f>
        <v>#N/A</v>
      </c>
      <c r="E766" s="13" t="s">
        <v>4821</v>
      </c>
      <c r="F766" s="3" t="e">
        <f>VLOOKUP($A766,Hebrew!$A:$S,4,0)</f>
        <v>#N/A</v>
      </c>
      <c r="G766" s="13" t="s">
        <v>751</v>
      </c>
      <c r="H766" s="2"/>
      <c r="I766" s="2"/>
      <c r="J766" s="13" t="s">
        <v>393</v>
      </c>
      <c r="K766" s="13" t="s">
        <v>453</v>
      </c>
      <c r="L766" s="3" t="e">
        <f>VLOOKUP($A766,Hebrew!$A:$S,9,0)</f>
        <v>#N/A</v>
      </c>
      <c r="M766" s="2"/>
      <c r="N766" s="2"/>
      <c r="O766" s="13" t="s">
        <v>26</v>
      </c>
      <c r="P766" s="13" t="s">
        <v>4813</v>
      </c>
      <c r="Q766" s="3" t="e">
        <f>VLOOKUP($A766,Hebrew!$A:$S,13,0)</f>
        <v>#N/A</v>
      </c>
      <c r="R766" s="13" t="s">
        <v>396</v>
      </c>
      <c r="S766" s="13" t="s">
        <v>455</v>
      </c>
      <c r="T766" s="13" t="s">
        <v>4822</v>
      </c>
      <c r="U766" s="13" t="s">
        <v>43</v>
      </c>
      <c r="V766" s="13" t="s">
        <v>4813</v>
      </c>
      <c r="W766" s="2"/>
      <c r="X766" s="2"/>
      <c r="Y766" s="2"/>
    </row>
    <row r="767" spans="1:25" hidden="1" x14ac:dyDescent="0.2">
      <c r="A767" s="13">
        <v>1092</v>
      </c>
      <c r="B767" s="14" t="s">
        <v>4823</v>
      </c>
      <c r="C767" s="13" t="s">
        <v>4824</v>
      </c>
      <c r="D767" s="3" t="e">
        <f>VLOOKUP(A767,Hebrew!A:C,3,0)</f>
        <v>#N/A</v>
      </c>
      <c r="E767" s="13" t="s">
        <v>4825</v>
      </c>
      <c r="F767" s="3" t="e">
        <f>VLOOKUP($A767,Hebrew!$A:$S,4,0)</f>
        <v>#N/A</v>
      </c>
      <c r="G767" s="13" t="s">
        <v>4826</v>
      </c>
      <c r="H767" s="2"/>
      <c r="I767" s="2"/>
      <c r="J767" s="13" t="s">
        <v>393</v>
      </c>
      <c r="K767" s="13" t="s">
        <v>453</v>
      </c>
      <c r="L767" s="3" t="e">
        <f>VLOOKUP($A767,Hebrew!$A:$S,9,0)</f>
        <v>#N/A</v>
      </c>
      <c r="M767" s="2"/>
      <c r="N767" s="2"/>
      <c r="O767" s="13" t="s">
        <v>26</v>
      </c>
      <c r="P767" s="13" t="s">
        <v>4827</v>
      </c>
      <c r="Q767" s="3" t="e">
        <f>VLOOKUP($A767,Hebrew!$A:$S,13,0)</f>
        <v>#N/A</v>
      </c>
      <c r="R767" s="13" t="s">
        <v>396</v>
      </c>
      <c r="S767" s="13" t="s">
        <v>455</v>
      </c>
      <c r="T767" s="13" t="s">
        <v>4828</v>
      </c>
      <c r="U767" s="13" t="s">
        <v>43</v>
      </c>
      <c r="V767" s="13" t="s">
        <v>4829</v>
      </c>
      <c r="W767" s="2"/>
      <c r="X767" s="2"/>
      <c r="Y767" s="2"/>
    </row>
    <row r="768" spans="1:25" hidden="1" x14ac:dyDescent="0.2">
      <c r="A768" s="13">
        <v>1093</v>
      </c>
      <c r="B768" s="14" t="s">
        <v>4830</v>
      </c>
      <c r="C768" s="13" t="s">
        <v>4831</v>
      </c>
      <c r="D768" s="3" t="e">
        <f>VLOOKUP(A768,Hebrew!A:C,3,0)</f>
        <v>#N/A</v>
      </c>
      <c r="E768" s="13" t="s">
        <v>4832</v>
      </c>
      <c r="F768" s="3" t="e">
        <f>VLOOKUP($A768,Hebrew!$A:$S,4,0)</f>
        <v>#N/A</v>
      </c>
      <c r="G768" s="13" t="s">
        <v>1252</v>
      </c>
      <c r="H768" s="2"/>
      <c r="I768" s="2"/>
      <c r="J768" s="13" t="s">
        <v>393</v>
      </c>
      <c r="K768" s="13" t="s">
        <v>453</v>
      </c>
      <c r="L768" s="3" t="e">
        <f>VLOOKUP($A768,Hebrew!$A:$S,9,0)</f>
        <v>#N/A</v>
      </c>
      <c r="M768" s="2"/>
      <c r="N768" s="2"/>
      <c r="O768" s="13" t="s">
        <v>26</v>
      </c>
      <c r="P768" s="13" t="s">
        <v>4813</v>
      </c>
      <c r="Q768" s="3" t="e">
        <f>VLOOKUP($A768,Hebrew!$A:$S,13,0)</f>
        <v>#N/A</v>
      </c>
      <c r="R768" s="13" t="s">
        <v>396</v>
      </c>
      <c r="S768" s="13" t="s">
        <v>405</v>
      </c>
      <c r="T768" s="13" t="s">
        <v>4833</v>
      </c>
      <c r="U768" s="13" t="s">
        <v>43</v>
      </c>
      <c r="V768" s="13" t="s">
        <v>4813</v>
      </c>
      <c r="W768" s="2"/>
      <c r="X768" s="2"/>
      <c r="Y768" s="2"/>
    </row>
    <row r="769" spans="1:25" hidden="1" x14ac:dyDescent="0.2">
      <c r="A769" s="13">
        <v>1094</v>
      </c>
      <c r="B769" s="14" t="s">
        <v>4834</v>
      </c>
      <c r="C769" s="13" t="s">
        <v>4835</v>
      </c>
      <c r="D769" s="3" t="e">
        <f>VLOOKUP(A769,Hebrew!A:C,3,0)</f>
        <v>#N/A</v>
      </c>
      <c r="E769" s="13" t="s">
        <v>4836</v>
      </c>
      <c r="F769" s="3" t="e">
        <f>VLOOKUP($A769,Hebrew!$A:$S,4,0)</f>
        <v>#N/A</v>
      </c>
      <c r="G769" s="13" t="s">
        <v>4837</v>
      </c>
      <c r="H769" s="2"/>
      <c r="I769" s="2"/>
      <c r="J769" s="13" t="s">
        <v>393</v>
      </c>
      <c r="K769" s="13" t="s">
        <v>453</v>
      </c>
      <c r="L769" s="3" t="e">
        <f>VLOOKUP($A769,Hebrew!$A:$S,9,0)</f>
        <v>#N/A</v>
      </c>
      <c r="M769" s="2"/>
      <c r="N769" s="2"/>
      <c r="O769" s="13" t="s">
        <v>26</v>
      </c>
      <c r="P769" s="13" t="s">
        <v>245</v>
      </c>
      <c r="Q769" s="3" t="e">
        <f>VLOOKUP($A769,Hebrew!$A:$S,13,0)</f>
        <v>#N/A</v>
      </c>
      <c r="R769" s="13" t="s">
        <v>396</v>
      </c>
      <c r="S769" s="13" t="s">
        <v>1560</v>
      </c>
      <c r="T769" s="13" t="s">
        <v>4838</v>
      </c>
      <c r="U769" s="13" t="s">
        <v>43</v>
      </c>
      <c r="V769" s="13" t="s">
        <v>245</v>
      </c>
      <c r="W769" s="2"/>
      <c r="X769" s="2"/>
      <c r="Y769" s="2"/>
    </row>
    <row r="770" spans="1:25" hidden="1" x14ac:dyDescent="0.2">
      <c r="A770" s="13">
        <v>1095</v>
      </c>
      <c r="B770" s="14" t="s">
        <v>4839</v>
      </c>
      <c r="C770" s="13" t="s">
        <v>4840</v>
      </c>
      <c r="D770" s="3" t="e">
        <f>VLOOKUP(A770,Hebrew!A:C,3,0)</f>
        <v>#N/A</v>
      </c>
      <c r="E770" s="13" t="s">
        <v>4841</v>
      </c>
      <c r="F770" s="3" t="e">
        <f>VLOOKUP($A770,Hebrew!$A:$S,4,0)</f>
        <v>#N/A</v>
      </c>
      <c r="G770" s="13" t="s">
        <v>4842</v>
      </c>
      <c r="H770" s="2"/>
      <c r="I770" s="2"/>
      <c r="J770" s="13" t="s">
        <v>393</v>
      </c>
      <c r="K770" s="13" t="s">
        <v>453</v>
      </c>
      <c r="L770" s="3" t="e">
        <f>VLOOKUP($A770,Hebrew!$A:$S,9,0)</f>
        <v>#N/A</v>
      </c>
      <c r="M770" s="2"/>
      <c r="N770" s="2"/>
      <c r="O770" s="13" t="s">
        <v>26</v>
      </c>
      <c r="P770" s="13" t="s">
        <v>245</v>
      </c>
      <c r="Q770" s="3" t="e">
        <f>VLOOKUP($A770,Hebrew!$A:$S,13,0)</f>
        <v>#N/A</v>
      </c>
      <c r="R770" s="13" t="s">
        <v>396</v>
      </c>
      <c r="S770" s="13" t="s">
        <v>1535</v>
      </c>
      <c r="T770" s="13" t="s">
        <v>4843</v>
      </c>
      <c r="U770" s="13" t="s">
        <v>43</v>
      </c>
      <c r="V770" s="13" t="s">
        <v>245</v>
      </c>
      <c r="W770" s="2"/>
      <c r="X770" s="2"/>
      <c r="Y770" s="2"/>
    </row>
    <row r="771" spans="1:25" hidden="1" x14ac:dyDescent="0.2">
      <c r="A771" s="13">
        <v>398</v>
      </c>
      <c r="B771" s="14" t="s">
        <v>4844</v>
      </c>
      <c r="C771" s="13" t="s">
        <v>4845</v>
      </c>
      <c r="D771" s="3" t="e">
        <f>VLOOKUP(A771,Hebrew!A:C,3,0)</f>
        <v>#N/A</v>
      </c>
      <c r="E771" s="13" t="s">
        <v>4846</v>
      </c>
      <c r="F771" s="3" t="e">
        <f>VLOOKUP($A771,Hebrew!$A:$S,4,0)</f>
        <v>#N/A</v>
      </c>
      <c r="G771" s="13" t="s">
        <v>1717</v>
      </c>
      <c r="H771" s="13" t="s">
        <v>1717</v>
      </c>
      <c r="I771" s="2"/>
      <c r="J771" s="13" t="s">
        <v>258</v>
      </c>
      <c r="K771" s="13" t="s">
        <v>4847</v>
      </c>
      <c r="L771" s="3" t="e">
        <f>VLOOKUP($A771,Hebrew!$A:$S,9,0)</f>
        <v>#N/A</v>
      </c>
      <c r="M771" s="2"/>
      <c r="N771" s="2"/>
      <c r="O771" s="13" t="s">
        <v>39</v>
      </c>
      <c r="P771" s="13" t="s">
        <v>60</v>
      </c>
      <c r="Q771" s="3" t="e">
        <f>VLOOKUP($A771,Hebrew!$A:$S,13,0)</f>
        <v>#N/A</v>
      </c>
      <c r="R771" s="13" t="s">
        <v>1215</v>
      </c>
      <c r="S771" s="15" t="s">
        <v>4848</v>
      </c>
      <c r="T771" s="13" t="s">
        <v>4849</v>
      </c>
      <c r="U771" s="13" t="s">
        <v>4850</v>
      </c>
      <c r="V771" s="13" t="s">
        <v>168</v>
      </c>
      <c r="W771" s="13" t="s">
        <v>4728</v>
      </c>
      <c r="X771" s="2"/>
      <c r="Y771" s="2"/>
    </row>
    <row r="772" spans="1:25" hidden="1" x14ac:dyDescent="0.2">
      <c r="A772" s="13">
        <v>2032</v>
      </c>
      <c r="B772" s="14" t="s">
        <v>4851</v>
      </c>
      <c r="C772" s="13" t="s">
        <v>4852</v>
      </c>
      <c r="D772" s="3" t="e">
        <f>VLOOKUP(A772,Hebrew!A:C,3,0)</f>
        <v>#N/A</v>
      </c>
      <c r="E772" s="13" t="s">
        <v>4853</v>
      </c>
      <c r="F772" s="3" t="e">
        <f>VLOOKUP($A772,Hebrew!$A:$S,4,0)</f>
        <v>#N/A</v>
      </c>
      <c r="G772" s="13" t="s">
        <v>4854</v>
      </c>
      <c r="H772" s="2"/>
      <c r="I772" s="2"/>
      <c r="J772" s="13" t="s">
        <v>36</v>
      </c>
      <c r="K772" s="13" t="s">
        <v>4855</v>
      </c>
      <c r="L772" s="3" t="e">
        <f>VLOOKUP($A772,Hebrew!$A:$S,9,0)</f>
        <v>#N/A</v>
      </c>
      <c r="M772" s="2"/>
      <c r="N772" s="2"/>
      <c r="O772" s="13" t="s">
        <v>39</v>
      </c>
      <c r="P772" s="13" t="s">
        <v>212</v>
      </c>
      <c r="Q772" s="3" t="e">
        <f>VLOOKUP($A772,Hebrew!$A:$S,13,0)</f>
        <v>#N/A</v>
      </c>
      <c r="R772" s="13" t="s">
        <v>1215</v>
      </c>
      <c r="S772" s="13" t="s">
        <v>2005</v>
      </c>
      <c r="T772" s="13" t="s">
        <v>4856</v>
      </c>
      <c r="U772" s="13" t="s">
        <v>3651</v>
      </c>
      <c r="V772" s="13" t="s">
        <v>709</v>
      </c>
      <c r="W772" s="13" t="s">
        <v>315</v>
      </c>
      <c r="X772" s="2"/>
      <c r="Y772" s="2"/>
    </row>
    <row r="773" spans="1:25" hidden="1" x14ac:dyDescent="0.2">
      <c r="A773" s="13">
        <v>2004</v>
      </c>
      <c r="B773" s="14" t="s">
        <v>4857</v>
      </c>
      <c r="C773" s="13" t="s">
        <v>4858</v>
      </c>
      <c r="D773" s="3" t="e">
        <f>VLOOKUP(A773,Hebrew!A:C,3,0)</f>
        <v>#N/A</v>
      </c>
      <c r="E773" s="13" t="s">
        <v>4859</v>
      </c>
      <c r="F773" s="3" t="e">
        <f>VLOOKUP($A773,Hebrew!$A:$S,4,0)</f>
        <v>#N/A</v>
      </c>
      <c r="G773" s="13" t="s">
        <v>3937</v>
      </c>
      <c r="H773" s="2"/>
      <c r="I773" s="2"/>
      <c r="J773" s="13" t="s">
        <v>1801</v>
      </c>
      <c r="K773" s="13" t="s">
        <v>4860</v>
      </c>
      <c r="L773" s="3" t="e">
        <f>VLOOKUP($A773,Hebrew!$A:$S,9,0)</f>
        <v>#N/A</v>
      </c>
      <c r="M773" s="2"/>
      <c r="N773" s="2"/>
      <c r="O773" s="13" t="s">
        <v>26</v>
      </c>
      <c r="P773" s="13" t="s">
        <v>212</v>
      </c>
      <c r="Q773" s="3" t="e">
        <f>VLOOKUP($A773,Hebrew!$A:$S,13,0)</f>
        <v>#N/A</v>
      </c>
      <c r="R773" s="13" t="s">
        <v>61</v>
      </c>
      <c r="S773" s="13" t="s">
        <v>397</v>
      </c>
      <c r="T773" s="13" t="s">
        <v>4861</v>
      </c>
      <c r="U773" s="13" t="s">
        <v>314</v>
      </c>
      <c r="V773" s="13" t="s">
        <v>4862</v>
      </c>
      <c r="W773" s="13" t="s">
        <v>4863</v>
      </c>
      <c r="X773" s="2"/>
      <c r="Y773" s="2"/>
    </row>
    <row r="774" spans="1:25" hidden="1" x14ac:dyDescent="0.2">
      <c r="A774" s="13">
        <v>197</v>
      </c>
      <c r="B774" s="14" t="s">
        <v>4864</v>
      </c>
      <c r="C774" s="13" t="s">
        <v>4865</v>
      </c>
      <c r="D774" s="3" t="e">
        <f>VLOOKUP(A774,Hebrew!A:C,3,0)</f>
        <v>#N/A</v>
      </c>
      <c r="E774" s="13" t="s">
        <v>4866</v>
      </c>
      <c r="F774" s="3" t="e">
        <f>VLOOKUP($A774,Hebrew!$A:$S,4,0)</f>
        <v>#N/A</v>
      </c>
      <c r="G774" s="13" t="s">
        <v>4867</v>
      </c>
      <c r="H774" s="2"/>
      <c r="I774" s="2"/>
      <c r="J774" s="13" t="s">
        <v>258</v>
      </c>
      <c r="K774" s="13" t="s">
        <v>4868</v>
      </c>
      <c r="L774" s="3" t="e">
        <f>VLOOKUP($A774,Hebrew!$A:$S,9,0)</f>
        <v>#N/A</v>
      </c>
      <c r="M774" s="2"/>
      <c r="N774" s="2"/>
      <c r="O774" s="13" t="s">
        <v>39</v>
      </c>
      <c r="P774" s="2"/>
      <c r="Q774" s="3" t="e">
        <f>VLOOKUP($A774,Hebrew!$A:$S,13,0)</f>
        <v>#N/A</v>
      </c>
      <c r="R774" s="13" t="s">
        <v>1215</v>
      </c>
      <c r="S774" s="13" t="s">
        <v>4848</v>
      </c>
      <c r="T774" s="2"/>
      <c r="U774" s="13" t="s">
        <v>43</v>
      </c>
      <c r="V774" s="13" t="s">
        <v>4869</v>
      </c>
      <c r="W774" s="13" t="s">
        <v>1160</v>
      </c>
      <c r="X774" s="2"/>
      <c r="Y774" s="2"/>
    </row>
    <row r="775" spans="1:25" hidden="1" x14ac:dyDescent="0.2">
      <c r="A775" s="13">
        <v>958</v>
      </c>
      <c r="B775" s="14" t="s">
        <v>4870</v>
      </c>
      <c r="C775" s="13" t="s">
        <v>4871</v>
      </c>
      <c r="D775" s="3" t="e">
        <f>VLOOKUP(A775,Hebrew!A:C,3,0)</f>
        <v>#N/A</v>
      </c>
      <c r="E775" s="13" t="s">
        <v>4872</v>
      </c>
      <c r="F775" s="3" t="e">
        <f>VLOOKUP($A775,Hebrew!$A:$S,4,0)</f>
        <v>#N/A</v>
      </c>
      <c r="G775" s="13" t="s">
        <v>1192</v>
      </c>
      <c r="H775" s="13" t="s">
        <v>4873</v>
      </c>
      <c r="I775" s="2"/>
      <c r="J775" s="13" t="s">
        <v>69</v>
      </c>
      <c r="K775" s="13" t="s">
        <v>4874</v>
      </c>
      <c r="L775" s="3" t="e">
        <f>VLOOKUP($A775,Hebrew!$A:$S,9,0)</f>
        <v>#N/A</v>
      </c>
      <c r="M775" s="2"/>
      <c r="N775" s="2"/>
      <c r="O775" s="13" t="s">
        <v>39</v>
      </c>
      <c r="P775" s="13" t="s">
        <v>4875</v>
      </c>
      <c r="Q775" s="3" t="e">
        <f>VLOOKUP($A775,Hebrew!$A:$S,13,0)</f>
        <v>#N/A</v>
      </c>
      <c r="R775" s="13" t="s">
        <v>41</v>
      </c>
      <c r="S775" s="13" t="s">
        <v>397</v>
      </c>
      <c r="T775" s="13" t="s">
        <v>4876</v>
      </c>
      <c r="U775" s="13" t="s">
        <v>43</v>
      </c>
      <c r="V775" s="13" t="s">
        <v>60</v>
      </c>
      <c r="W775" s="2"/>
      <c r="X775" s="2"/>
      <c r="Y775" s="2"/>
    </row>
    <row r="776" spans="1:25" hidden="1" x14ac:dyDescent="0.2">
      <c r="A776" s="13">
        <v>1419</v>
      </c>
      <c r="B776" s="14" t="s">
        <v>4877</v>
      </c>
      <c r="C776" s="13" t="s">
        <v>4878</v>
      </c>
      <c r="D776" s="3" t="e">
        <f>VLOOKUP(A776,Hebrew!A:C,3,0)</f>
        <v>#N/A</v>
      </c>
      <c r="E776" s="13" t="s">
        <v>4879</v>
      </c>
      <c r="F776" s="3" t="e">
        <f>VLOOKUP($A776,Hebrew!$A:$S,4,0)</f>
        <v>#N/A</v>
      </c>
      <c r="G776" s="13" t="s">
        <v>437</v>
      </c>
      <c r="H776" s="2"/>
      <c r="I776" s="2"/>
      <c r="J776" s="13" t="s">
        <v>3061</v>
      </c>
      <c r="K776" s="13" t="s">
        <v>4880</v>
      </c>
      <c r="L776" s="3" t="e">
        <f>VLOOKUP($A776,Hebrew!$A:$S,9,0)</f>
        <v>#N/A</v>
      </c>
      <c r="M776" s="2" t="s">
        <v>3061</v>
      </c>
      <c r="N776" s="2"/>
      <c r="O776" s="13" t="s">
        <v>26</v>
      </c>
      <c r="P776" s="13" t="s">
        <v>27</v>
      </c>
      <c r="Q776" s="3" t="e">
        <f>VLOOKUP($A776,Hebrew!$A:$S,13,0)</f>
        <v>#N/A</v>
      </c>
      <c r="R776" s="13" t="s">
        <v>1215</v>
      </c>
      <c r="S776" s="13" t="s">
        <v>397</v>
      </c>
      <c r="T776" s="13" t="s">
        <v>4881</v>
      </c>
      <c r="U776" s="13" t="s">
        <v>4882</v>
      </c>
      <c r="V776" s="15" t="s">
        <v>709</v>
      </c>
      <c r="W776" s="2"/>
      <c r="X776" s="2"/>
      <c r="Y776" s="2"/>
    </row>
    <row r="777" spans="1:25" hidden="1" x14ac:dyDescent="0.2">
      <c r="A777" s="9">
        <v>954</v>
      </c>
      <c r="B777" s="10" t="s">
        <v>4883</v>
      </c>
      <c r="C777" s="9" t="s">
        <v>4884</v>
      </c>
      <c r="D777" s="3" t="e">
        <f>VLOOKUP(A777,Hebrew!A:C,3,0)</f>
        <v>#N/A</v>
      </c>
      <c r="E777" s="9" t="s">
        <v>4885</v>
      </c>
      <c r="F777" s="3" t="e">
        <f>VLOOKUP($A777,Hebrew!$A:$S,4,0)</f>
        <v>#N/A</v>
      </c>
      <c r="G777" s="9" t="s">
        <v>1727</v>
      </c>
      <c r="H777" s="2"/>
      <c r="I777" s="2"/>
      <c r="J777" s="9" t="s">
        <v>1193</v>
      </c>
      <c r="K777" s="9" t="s">
        <v>4886</v>
      </c>
      <c r="L777" s="3" t="e">
        <f>VLOOKUP($A777,Hebrew!$A:$S,9,0)</f>
        <v>#N/A</v>
      </c>
      <c r="M777" s="2"/>
      <c r="N777" s="2"/>
      <c r="O777" s="2" t="s">
        <v>39</v>
      </c>
      <c r="P777" s="9" t="s">
        <v>27</v>
      </c>
      <c r="Q777" s="3" t="e">
        <f>VLOOKUP($A777,Hebrew!$A:$S,13,0)</f>
        <v>#N/A</v>
      </c>
      <c r="R777" s="9" t="s">
        <v>1215</v>
      </c>
      <c r="S777" s="2" t="s">
        <v>413</v>
      </c>
      <c r="T777" s="2" t="s">
        <v>4887</v>
      </c>
      <c r="U777" s="2" t="s">
        <v>4749</v>
      </c>
      <c r="V777" s="2" t="s">
        <v>4888</v>
      </c>
      <c r="W777" s="2" t="s">
        <v>1460</v>
      </c>
      <c r="X777" s="2"/>
      <c r="Y777" s="2"/>
    </row>
    <row r="778" spans="1:25" hidden="1" x14ac:dyDescent="0.2">
      <c r="A778" s="9">
        <v>1633</v>
      </c>
      <c r="B778" s="10" t="s">
        <v>4889</v>
      </c>
      <c r="C778" s="9" t="s">
        <v>4890</v>
      </c>
      <c r="D778" s="3" t="e">
        <f>VLOOKUP(A778,Hebrew!A:C,3,0)</f>
        <v>#N/A</v>
      </c>
      <c r="E778" s="9" t="s">
        <v>4891</v>
      </c>
      <c r="F778" s="3" t="e">
        <f>VLOOKUP($A778,Hebrew!$A:$S,4,0)</f>
        <v>#N/A</v>
      </c>
      <c r="G778" s="9" t="s">
        <v>4745</v>
      </c>
      <c r="H778" s="2"/>
      <c r="I778" s="2"/>
      <c r="J778" s="9" t="s">
        <v>2831</v>
      </c>
      <c r="K778" s="9" t="s">
        <v>4892</v>
      </c>
      <c r="L778" s="3" t="e">
        <f>VLOOKUP($A778,Hebrew!$A:$S,9,0)</f>
        <v>#N/A</v>
      </c>
      <c r="M778" s="2"/>
      <c r="N778" s="2"/>
      <c r="O778" s="2" t="s">
        <v>26</v>
      </c>
      <c r="P778" s="9" t="s">
        <v>357</v>
      </c>
      <c r="Q778" s="3" t="e">
        <f>VLOOKUP($A778,Hebrew!$A:$S,13,0)</f>
        <v>#N/A</v>
      </c>
      <c r="R778" s="9" t="s">
        <v>1215</v>
      </c>
      <c r="S778" s="2" t="s">
        <v>397</v>
      </c>
      <c r="T778" s="2" t="s">
        <v>4893</v>
      </c>
      <c r="U778" s="2" t="s">
        <v>4894</v>
      </c>
      <c r="V778" s="2" t="s">
        <v>4895</v>
      </c>
      <c r="W778" s="2" t="s">
        <v>4896</v>
      </c>
      <c r="X778" s="2"/>
      <c r="Y778" s="2"/>
    </row>
    <row r="779" spans="1:25" hidden="1" x14ac:dyDescent="0.2">
      <c r="A779" s="9">
        <v>376</v>
      </c>
      <c r="B779" s="10" t="s">
        <v>4897</v>
      </c>
      <c r="C779" s="9" t="s">
        <v>4898</v>
      </c>
      <c r="D779" s="3" t="e">
        <f>VLOOKUP(A779,Hebrew!A:C,3,0)</f>
        <v>#N/A</v>
      </c>
      <c r="E779" s="9" t="s">
        <v>4899</v>
      </c>
      <c r="F779" s="3" t="e">
        <f>VLOOKUP($A779,Hebrew!$A:$S,4,0)</f>
        <v>#N/A</v>
      </c>
      <c r="G779" s="9" t="s">
        <v>1552</v>
      </c>
      <c r="H779" s="9" t="s">
        <v>2608</v>
      </c>
      <c r="I779" s="9" t="s">
        <v>2847</v>
      </c>
      <c r="J779" s="9" t="s">
        <v>224</v>
      </c>
      <c r="K779" s="9" t="s">
        <v>225</v>
      </c>
      <c r="L779" s="3" t="e">
        <f>VLOOKUP($A779,Hebrew!$A:$S,9,0)</f>
        <v>#N/A</v>
      </c>
      <c r="M779" s="2"/>
      <c r="N779" s="2"/>
      <c r="O779" s="2" t="s">
        <v>39</v>
      </c>
      <c r="P779" s="9" t="s">
        <v>27</v>
      </c>
      <c r="Q779" s="3" t="e">
        <f>VLOOKUP($A779,Hebrew!$A:$S,13,0)</f>
        <v>#N/A</v>
      </c>
      <c r="R779" s="9" t="s">
        <v>1215</v>
      </c>
      <c r="S779" s="2" t="s">
        <v>29</v>
      </c>
      <c r="T779" s="2" t="s">
        <v>4900</v>
      </c>
      <c r="U779" s="2" t="s">
        <v>2925</v>
      </c>
      <c r="V779" s="2" t="s">
        <v>4901</v>
      </c>
      <c r="W779" s="2" t="s">
        <v>4902</v>
      </c>
      <c r="X779" s="2"/>
      <c r="Y779" s="2"/>
    </row>
    <row r="780" spans="1:25" hidden="1" x14ac:dyDescent="0.2">
      <c r="A780" s="2">
        <v>1430</v>
      </c>
      <c r="B780" s="8" t="s">
        <v>4903</v>
      </c>
      <c r="C780" s="2" t="s">
        <v>4904</v>
      </c>
      <c r="D780" s="3" t="e">
        <f>VLOOKUP(A780,Hebrew!A:C,3,0)</f>
        <v>#N/A</v>
      </c>
      <c r="E780" s="2" t="s">
        <v>4905</v>
      </c>
      <c r="F780" s="3" t="e">
        <f>VLOOKUP($A780,Hebrew!$A:$S,4,0)</f>
        <v>#N/A</v>
      </c>
      <c r="G780" s="2" t="s">
        <v>1037</v>
      </c>
      <c r="H780" s="2" t="s">
        <v>3414</v>
      </c>
      <c r="I780" s="2" t="s">
        <v>1043</v>
      </c>
      <c r="J780" s="2" t="s">
        <v>393</v>
      </c>
      <c r="K780" s="2" t="s">
        <v>4906</v>
      </c>
      <c r="L780" s="3" t="e">
        <f>VLOOKUP($A780,Hebrew!$A:$S,9,0)</f>
        <v>#N/A</v>
      </c>
      <c r="M780" s="2" t="s">
        <v>48</v>
      </c>
      <c r="N780" s="6" t="s">
        <v>4907</v>
      </c>
      <c r="O780" s="2" t="s">
        <v>26</v>
      </c>
      <c r="P780" s="2" t="s">
        <v>27</v>
      </c>
      <c r="Q780" s="3" t="e">
        <f>VLOOKUP($A780,Hebrew!$A:$S,13,0)</f>
        <v>#N/A</v>
      </c>
      <c r="R780" s="2" t="s">
        <v>396</v>
      </c>
      <c r="S780" s="2" t="s">
        <v>29</v>
      </c>
      <c r="T780" s="2" t="s">
        <v>4908</v>
      </c>
      <c r="U780" s="2" t="s">
        <v>4909</v>
      </c>
      <c r="V780" s="2" t="s">
        <v>4357</v>
      </c>
      <c r="W780" s="2"/>
      <c r="X780" s="2"/>
      <c r="Y780" s="2"/>
    </row>
    <row r="781" spans="1:25" hidden="1" x14ac:dyDescent="0.2">
      <c r="A781" s="2">
        <v>2275</v>
      </c>
      <c r="B781" s="8" t="s">
        <v>4910</v>
      </c>
      <c r="C781" s="2" t="s">
        <v>4911</v>
      </c>
      <c r="D781" s="3" t="e">
        <f>VLOOKUP(A781,Hebrew!A:C,3,0)</f>
        <v>#N/A</v>
      </c>
      <c r="E781" s="2" t="s">
        <v>4912</v>
      </c>
      <c r="F781" s="3" t="e">
        <f>VLOOKUP($A781,Hebrew!$A:$S,4,0)</f>
        <v>#N/A</v>
      </c>
      <c r="G781" s="2" t="s">
        <v>608</v>
      </c>
      <c r="H781" s="2"/>
      <c r="I781" s="2"/>
      <c r="J781" s="2" t="s">
        <v>393</v>
      </c>
      <c r="K781" s="2" t="s">
        <v>4913</v>
      </c>
      <c r="L781" s="3" t="e">
        <f>VLOOKUP($A781,Hebrew!$A:$S,9,0)</f>
        <v>#N/A</v>
      </c>
      <c r="M781" s="2"/>
      <c r="N781" s="2"/>
      <c r="O781" s="2" t="s">
        <v>4914</v>
      </c>
      <c r="P781" s="2" t="s">
        <v>989</v>
      </c>
      <c r="Q781" s="3" t="e">
        <f>VLOOKUP($A781,Hebrew!$A:$S,13,0)</f>
        <v>#N/A</v>
      </c>
      <c r="R781" s="2" t="s">
        <v>396</v>
      </c>
      <c r="S781" s="2" t="s">
        <v>405</v>
      </c>
      <c r="T781" s="2" t="s">
        <v>4915</v>
      </c>
      <c r="U781" s="2" t="s">
        <v>4916</v>
      </c>
      <c r="V781" s="2" t="s">
        <v>27</v>
      </c>
      <c r="W781" s="2"/>
      <c r="X781" s="2"/>
      <c r="Y781" s="2"/>
    </row>
    <row r="782" spans="1:25" hidden="1" x14ac:dyDescent="0.2">
      <c r="A782" s="2">
        <v>2329</v>
      </c>
      <c r="B782" s="8" t="s">
        <v>4917</v>
      </c>
      <c r="C782" s="2" t="s">
        <v>4918</v>
      </c>
      <c r="D782" s="3" t="e">
        <f>VLOOKUP(A782,Hebrew!A:C,3,0)</f>
        <v>#N/A</v>
      </c>
      <c r="E782" s="2" t="s">
        <v>4919</v>
      </c>
      <c r="F782" s="3" t="e">
        <f>VLOOKUP($A782,Hebrew!$A:$S,4,0)</f>
        <v>#N/A</v>
      </c>
      <c r="G782" s="2" t="s">
        <v>866</v>
      </c>
      <c r="H782" s="2" t="s">
        <v>866</v>
      </c>
      <c r="I782" s="2" t="s">
        <v>866</v>
      </c>
      <c r="J782" s="2" t="s">
        <v>393</v>
      </c>
      <c r="K782" s="2" t="s">
        <v>4920</v>
      </c>
      <c r="L782" s="3" t="e">
        <f>VLOOKUP($A782,Hebrew!$A:$S,9,0)</f>
        <v>#N/A</v>
      </c>
      <c r="M782" s="2"/>
      <c r="N782" s="2"/>
      <c r="O782" s="2" t="s">
        <v>26</v>
      </c>
      <c r="P782" s="2" t="s">
        <v>212</v>
      </c>
      <c r="Q782" s="3" t="e">
        <f>VLOOKUP($A782,Hebrew!$A:$S,13,0)</f>
        <v>#N/A</v>
      </c>
      <c r="R782" s="2" t="s">
        <v>396</v>
      </c>
      <c r="S782" s="2" t="s">
        <v>397</v>
      </c>
      <c r="T782" s="2" t="s">
        <v>4921</v>
      </c>
      <c r="U782" s="2"/>
      <c r="V782" s="2" t="s">
        <v>1341</v>
      </c>
      <c r="W782" s="2"/>
      <c r="X782" s="2"/>
      <c r="Y782" s="2"/>
    </row>
    <row r="783" spans="1:25" hidden="1" x14ac:dyDescent="0.2">
      <c r="A783" s="2">
        <v>2330</v>
      </c>
      <c r="B783" s="8" t="s">
        <v>4922</v>
      </c>
      <c r="C783" s="2" t="s">
        <v>4923</v>
      </c>
      <c r="D783" s="3" t="e">
        <f>VLOOKUP(A783,Hebrew!A:C,3,0)</f>
        <v>#N/A</v>
      </c>
      <c r="E783" s="2" t="s">
        <v>4924</v>
      </c>
      <c r="F783" s="3" t="e">
        <f>VLOOKUP($A783,Hebrew!$A:$S,4,0)</f>
        <v>#N/A</v>
      </c>
      <c r="G783" s="2" t="s">
        <v>1184</v>
      </c>
      <c r="H783" s="2" t="s">
        <v>1184</v>
      </c>
      <c r="I783" s="2" t="s">
        <v>1184</v>
      </c>
      <c r="J783" s="2" t="s">
        <v>393</v>
      </c>
      <c r="K783" s="2" t="s">
        <v>4920</v>
      </c>
      <c r="L783" s="3" t="e">
        <f>VLOOKUP($A783,Hebrew!$A:$S,9,0)</f>
        <v>#N/A</v>
      </c>
      <c r="M783" s="2"/>
      <c r="N783" s="2"/>
      <c r="O783" s="2" t="s">
        <v>26</v>
      </c>
      <c r="P783" s="2" t="s">
        <v>212</v>
      </c>
      <c r="Q783" s="3" t="e">
        <f>VLOOKUP($A783,Hebrew!$A:$S,13,0)</f>
        <v>#N/A</v>
      </c>
      <c r="R783" s="2" t="s">
        <v>396</v>
      </c>
      <c r="S783" s="2" t="s">
        <v>29</v>
      </c>
      <c r="T783" s="2" t="s">
        <v>4925</v>
      </c>
      <c r="U783" s="2" t="s">
        <v>43</v>
      </c>
      <c r="V783" s="2" t="s">
        <v>1341</v>
      </c>
      <c r="W783" s="2"/>
      <c r="X783" s="2"/>
      <c r="Y783" s="2"/>
    </row>
    <row r="784" spans="1:25" hidden="1" x14ac:dyDescent="0.2">
      <c r="A784" s="2">
        <v>2331</v>
      </c>
      <c r="B784" s="8" t="s">
        <v>4926</v>
      </c>
      <c r="C784" s="2" t="s">
        <v>4927</v>
      </c>
      <c r="D784" s="3" t="e">
        <f>VLOOKUP(A784,Hebrew!A:C,3,0)</f>
        <v>#N/A</v>
      </c>
      <c r="E784" s="2" t="s">
        <v>4928</v>
      </c>
      <c r="F784" s="3" t="e">
        <f>VLOOKUP($A784,Hebrew!$A:$S,4,0)</f>
        <v>#N/A</v>
      </c>
      <c r="G784" s="2" t="s">
        <v>4929</v>
      </c>
      <c r="H784" s="2" t="s">
        <v>1176</v>
      </c>
      <c r="I784" s="2" t="s">
        <v>4929</v>
      </c>
      <c r="J784" s="2" t="s">
        <v>393</v>
      </c>
      <c r="K784" s="2" t="s">
        <v>4920</v>
      </c>
      <c r="L784" s="3" t="e">
        <f>VLOOKUP($A784,Hebrew!$A:$S,9,0)</f>
        <v>#N/A</v>
      </c>
      <c r="M784" s="2"/>
      <c r="N784" s="2"/>
      <c r="O784" s="2" t="s">
        <v>26</v>
      </c>
      <c r="P784" s="2" t="s">
        <v>212</v>
      </c>
      <c r="Q784" s="3" t="e">
        <f>VLOOKUP($A784,Hebrew!$A:$S,13,0)</f>
        <v>#N/A</v>
      </c>
      <c r="R784" s="2" t="s">
        <v>396</v>
      </c>
      <c r="S784" s="2" t="s">
        <v>29</v>
      </c>
      <c r="T784" s="2" t="s">
        <v>4930</v>
      </c>
      <c r="U784" s="2" t="s">
        <v>4070</v>
      </c>
      <c r="V784" s="2" t="s">
        <v>1341</v>
      </c>
      <c r="W784" s="2"/>
      <c r="X784" s="2"/>
      <c r="Y784" s="2"/>
    </row>
    <row r="785" spans="1:25" hidden="1" x14ac:dyDescent="0.2">
      <c r="A785" s="2">
        <v>2328</v>
      </c>
      <c r="B785" s="8" t="s">
        <v>4931</v>
      </c>
      <c r="C785" s="2" t="s">
        <v>4932</v>
      </c>
      <c r="D785" s="3" t="e">
        <f>VLOOKUP(A785,Hebrew!A:C,3,0)</f>
        <v>#N/A</v>
      </c>
      <c r="E785" s="2" t="s">
        <v>4933</v>
      </c>
      <c r="F785" s="3" t="e">
        <f>VLOOKUP($A785,Hebrew!$A:$S,4,0)</f>
        <v>#N/A</v>
      </c>
      <c r="G785" s="2" t="s">
        <v>2445</v>
      </c>
      <c r="H785" s="2"/>
      <c r="I785" s="2"/>
      <c r="J785" s="2" t="s">
        <v>393</v>
      </c>
      <c r="K785" s="2" t="s">
        <v>4920</v>
      </c>
      <c r="L785" s="3" t="e">
        <f>VLOOKUP($A785,Hebrew!$A:$S,9,0)</f>
        <v>#N/A</v>
      </c>
      <c r="M785" s="2"/>
      <c r="N785" s="2" t="s">
        <v>4934</v>
      </c>
      <c r="O785" s="2" t="s">
        <v>26</v>
      </c>
      <c r="P785" s="2" t="s">
        <v>212</v>
      </c>
      <c r="Q785" s="3" t="e">
        <f>VLOOKUP($A785,Hebrew!$A:$S,13,0)</f>
        <v>#N/A</v>
      </c>
      <c r="R785" s="2" t="s">
        <v>396</v>
      </c>
      <c r="S785" s="2" t="s">
        <v>397</v>
      </c>
      <c r="T785" s="2" t="s">
        <v>4935</v>
      </c>
      <c r="U785" s="2"/>
      <c r="V785" s="2" t="s">
        <v>1341</v>
      </c>
      <c r="W785" s="2"/>
      <c r="X785" s="2"/>
      <c r="Y785" s="2"/>
    </row>
    <row r="786" spans="1:25" hidden="1" x14ac:dyDescent="0.2">
      <c r="A786" s="2">
        <v>2333</v>
      </c>
      <c r="B786" s="8" t="s">
        <v>4936</v>
      </c>
      <c r="C786" s="2" t="s">
        <v>4937</v>
      </c>
      <c r="D786" s="3" t="e">
        <f>VLOOKUP(A786,Hebrew!A:C,3,0)</f>
        <v>#N/A</v>
      </c>
      <c r="E786" s="2" t="s">
        <v>4938</v>
      </c>
      <c r="F786" s="3" t="e">
        <f>VLOOKUP($A786,Hebrew!$A:$S,4,0)</f>
        <v>#N/A</v>
      </c>
      <c r="G786" s="2" t="s">
        <v>101</v>
      </c>
      <c r="H786" s="2" t="s">
        <v>101</v>
      </c>
      <c r="I786" s="2" t="s">
        <v>101</v>
      </c>
      <c r="J786" s="2" t="s">
        <v>393</v>
      </c>
      <c r="K786" s="2" t="s">
        <v>4939</v>
      </c>
      <c r="L786" s="3" t="e">
        <f>VLOOKUP($A786,Hebrew!$A:$S,9,0)</f>
        <v>#N/A</v>
      </c>
      <c r="M786" s="2" t="s">
        <v>1324</v>
      </c>
      <c r="N786" s="2"/>
      <c r="O786" s="2" t="s">
        <v>1011</v>
      </c>
      <c r="P786" s="2" t="s">
        <v>4940</v>
      </c>
      <c r="Q786" s="3" t="e">
        <f>VLOOKUP($A786,Hebrew!$A:$S,13,0)</f>
        <v>#N/A</v>
      </c>
      <c r="R786" s="2" t="s">
        <v>396</v>
      </c>
      <c r="S786" s="2" t="s">
        <v>4941</v>
      </c>
      <c r="T786" s="2" t="s">
        <v>4942</v>
      </c>
      <c r="U786" s="2"/>
      <c r="V786" s="2" t="s">
        <v>4943</v>
      </c>
      <c r="W786" s="2" t="s">
        <v>630</v>
      </c>
      <c r="X786" s="2"/>
      <c r="Y786" s="2"/>
    </row>
    <row r="787" spans="1:25" hidden="1" x14ac:dyDescent="0.2">
      <c r="A787" s="2">
        <v>2334</v>
      </c>
      <c r="B787" s="8" t="s">
        <v>4944</v>
      </c>
      <c r="C787" s="2" t="s">
        <v>4945</v>
      </c>
      <c r="D787" s="3" t="e">
        <f>VLOOKUP(A787,Hebrew!A:C,3,0)</f>
        <v>#N/A</v>
      </c>
      <c r="E787" s="2" t="s">
        <v>4946</v>
      </c>
      <c r="F787" s="3" t="e">
        <f>VLOOKUP($A787,Hebrew!$A:$S,4,0)</f>
        <v>#N/A</v>
      </c>
      <c r="G787" s="2" t="s">
        <v>1323</v>
      </c>
      <c r="H787" s="2" t="s">
        <v>101</v>
      </c>
      <c r="I787" s="2" t="s">
        <v>101</v>
      </c>
      <c r="J787" s="2" t="s">
        <v>393</v>
      </c>
      <c r="K787" s="2" t="s">
        <v>4939</v>
      </c>
      <c r="L787" s="3" t="e">
        <f>VLOOKUP($A787,Hebrew!$A:$S,9,0)</f>
        <v>#N/A</v>
      </c>
      <c r="M787" s="2"/>
      <c r="N787" s="2"/>
      <c r="O787" s="2" t="s">
        <v>26</v>
      </c>
      <c r="P787" s="2" t="s">
        <v>105</v>
      </c>
      <c r="Q787" s="3" t="e">
        <f>VLOOKUP($A787,Hebrew!$A:$S,13,0)</f>
        <v>#N/A</v>
      </c>
      <c r="R787" s="2" t="s">
        <v>396</v>
      </c>
      <c r="S787" s="2" t="s">
        <v>413</v>
      </c>
      <c r="T787" s="2" t="s">
        <v>4947</v>
      </c>
      <c r="U787" s="2"/>
      <c r="V787" s="2" t="s">
        <v>2111</v>
      </c>
      <c r="W787" s="2"/>
      <c r="X787" s="2"/>
      <c r="Y787" s="2"/>
    </row>
    <row r="788" spans="1:25" hidden="1" x14ac:dyDescent="0.2">
      <c r="A788" s="2">
        <v>2335</v>
      </c>
      <c r="B788" s="8" t="s">
        <v>4948</v>
      </c>
      <c r="C788" s="2" t="s">
        <v>4949</v>
      </c>
      <c r="D788" s="3" t="e">
        <f>VLOOKUP(A788,Hebrew!A:C,3,0)</f>
        <v>#N/A</v>
      </c>
      <c r="E788" s="2" t="s">
        <v>4950</v>
      </c>
      <c r="F788" s="3" t="e">
        <f>VLOOKUP($A788,Hebrew!$A:$S,4,0)</f>
        <v>#N/A</v>
      </c>
      <c r="G788" s="2" t="s">
        <v>1323</v>
      </c>
      <c r="H788" s="2" t="s">
        <v>101</v>
      </c>
      <c r="I788" s="2" t="s">
        <v>101</v>
      </c>
      <c r="J788" s="2" t="s">
        <v>393</v>
      </c>
      <c r="K788" s="2" t="s">
        <v>4939</v>
      </c>
      <c r="L788" s="3" t="e">
        <f>VLOOKUP($A788,Hebrew!$A:$S,9,0)</f>
        <v>#N/A</v>
      </c>
      <c r="M788" s="2"/>
      <c r="N788" s="2"/>
      <c r="O788" s="2" t="s">
        <v>412</v>
      </c>
      <c r="P788" s="2" t="s">
        <v>105</v>
      </c>
      <c r="Q788" s="3" t="e">
        <f>VLOOKUP($A788,Hebrew!$A:$S,13,0)</f>
        <v>#N/A</v>
      </c>
      <c r="R788" s="2" t="s">
        <v>396</v>
      </c>
      <c r="S788" s="2" t="s">
        <v>413</v>
      </c>
      <c r="T788" s="2" t="s">
        <v>4951</v>
      </c>
      <c r="U788" s="2" t="s">
        <v>4952</v>
      </c>
      <c r="V788" s="2" t="s">
        <v>2111</v>
      </c>
      <c r="W788" s="2"/>
      <c r="X788" s="2"/>
      <c r="Y788" s="2"/>
    </row>
    <row r="789" spans="1:25" hidden="1" x14ac:dyDescent="0.2">
      <c r="A789" s="2">
        <v>2336</v>
      </c>
      <c r="B789" s="8" t="s">
        <v>4953</v>
      </c>
      <c r="C789" s="2" t="s">
        <v>4954</v>
      </c>
      <c r="D789" s="3" t="e">
        <f>VLOOKUP(A789,Hebrew!A:C,3,0)</f>
        <v>#N/A</v>
      </c>
      <c r="E789" s="2" t="s">
        <v>4955</v>
      </c>
      <c r="F789" s="3" t="e">
        <f>VLOOKUP($A789,Hebrew!$A:$S,4,0)</f>
        <v>#N/A</v>
      </c>
      <c r="G789" s="2" t="s">
        <v>720</v>
      </c>
      <c r="H789" s="2" t="s">
        <v>720</v>
      </c>
      <c r="I789" s="2" t="s">
        <v>720</v>
      </c>
      <c r="J789" s="2" t="s">
        <v>393</v>
      </c>
      <c r="K789" s="2" t="s">
        <v>1795</v>
      </c>
      <c r="L789" s="3" t="e">
        <f>VLOOKUP($A789,Hebrew!$A:$S,9,0)</f>
        <v>#N/A</v>
      </c>
      <c r="M789" s="2"/>
      <c r="N789" s="2"/>
      <c r="O789" s="2" t="s">
        <v>26</v>
      </c>
      <c r="P789" s="2" t="s">
        <v>212</v>
      </c>
      <c r="Q789" s="3" t="e">
        <f>VLOOKUP($A789,Hebrew!$A:$S,13,0)</f>
        <v>#N/A</v>
      </c>
      <c r="R789" s="2" t="s">
        <v>396</v>
      </c>
      <c r="S789" s="2" t="s">
        <v>397</v>
      </c>
      <c r="T789" s="2" t="s">
        <v>4956</v>
      </c>
      <c r="U789" s="2" t="s">
        <v>628</v>
      </c>
      <c r="V789" s="2" t="s">
        <v>4957</v>
      </c>
      <c r="W789" s="2"/>
      <c r="X789" s="2"/>
      <c r="Y789" s="2"/>
    </row>
    <row r="790" spans="1:25" hidden="1" x14ac:dyDescent="0.2">
      <c r="A790" s="2">
        <v>2337</v>
      </c>
      <c r="B790" s="8" t="s">
        <v>4958</v>
      </c>
      <c r="C790" s="2" t="s">
        <v>4959</v>
      </c>
      <c r="D790" s="3" t="e">
        <f>VLOOKUP(A790,Hebrew!A:C,3,0)</f>
        <v>#N/A</v>
      </c>
      <c r="E790" s="2" t="s">
        <v>4960</v>
      </c>
      <c r="F790" s="3" t="e">
        <f>VLOOKUP($A790,Hebrew!$A:$S,4,0)</f>
        <v>#N/A</v>
      </c>
      <c r="G790" s="2" t="s">
        <v>873</v>
      </c>
      <c r="H790" s="2"/>
      <c r="I790" s="2"/>
      <c r="J790" s="2" t="s">
        <v>393</v>
      </c>
      <c r="K790" s="2" t="s">
        <v>1795</v>
      </c>
      <c r="L790" s="3" t="e">
        <f>VLOOKUP($A790,Hebrew!$A:$S,9,0)</f>
        <v>#N/A</v>
      </c>
      <c r="M790" s="2" t="s">
        <v>201</v>
      </c>
      <c r="N790" s="6" t="s">
        <v>2439</v>
      </c>
      <c r="O790" s="2" t="s">
        <v>39</v>
      </c>
      <c r="P790" s="2" t="s">
        <v>212</v>
      </c>
      <c r="Q790" s="3" t="e">
        <f>VLOOKUP($A790,Hebrew!$A:$S,13,0)</f>
        <v>#N/A</v>
      </c>
      <c r="R790" s="2" t="s">
        <v>396</v>
      </c>
      <c r="S790" s="2" t="s">
        <v>397</v>
      </c>
      <c r="T790" s="2" t="s">
        <v>4961</v>
      </c>
      <c r="U790" s="2" t="s">
        <v>43</v>
      </c>
      <c r="V790" s="2" t="s">
        <v>4962</v>
      </c>
      <c r="W790" s="2"/>
      <c r="X790" s="2"/>
      <c r="Y790" s="2"/>
    </row>
    <row r="791" spans="1:25" hidden="1" x14ac:dyDescent="0.2">
      <c r="A791" s="2">
        <v>1161</v>
      </c>
      <c r="B791" s="8" t="s">
        <v>4963</v>
      </c>
      <c r="C791" s="2" t="s">
        <v>4964</v>
      </c>
      <c r="D791" s="3" t="e">
        <f>VLOOKUP(A791,Hebrew!A:C,3,0)</f>
        <v>#N/A</v>
      </c>
      <c r="E791" s="2" t="s">
        <v>4965</v>
      </c>
      <c r="F791" s="3" t="e">
        <f>VLOOKUP($A791,Hebrew!$A:$S,4,0)</f>
        <v>#N/A</v>
      </c>
      <c r="G791" s="2" t="s">
        <v>3140</v>
      </c>
      <c r="H791" s="2" t="s">
        <v>1722</v>
      </c>
      <c r="I791" s="2" t="s">
        <v>1722</v>
      </c>
      <c r="J791" s="2" t="s">
        <v>2678</v>
      </c>
      <c r="K791" s="8" t="s">
        <v>2678</v>
      </c>
      <c r="L791" s="3" t="e">
        <f>VLOOKUP($A791,Hebrew!$A:$S,9,0)</f>
        <v>#N/A</v>
      </c>
      <c r="M791" s="2"/>
      <c r="N791" s="2"/>
      <c r="O791" s="2" t="s">
        <v>26</v>
      </c>
      <c r="P791" s="2"/>
      <c r="Q791" s="3" t="e">
        <f>VLOOKUP($A791,Hebrew!$A:$S,13,0)</f>
        <v>#N/A</v>
      </c>
      <c r="R791" s="2" t="s">
        <v>1694</v>
      </c>
      <c r="S791" s="2" t="s">
        <v>29</v>
      </c>
      <c r="T791" s="2" t="s">
        <v>4966</v>
      </c>
      <c r="U791" s="2" t="s">
        <v>43</v>
      </c>
      <c r="V791" s="2" t="s">
        <v>3526</v>
      </c>
      <c r="W791" s="2"/>
      <c r="X791" s="2"/>
      <c r="Y791" s="2"/>
    </row>
    <row r="792" spans="1:25" hidden="1" x14ac:dyDescent="0.2">
      <c r="A792" s="2">
        <v>51</v>
      </c>
      <c r="B792" s="8" t="s">
        <v>4967</v>
      </c>
      <c r="C792" s="2" t="s">
        <v>4968</v>
      </c>
      <c r="D792" s="3" t="e">
        <f>VLOOKUP(A792,Hebrew!A:C,3,0)</f>
        <v>#N/A</v>
      </c>
      <c r="E792" s="2" t="s">
        <v>4969</v>
      </c>
      <c r="F792" s="3" t="e">
        <f>VLOOKUP($A792,Hebrew!$A:$S,4,0)</f>
        <v>#N/A</v>
      </c>
      <c r="G792" s="2" t="s">
        <v>4970</v>
      </c>
      <c r="H792" s="2"/>
      <c r="I792" s="2"/>
      <c r="J792" s="2" t="s">
        <v>393</v>
      </c>
      <c r="K792" s="2" t="s">
        <v>4971</v>
      </c>
      <c r="L792" s="3" t="e">
        <f>VLOOKUP($A792,Hebrew!$A:$S,9,0)</f>
        <v>#N/A</v>
      </c>
      <c r="M792" s="2"/>
      <c r="N792" s="6" t="s">
        <v>4972</v>
      </c>
      <c r="O792" s="2" t="s">
        <v>26</v>
      </c>
      <c r="P792" s="2"/>
      <c r="Q792" s="3" t="e">
        <f>VLOOKUP($A792,Hebrew!$A:$S,13,0)</f>
        <v>#N/A</v>
      </c>
      <c r="R792" s="2" t="s">
        <v>396</v>
      </c>
      <c r="S792" s="2" t="s">
        <v>29</v>
      </c>
      <c r="T792" s="2" t="s">
        <v>4973</v>
      </c>
      <c r="U792" s="2" t="s">
        <v>1748</v>
      </c>
      <c r="V792" s="2" t="s">
        <v>27</v>
      </c>
      <c r="W792" s="2"/>
      <c r="X792" s="2"/>
      <c r="Y792" s="2"/>
    </row>
    <row r="793" spans="1:25" hidden="1" x14ac:dyDescent="0.2">
      <c r="A793" s="9">
        <v>1371</v>
      </c>
      <c r="B793" s="10" t="s">
        <v>4974</v>
      </c>
      <c r="C793" s="9" t="s">
        <v>4975</v>
      </c>
      <c r="D793" s="3" t="e">
        <f>VLOOKUP(A793,Hebrew!A:C,3,0)</f>
        <v>#N/A</v>
      </c>
      <c r="E793" s="9" t="s">
        <v>4976</v>
      </c>
      <c r="F793" s="3" t="e">
        <f>VLOOKUP($A793,Hebrew!$A:$S,4,0)</f>
        <v>#N/A</v>
      </c>
      <c r="G793" s="9" t="s">
        <v>2327</v>
      </c>
      <c r="H793" s="2"/>
      <c r="I793" s="2"/>
      <c r="J793" s="2" t="s">
        <v>84</v>
      </c>
      <c r="K793" s="9" t="s">
        <v>4977</v>
      </c>
      <c r="L793" s="3" t="e">
        <f>VLOOKUP($A793,Hebrew!$A:$S,9,0)</f>
        <v>#N/A</v>
      </c>
      <c r="M793" s="2" t="s">
        <v>2589</v>
      </c>
      <c r="N793" s="6" t="s">
        <v>4978</v>
      </c>
      <c r="O793" s="2" t="s">
        <v>26</v>
      </c>
      <c r="P793" s="9" t="s">
        <v>27</v>
      </c>
      <c r="Q793" s="3" t="e">
        <f>VLOOKUP($A793,Hebrew!$A:$S,13,0)</f>
        <v>#N/A</v>
      </c>
      <c r="R793" s="9" t="s">
        <v>1215</v>
      </c>
      <c r="S793" s="2" t="s">
        <v>397</v>
      </c>
      <c r="T793" s="2" t="s">
        <v>4979</v>
      </c>
      <c r="U793" s="2" t="s">
        <v>4980</v>
      </c>
      <c r="V793" s="2" t="s">
        <v>4981</v>
      </c>
      <c r="W793" s="2"/>
      <c r="X793" s="2"/>
      <c r="Y793" s="2"/>
    </row>
    <row r="794" spans="1:25" hidden="1" x14ac:dyDescent="0.2">
      <c r="A794" s="9">
        <v>415</v>
      </c>
      <c r="B794" s="6" t="s">
        <v>4982</v>
      </c>
      <c r="C794" s="9" t="s">
        <v>4983</v>
      </c>
      <c r="D794" s="3" t="e">
        <f>VLOOKUP(A794,Hebrew!A:C,3,0)</f>
        <v>#N/A</v>
      </c>
      <c r="E794" s="9" t="s">
        <v>4984</v>
      </c>
      <c r="F794" s="3" t="e">
        <f>VLOOKUP($A794,Hebrew!$A:$S,4,0)</f>
        <v>#N/A</v>
      </c>
      <c r="G794" s="9" t="s">
        <v>1717</v>
      </c>
      <c r="H794" s="2" t="s">
        <v>3633</v>
      </c>
      <c r="I794" s="2" t="s">
        <v>3633</v>
      </c>
      <c r="J794" s="2" t="s">
        <v>2921</v>
      </c>
      <c r="K794" s="9" t="s">
        <v>4985</v>
      </c>
      <c r="L794" s="3" t="e">
        <f>VLOOKUP($A794,Hebrew!$A:$S,9,0)</f>
        <v>#N/A</v>
      </c>
      <c r="M794" s="2" t="s">
        <v>769</v>
      </c>
      <c r="N794" s="6" t="s">
        <v>4986</v>
      </c>
      <c r="O794" s="2" t="s">
        <v>26</v>
      </c>
      <c r="P794" s="2" t="s">
        <v>27</v>
      </c>
      <c r="Q794" s="3" t="e">
        <f>VLOOKUP($A794,Hebrew!$A:$S,13,0)</f>
        <v>#N/A</v>
      </c>
      <c r="R794" s="9" t="s">
        <v>41</v>
      </c>
      <c r="S794" s="2" t="s">
        <v>397</v>
      </c>
      <c r="T794" s="2" t="s">
        <v>4987</v>
      </c>
      <c r="U794" s="2" t="s">
        <v>4988</v>
      </c>
      <c r="V794" s="2" t="s">
        <v>4989</v>
      </c>
      <c r="W794" s="2" t="s">
        <v>3182</v>
      </c>
      <c r="X794" s="2"/>
      <c r="Y794" s="2"/>
    </row>
    <row r="795" spans="1:25" hidden="1" x14ac:dyDescent="0.2">
      <c r="A795" s="9">
        <v>377</v>
      </c>
      <c r="B795" s="10" t="s">
        <v>4990</v>
      </c>
      <c r="C795" s="9" t="s">
        <v>4991</v>
      </c>
      <c r="D795" s="3" t="e">
        <f>VLOOKUP(A795,Hebrew!A:C,3,0)</f>
        <v>#N/A</v>
      </c>
      <c r="E795" s="9" t="s">
        <v>4992</v>
      </c>
      <c r="F795" s="3" t="e">
        <f>VLOOKUP($A795,Hebrew!$A:$S,4,0)</f>
        <v>#N/A</v>
      </c>
      <c r="G795" s="9" t="s">
        <v>1631</v>
      </c>
      <c r="H795" s="2"/>
      <c r="I795" s="2"/>
      <c r="J795" s="2" t="s">
        <v>36</v>
      </c>
      <c r="K795" s="9" t="s">
        <v>4993</v>
      </c>
      <c r="L795" s="3" t="e">
        <f>VLOOKUP($A795,Hebrew!$A:$S,9,0)</f>
        <v>#N/A</v>
      </c>
      <c r="M795" s="2"/>
      <c r="N795" s="2"/>
      <c r="O795" s="2" t="s">
        <v>39</v>
      </c>
      <c r="P795" s="2" t="s">
        <v>211</v>
      </c>
      <c r="Q795" s="3" t="e">
        <f>VLOOKUP($A795,Hebrew!$A:$S,13,0)</f>
        <v>#N/A</v>
      </c>
      <c r="R795" s="9" t="s">
        <v>61</v>
      </c>
      <c r="S795" s="2" t="s">
        <v>397</v>
      </c>
      <c r="T795" s="2" t="s">
        <v>4994</v>
      </c>
      <c r="U795" s="2" t="s">
        <v>4995</v>
      </c>
      <c r="V795" s="2" t="s">
        <v>4996</v>
      </c>
      <c r="W795" s="2" t="s">
        <v>4997</v>
      </c>
      <c r="X795" s="2"/>
      <c r="Y795" s="2"/>
    </row>
    <row r="796" spans="1:25" hidden="1" x14ac:dyDescent="0.2">
      <c r="A796" s="2">
        <v>1428</v>
      </c>
      <c r="B796" s="8" t="s">
        <v>4998</v>
      </c>
      <c r="C796" s="2" t="s">
        <v>4999</v>
      </c>
      <c r="D796" s="3" t="e">
        <f>VLOOKUP(A796,Hebrew!A:C,3,0)</f>
        <v>#N/A</v>
      </c>
      <c r="E796" s="2" t="s">
        <v>5000</v>
      </c>
      <c r="F796" s="3" t="e">
        <f>VLOOKUP($A796,Hebrew!$A:$S,4,0)</f>
        <v>#N/A</v>
      </c>
      <c r="G796" s="2" t="s">
        <v>2141</v>
      </c>
      <c r="H796" s="2" t="s">
        <v>1722</v>
      </c>
      <c r="I796" s="2" t="s">
        <v>1722</v>
      </c>
      <c r="J796" s="2" t="s">
        <v>393</v>
      </c>
      <c r="K796" s="2" t="s">
        <v>589</v>
      </c>
      <c r="L796" s="3" t="e">
        <f>VLOOKUP($A796,Hebrew!$A:$S,9,0)</f>
        <v>#N/A</v>
      </c>
      <c r="M796" s="2" t="s">
        <v>5001</v>
      </c>
      <c r="N796" s="8" t="s">
        <v>5002</v>
      </c>
      <c r="O796" s="2" t="s">
        <v>26</v>
      </c>
      <c r="P796" s="2" t="s">
        <v>71</v>
      </c>
      <c r="Q796" s="3" t="e">
        <f>VLOOKUP($A796,Hebrew!$A:$S,13,0)</f>
        <v>#N/A</v>
      </c>
      <c r="R796" s="2" t="s">
        <v>396</v>
      </c>
      <c r="S796" s="2" t="s">
        <v>397</v>
      </c>
      <c r="T796" s="2" t="s">
        <v>5003</v>
      </c>
      <c r="U796" s="2" t="s">
        <v>43</v>
      </c>
      <c r="V796" s="2" t="s">
        <v>71</v>
      </c>
      <c r="W796" s="2"/>
      <c r="X796" s="2"/>
      <c r="Y796" s="2"/>
    </row>
    <row r="797" spans="1:25" hidden="1" x14ac:dyDescent="0.2">
      <c r="A797" s="2">
        <v>1913</v>
      </c>
      <c r="B797" s="10" t="s">
        <v>5004</v>
      </c>
      <c r="C797" s="2" t="s">
        <v>5005</v>
      </c>
      <c r="D797" s="3" t="e">
        <f>VLOOKUP(A797,Hebrew!A:C,3,0)</f>
        <v>#N/A</v>
      </c>
      <c r="E797" s="2" t="s">
        <v>5006</v>
      </c>
      <c r="F797" s="3" t="e">
        <f>VLOOKUP($A797,Hebrew!$A:$S,4,0)</f>
        <v>#N/A</v>
      </c>
      <c r="G797" s="2" t="s">
        <v>1565</v>
      </c>
      <c r="H797" s="2" t="s">
        <v>2731</v>
      </c>
      <c r="I797" s="2" t="s">
        <v>2528</v>
      </c>
      <c r="J797" s="2" t="s">
        <v>5007</v>
      </c>
      <c r="K797" s="2" t="s">
        <v>5008</v>
      </c>
      <c r="L797" s="3" t="e">
        <f>VLOOKUP($A797,Hebrew!$A:$S,9,0)</f>
        <v>#N/A</v>
      </c>
      <c r="M797" s="2"/>
      <c r="N797" s="2"/>
      <c r="O797" s="2" t="s">
        <v>26</v>
      </c>
      <c r="P797" s="2" t="s">
        <v>357</v>
      </c>
      <c r="Q797" s="3" t="e">
        <f>VLOOKUP($A797,Hebrew!$A:$S,13,0)</f>
        <v>#N/A</v>
      </c>
      <c r="R797" s="2" t="s">
        <v>61</v>
      </c>
      <c r="S797" s="2" t="s">
        <v>5009</v>
      </c>
      <c r="T797" s="2" t="s">
        <v>5010</v>
      </c>
      <c r="U797" s="2" t="s">
        <v>5011</v>
      </c>
      <c r="V797" s="2" t="s">
        <v>357</v>
      </c>
      <c r="W797" s="2"/>
      <c r="X797" s="2"/>
      <c r="Y797" s="2"/>
    </row>
    <row r="798" spans="1:25" hidden="1" x14ac:dyDescent="0.2">
      <c r="A798" s="2">
        <v>2037</v>
      </c>
      <c r="B798" s="10" t="s">
        <v>5012</v>
      </c>
      <c r="C798" s="2" t="s">
        <v>5013</v>
      </c>
      <c r="D798" s="3" t="e">
        <f>VLOOKUP(A798,Hebrew!A:C,3,0)</f>
        <v>#N/A</v>
      </c>
      <c r="E798" s="2" t="s">
        <v>5014</v>
      </c>
      <c r="F798" s="3" t="e">
        <f>VLOOKUP($A798,Hebrew!$A:$S,4,0)</f>
        <v>#N/A</v>
      </c>
      <c r="G798" s="2" t="s">
        <v>5015</v>
      </c>
      <c r="H798" s="2"/>
      <c r="I798" s="2"/>
      <c r="J798" s="2" t="s">
        <v>36</v>
      </c>
      <c r="K798" s="2" t="s">
        <v>5016</v>
      </c>
      <c r="L798" s="3" t="e">
        <f>VLOOKUP($A798,Hebrew!$A:$S,9,0)</f>
        <v>#N/A</v>
      </c>
      <c r="M798" s="2"/>
      <c r="N798" s="2"/>
      <c r="O798" s="2" t="s">
        <v>39</v>
      </c>
      <c r="P798" s="2" t="s">
        <v>461</v>
      </c>
      <c r="Q798" s="3" t="e">
        <f>VLOOKUP($A798,Hebrew!$A:$S,13,0)</f>
        <v>#N/A</v>
      </c>
      <c r="R798" s="2" t="s">
        <v>1215</v>
      </c>
      <c r="S798" s="2" t="s">
        <v>397</v>
      </c>
      <c r="T798" s="2" t="s">
        <v>5017</v>
      </c>
      <c r="U798" s="2" t="s">
        <v>5018</v>
      </c>
      <c r="V798" s="2" t="s">
        <v>5019</v>
      </c>
      <c r="W798" s="2"/>
      <c r="X798" s="2"/>
      <c r="Y798" s="2"/>
    </row>
    <row r="799" spans="1:25" hidden="1" x14ac:dyDescent="0.2">
      <c r="A799" s="2">
        <v>2095</v>
      </c>
      <c r="B799" s="10" t="s">
        <v>5020</v>
      </c>
      <c r="C799" s="2" t="s">
        <v>5021</v>
      </c>
      <c r="D799" s="3" t="e">
        <f>VLOOKUP(A799,Hebrew!A:C,3,0)</f>
        <v>#N/A</v>
      </c>
      <c r="E799" s="2" t="s">
        <v>5022</v>
      </c>
      <c r="F799" s="3" t="e">
        <f>VLOOKUP($A799,Hebrew!$A:$S,4,0)</f>
        <v>#N/A</v>
      </c>
      <c r="G799" s="2" t="s">
        <v>22</v>
      </c>
      <c r="H799" s="2" t="s">
        <v>5023</v>
      </c>
      <c r="I799" s="2" t="s">
        <v>22</v>
      </c>
      <c r="J799" s="2" t="s">
        <v>2831</v>
      </c>
      <c r="K799" s="2" t="s">
        <v>5024</v>
      </c>
      <c r="L799" s="3" t="e">
        <f>VLOOKUP($A799,Hebrew!$A:$S,9,0)</f>
        <v>#N/A</v>
      </c>
      <c r="M799" s="2"/>
      <c r="N799" s="2"/>
      <c r="O799" s="2" t="s">
        <v>26</v>
      </c>
      <c r="P799" s="2" t="s">
        <v>357</v>
      </c>
      <c r="Q799" s="3" t="e">
        <f>VLOOKUP($A799,Hebrew!$A:$S,13,0)</f>
        <v>#N/A</v>
      </c>
      <c r="R799" s="2" t="s">
        <v>1215</v>
      </c>
      <c r="S799" s="2" t="s">
        <v>397</v>
      </c>
      <c r="T799" s="2" t="s">
        <v>5025</v>
      </c>
      <c r="U799" s="2" t="s">
        <v>5026</v>
      </c>
      <c r="V799" s="2" t="s">
        <v>5027</v>
      </c>
      <c r="W799" s="2" t="s">
        <v>5028</v>
      </c>
      <c r="X799" s="2"/>
      <c r="Y799" s="2"/>
    </row>
    <row r="800" spans="1:25" hidden="1" x14ac:dyDescent="0.2">
      <c r="A800" s="2">
        <v>1108</v>
      </c>
      <c r="B800" s="10" t="s">
        <v>5029</v>
      </c>
      <c r="C800" s="2" t="s">
        <v>5030</v>
      </c>
      <c r="D800" s="3" t="e">
        <f>VLOOKUP(A800,Hebrew!A:C,3,0)</f>
        <v>#N/A</v>
      </c>
      <c r="E800" s="2" t="s">
        <v>5031</v>
      </c>
      <c r="F800" s="3" t="e">
        <f>VLOOKUP($A800,Hebrew!$A:$S,4,0)</f>
        <v>#N/A</v>
      </c>
      <c r="G800" s="2" t="s">
        <v>2648</v>
      </c>
      <c r="H800" s="2" t="s">
        <v>2608</v>
      </c>
      <c r="I800" s="2" t="s">
        <v>5032</v>
      </c>
      <c r="J800" s="2" t="s">
        <v>36</v>
      </c>
      <c r="K800" s="2" t="s">
        <v>5033</v>
      </c>
      <c r="L800" s="3" t="e">
        <f>VLOOKUP($A800,Hebrew!$A:$S,9,0)</f>
        <v>#N/A</v>
      </c>
      <c r="M800" s="2"/>
      <c r="N800" s="2"/>
      <c r="O800" s="2" t="s">
        <v>39</v>
      </c>
      <c r="P800" s="2" t="s">
        <v>5034</v>
      </c>
      <c r="Q800" s="3" t="e">
        <f>VLOOKUP($A800,Hebrew!$A:$S,13,0)</f>
        <v>#N/A</v>
      </c>
      <c r="R800" s="2" t="s">
        <v>1215</v>
      </c>
      <c r="S800" s="2" t="s">
        <v>397</v>
      </c>
      <c r="T800" s="2" t="s">
        <v>5035</v>
      </c>
      <c r="U800" s="2" t="s">
        <v>5036</v>
      </c>
      <c r="V800" s="2" t="s">
        <v>5037</v>
      </c>
      <c r="W800" s="2" t="s">
        <v>5038</v>
      </c>
      <c r="X800" s="2"/>
      <c r="Y800" s="2"/>
    </row>
    <row r="801" spans="1:25" hidden="1" x14ac:dyDescent="0.2">
      <c r="A801" s="2">
        <v>681</v>
      </c>
      <c r="B801" s="10" t="s">
        <v>5039</v>
      </c>
      <c r="C801" s="2" t="s">
        <v>5040</v>
      </c>
      <c r="D801" s="3" t="e">
        <f>VLOOKUP(A801,Hebrew!A:C,3,0)</f>
        <v>#N/A</v>
      </c>
      <c r="E801" s="2" t="s">
        <v>5041</v>
      </c>
      <c r="F801" s="3" t="e">
        <f>VLOOKUP($A801,Hebrew!$A:$S,4,0)</f>
        <v>#N/A</v>
      </c>
      <c r="G801" s="2" t="s">
        <v>5042</v>
      </c>
      <c r="H801" s="2" t="s">
        <v>5043</v>
      </c>
      <c r="I801" s="2" t="s">
        <v>5043</v>
      </c>
      <c r="J801" s="2" t="s">
        <v>36</v>
      </c>
      <c r="K801" s="2" t="s">
        <v>5044</v>
      </c>
      <c r="L801" s="3" t="e">
        <f>VLOOKUP($A801,Hebrew!$A:$S,9,0)</f>
        <v>#N/A</v>
      </c>
      <c r="M801" s="2"/>
      <c r="N801" s="2"/>
      <c r="O801" s="2" t="s">
        <v>39</v>
      </c>
      <c r="P801" s="2" t="s">
        <v>27</v>
      </c>
      <c r="Q801" s="3" t="e">
        <f>VLOOKUP($A801,Hebrew!$A:$S,13,0)</f>
        <v>#N/A</v>
      </c>
      <c r="R801" s="2" t="s">
        <v>1215</v>
      </c>
      <c r="S801" s="2" t="s">
        <v>397</v>
      </c>
      <c r="T801" s="2" t="s">
        <v>5045</v>
      </c>
      <c r="U801" s="2" t="s">
        <v>5046</v>
      </c>
      <c r="V801" s="2" t="s">
        <v>5047</v>
      </c>
      <c r="W801" s="2" t="s">
        <v>5048</v>
      </c>
      <c r="X801" s="2"/>
      <c r="Y801" s="2"/>
    </row>
    <row r="802" spans="1:25" hidden="1" x14ac:dyDescent="0.2">
      <c r="A802" s="2">
        <v>1117</v>
      </c>
      <c r="B802" s="10" t="s">
        <v>5049</v>
      </c>
      <c r="C802" s="2" t="s">
        <v>5050</v>
      </c>
      <c r="D802" s="3" t="e">
        <f>VLOOKUP(A802,Hebrew!A:C,3,0)</f>
        <v>#N/A</v>
      </c>
      <c r="E802" s="2" t="s">
        <v>5051</v>
      </c>
      <c r="F802" s="3" t="e">
        <f>VLOOKUP($A802,Hebrew!$A:$S,4,0)</f>
        <v>#N/A</v>
      </c>
      <c r="G802" s="2" t="s">
        <v>1031</v>
      </c>
      <c r="H802" s="2" t="s">
        <v>2714</v>
      </c>
      <c r="I802" s="2" t="s">
        <v>2714</v>
      </c>
      <c r="J802" s="2" t="s">
        <v>69</v>
      </c>
      <c r="K802" s="2" t="s">
        <v>5052</v>
      </c>
      <c r="L802" s="3" t="e">
        <f>VLOOKUP($A802,Hebrew!$A:$S,9,0)</f>
        <v>#N/A</v>
      </c>
      <c r="M802" s="2" t="s">
        <v>5053</v>
      </c>
      <c r="N802" s="2"/>
      <c r="O802" s="2" t="s">
        <v>39</v>
      </c>
      <c r="P802" s="2" t="s">
        <v>5054</v>
      </c>
      <c r="Q802" s="3" t="e">
        <f>VLOOKUP($A802,Hebrew!$A:$S,13,0)</f>
        <v>#N/A</v>
      </c>
      <c r="R802" s="2" t="s">
        <v>1215</v>
      </c>
      <c r="S802" s="2" t="s">
        <v>397</v>
      </c>
      <c r="T802" s="2" t="s">
        <v>5055</v>
      </c>
      <c r="U802" s="2" t="s">
        <v>5056</v>
      </c>
      <c r="V802" s="2" t="s">
        <v>5057</v>
      </c>
      <c r="W802" s="2"/>
      <c r="X802" s="2"/>
      <c r="Y802" s="2"/>
    </row>
    <row r="803" spans="1:25" hidden="1" x14ac:dyDescent="0.2">
      <c r="A803" s="2">
        <v>117</v>
      </c>
      <c r="B803" s="10" t="s">
        <v>5058</v>
      </c>
      <c r="C803" s="2" t="s">
        <v>5059</v>
      </c>
      <c r="D803" s="3" t="e">
        <f>VLOOKUP(A803,Hebrew!A:C,3,0)</f>
        <v>#N/A</v>
      </c>
      <c r="E803" s="2" t="s">
        <v>5060</v>
      </c>
      <c r="F803" s="3" t="e">
        <f>VLOOKUP($A803,Hebrew!$A:$S,4,0)</f>
        <v>#N/A</v>
      </c>
      <c r="G803" s="2" t="s">
        <v>1717</v>
      </c>
      <c r="H803" s="2"/>
      <c r="I803" s="2"/>
      <c r="J803" s="2" t="s">
        <v>36</v>
      </c>
      <c r="K803" s="2" t="s">
        <v>5061</v>
      </c>
      <c r="L803" s="3" t="e">
        <f>VLOOKUP($A803,Hebrew!$A:$S,9,0)</f>
        <v>#N/A</v>
      </c>
      <c r="M803" s="2"/>
      <c r="N803" s="2"/>
      <c r="O803" s="2" t="s">
        <v>39</v>
      </c>
      <c r="P803" s="2" t="s">
        <v>5062</v>
      </c>
      <c r="Q803" s="3" t="e">
        <f>VLOOKUP($A803,Hebrew!$A:$S,13,0)</f>
        <v>#N/A</v>
      </c>
      <c r="R803" s="2" t="s">
        <v>1215</v>
      </c>
      <c r="S803" s="2" t="s">
        <v>2314</v>
      </c>
      <c r="T803" s="2" t="s">
        <v>5063</v>
      </c>
      <c r="U803" s="2" t="s">
        <v>5064</v>
      </c>
      <c r="V803" s="2" t="s">
        <v>5065</v>
      </c>
      <c r="W803" s="2"/>
      <c r="X803" s="2"/>
      <c r="Y803" s="2"/>
    </row>
    <row r="804" spans="1:25" hidden="1" x14ac:dyDescent="0.2">
      <c r="A804" s="2">
        <v>1377</v>
      </c>
      <c r="B804" s="8" t="s">
        <v>5066</v>
      </c>
      <c r="C804" s="2" t="s">
        <v>5067</v>
      </c>
      <c r="D804" s="3" t="e">
        <f>VLOOKUP(A804,Hebrew!A:C,3,0)</f>
        <v>#N/A</v>
      </c>
      <c r="E804" s="2" t="s">
        <v>5068</v>
      </c>
      <c r="F804" s="3" t="e">
        <f>VLOOKUP($A804,Hebrew!$A:$S,4,0)</f>
        <v>#N/A</v>
      </c>
      <c r="G804" s="2" t="s">
        <v>3680</v>
      </c>
      <c r="H804" s="2" t="s">
        <v>3681</v>
      </c>
      <c r="I804" s="2" t="s">
        <v>3681</v>
      </c>
      <c r="J804" s="2" t="s">
        <v>1684</v>
      </c>
      <c r="K804" s="2" t="s">
        <v>5069</v>
      </c>
      <c r="L804" s="3" t="e">
        <f>VLOOKUP($A804,Hebrew!$A:$S,9,0)</f>
        <v>#N/A</v>
      </c>
      <c r="M804" s="2"/>
      <c r="N804" s="2"/>
      <c r="O804" s="2" t="s">
        <v>26</v>
      </c>
      <c r="P804" s="2" t="s">
        <v>60</v>
      </c>
      <c r="Q804" s="3" t="e">
        <f>VLOOKUP($A804,Hebrew!$A:$S,13,0)</f>
        <v>#N/A</v>
      </c>
      <c r="R804" s="2" t="s">
        <v>1215</v>
      </c>
      <c r="S804" s="2" t="s">
        <v>29</v>
      </c>
      <c r="T804" s="2" t="s">
        <v>5070</v>
      </c>
      <c r="U804" s="2" t="s">
        <v>5071</v>
      </c>
      <c r="V804" s="2" t="s">
        <v>5072</v>
      </c>
      <c r="W804" s="2" t="s">
        <v>1460</v>
      </c>
      <c r="X804" s="2"/>
      <c r="Y804" s="2"/>
    </row>
  </sheetData>
  <autoFilter ref="A1:Y804" xr:uid="{E65C30F6-F621-AE4C-9E77-2D56AE8A3368}">
    <filterColumn colId="3">
      <filters>
        <filter val="‘אני כל כך מפחדת, בואו בבקשה’: הינד רג'אב, בת חמש, נמצאה מתה בעזה 12 ימים לאחר הקריאה לעזרה"/>
        <filter val="‘הוא ילד, בחתיכות!’: הסרטון המטריד מעזה שהצית זעם"/>
        <filter val="‘כולם הלכו, אין לי אף אחד’: סיפור של צעירה חושף זוועות שלא תועדו בעבר בעזה"/>
        <filter val="‘סבל כמעט חסר תקדים’ בעזה כאשר האומות המאוחדות אומרות שכמעט 70% מההרוגים הם נשים וילדים"/>
        <filter val="“אנחנו אחראים לזה”: רופאים אמריקאים שחזרו מעזה, קוראים לסיום השתתפות ארה&quot;ב ברצח עם."/>
        <filter val="11 בני משפחתו של העיתונאי חוסאם שבת נהרגו בהתקפה אווירית על מקלט בבית ספר."/>
        <filter val="11 נהרגו בתקיפה על בית הספר אל חוריה, שכונת זיתון, עיר עזה"/>
        <filter val="27 ח&quot;כים ושרים לנתניהו: אמץ את &quot;תכנית הגנרלים&quot; — הכוללת אזור צבאי סגור בצפון עזה"/>
        <filter val="5,500 נשים בעזה עומדות ללדת 'במרוץ נגד המוות'"/>
        <filter val="61 נהרגו בהתקפות צה&quot;ל על עזה מאז הבוקר"/>
        <filter val="66 פלסטינים נהרגו במתקפה ליד בית החולים כמאל עדואן"/>
        <filter val="70 אנשים הודו שהם העמידו פנים שהם קורבנות של ה-7 באוקטובר"/>
        <filter val="CARE מזהירה: 84% מהאורות בעזה כבו, אנשים נשארו חולים ורעבים"/>
        <filter val="CNN מדווחת על המהלך הישראלי ליישב מחדש את רצועת עזה"/>
        <filter val="CNN מודה שהיא מעבירה את כל הסיקור על עזה דרך המשרד שלה בירושלים, אשר נמצא תחת פיקוח של הצנזורה הצבאית הישראלית."/>
        <filter val="OCHA: מסיבת עיתונאים - המצב ההומניטרי בשטחים הכבושים"/>
        <filter val="אדם עם מוגבלות שנעצר על ידי צה&quot;ל מתאר את מעצרו"/>
        <filter val="אדריכלות פורנזית: טיהור אתני בצפון עזה"/>
        <filter val="אוניברסיטת דרקסל מאיימת לפנות את המאהל לאחר שמספר המעצרים הקשורים להפגנות נגד מלחמת ישראל-חמאס חצה את ה-3000."/>
        <filter val="אוסטרליה משיבה את המימון ל-UNRWA ומתחייבת לסיוע נוסף לעזה"/>
        <filter val="אושר בטרומית: המשטרה תוכל לחדור למחשב או לטלפון אישי בלא ידיעת בעליו"/>
        <filter val="אזהרה! אל תזרקו סיגריות דולקות באזור"/>
        <filter val="אזרחים ישראלים חוסמים כניסת סיוע הומניטרי לעזה"/>
        <filter val="אחות מתנדבת אמריקאית חוזרת מעזה עם דיווחים מזעזעים על תנאי בתי החולים בעזה"/>
        <filter val="אחותה הפצועה של עיתונאית מעזה זקוקה לטיפול רפואי בחו&quot;ל"/>
        <filter val="אייפק משתף מאמר שטוען שמספרי הנפגעים של משרד הבריאות בעזה הם &quot;לא אמיתיים&quot;"/>
        <filter val="איך אני שורד את הג'נוסייד נגד עמי"/>
        <filter val="איך אפשר להפציץ בניין על כל יושביו?: בבית לאהיא מחפשים ניצולים במבנה שקרס"/>
        <filter val="איך המלחמה הרסה את השכונות בעזה – חקירה חזותית"/>
        <filter val="איך שיירת מזון בעזה הפכה למטרה ישראלית"/>
        <filter val="אין מילים כדי לתאר את אירועי שבת, 7 באוקטובר"/>
        <filter val="אין ספק שנתניהו מונע עסקת חטופים"/>
        <filter val="אישה מעזה מעידה על עינויים והשפלה בידי חיילי צה&quot;ל"/>
        <filter val="אישה פלסטינית גילתה שהחיילים הישראלים חרטו בסכין מגן דוד על גבו של בעלה לאחר שעינו אותו."/>
        <filter val="אישה פלסטינית עקורה נעצרה, עונתה ונשדדה על ידי חיילי צה&quot;ל."/>
        <filter val="אישה שנעצרה עברה חיפוש בעירום והתעללות פיזית על ידי חיילי צה&quot;ל."/>
        <filter val="איתמר בן-גביר מכריז על כוונה ליישב מחדש את עזה ולפנות אותה מפלסטינים"/>
        <filter val="אלוף בצה&quot;ל קורא להשמדת עזה לחלוטין ולגירוש תושביה."/>
        <filter val="אלוף-משנה בצה&quot;ל תומך בניצחון ישראלי מוחלט בעזה, כולל סיפוח, התנחלויות וגירוש פלסטינים מבתיהם."/>
        <filter val="אם זה לא רצח עם, מה זה?"/>
        <filter val="אמנים המופיעים בפני חיילי צה&quot;ל מחזקים מגמות של הסתה, גזענות ופוליטיקה קיצועית"/>
        <filter val="אנטוניו גוטרש, מזכיר האומות המאוחדות, הוכרז כפרסונה נון גרטה (אישיות בלתי רצויה) על ידי שר החוץ הישראלי."/>
        <filter val="אסיר פלסטיני בן 23 מת במעצר ישראלי."/>
        <filter val="אסירים מושפלים על ידי קבוצת &quot;מועדון ציד חמאס&quot; בתוך צה&quot;ל"/>
        <filter val="ארבע תמונות בשרשור: 1. חייל צה&quot;ל לבוש בבגדים ערביים מסורתיים. 2. חייל מול תמונה בוערת. 3. חייל מחזיק רובה בתחתונים. 4. שני חיילים יושבים על נדנדה."/>
        <filter val="ארבע תמונות של חיילי צה&quot;ל בתנוחות של ניצחון בעזה"/>
        <filter val="אתר &quot;סרוגים&quot; פירסם מאמר שתומך בטרור יהודי נגד פלסטינים"/>
        <filter val="אתר חדשות ישראלי חוגג את מותם של ערבים"/>
        <filter val="בביקור במנהל האזרחי אמר סמוטריץ' כי הוא פועל לסגור אותו: &quot;דיברתי עם נתניהו"/>
        <filter val="בבית לאחיא הנצורה, גופות מרקיבות מפוזרות בין ההריסות"/>
        <filter val="ביבי במלחמה: בנימין נתניהו על המשבר ההיסטורי של ישראל ועל מדיניתו"/>
        <filter val="בית הדין הפלילי הבינלאומי מפרסם את תגובת ישראל לבקשות המעצר"/>
        <filter val="בית החולים אל-נאסר הנתון במצור 'אינו מתפקד', אומר מנהל ארגון הבריאות העולמי."/>
        <filter val="בית החולים כמאל עדואן ומנהלו הפכו לסמל לסבל ולעמידה של הפלסטינים ברצועת עזה"/>
        <filter val="בית משפט אמריקאי קובע כי 'סביר' שהלחימה בעזה נחשבת לרצח עם"/>
        <filter val="בית ספר עולה בלהבות בעקבות חדירת צה&quot;ל"/>
        <filter val="בכיר בליכוד קורא להרג חסר הבחנה של אזרחים ברפיח."/>
        <filter val="בכיר בצוות המו&quot;מ: ראשי מערכת הביטחון מעריכים שנתניהו לא מעוניין לקדם עסקה"/>
        <filter val="בלינקן מהלל את הצלחת המכתב הדורש מישראל לשפר את אספקת הסיוע ההומניטרי לעזה"/>
        <filter val="בלעדי: הערכת המודיעין האמריקאית קובעת כי כמעט חצי מהפצצות הישראלית שנורו על עזה היו &quot;פצצות טיפשות&quot;, לא מדויקות."/>
        <filter val="במחנה הפליטים שועפט לא מאמינים שהרשויות ייכנסו לנעלי אונר&quot;א"/>
        <filter val="במסיבת עיתונאים, Eur-Med מאשר את מעורבותה המלאה של ישראל בטבח הקמח בעזה"/>
        <filter val="בן גביר דורש מהמשטרה לתעדף הריסת מבנים לא חוקיים שמאכלסים משפחות"/>
        <filter val="בן גביר וחשוד בפשע: מתברר שהדמות הדומיננטית במשטרה היא המפקח על שירות בתי הסוהר הישראלי קובי יעקבי."/>
        <filter val="בעקבות השתתפות מורה בגני תקווה במצעד הנכבה, ודרשו תלמידים את פיטוריה."/>
        <filter val="בצלאל סמוטריץ' קורא לשוב לגוש קטיף"/>
        <filter val="בקי אנדרסון מ-CNN על מדיניות &quot;כיסוח הדשא&quot; של ישראל"/>
        <filter val="ברני סנדרס אומר שנתניהו תוקף את ההפגנות בקמפוסים כדי להסיט את הביקורת על המלחמה"/>
        <filter val="ברק רביד דן בהוראות פתיחה באש בצה&quot;ל"/>
        <filter val="בתוך הבסיס שבו ישראל כלאו אלפי תושבי עזה"/>
        <filter val="בתור לאוכל נמחצו למוות אישה ושני ילדים פלסטינים"/>
        <filter val="בתקיפה אווירית נהרגו מהנדסי מים ותשתיות נציגי העירייה שפעלו להחזיר לפעולה את אספקת המים"/>
        <filter val="גבר לובש חולצת טי עם הכיתוב &quot;שיישרף לכם הכפר&quot; במושב משמר השרון"/>
        <filter val="גבר מעזה מחפש את אשתו וילדיו לאחר שנעצרו על ידי צה&quot;ל"/>
        <filter val="גדי קדם, ששישה מבני משפחתו נרצחו ב-7 באוקטובר, הותקף במהלך הפגנה באיילון."/>
        <filter val="גלית דיסטל-אטבריאן בפוסט מזעזע: &quot;ברחתי בצעקות ובגוף רועד&quot;"/>
        <filter val="גני תקווה: מורה לערבית צולמה בהפגנה עם דגלים פלסטיניים, הושעתה עד לסיום חקירה."/>
        <filter val="גרטה טונברג נתקלת בתגובה נגדית על פוסט פרו-פלסטיני"/>
        <filter val="גרפיטי &quot;נכבה 2023&quot; על ידי חיילי צה&quot;ל בעזה"/>
        <filter val="גרפיטי במגרש משחקים בתל אביב: &quot;מחקו את עזה&quot;"/>
        <filter val="דהומנציזציה של הפלסטינים מוצגת על ידי חיילים ישראלים בסרטונים במדיה החברתית"/>
        <filter val="דו&quot;ח אומר כי ישראל לא סיפקה ראיות למיליטנטיות נרחבת בקרב עובדי אונר&quot;א"/>
        <filter val="דו&quot;ח וועדה של מועצת זכויות האדם של האומות המאוחדות מאשים את ישראל וחמאס בפשעי מלחמה"/>
        <filter val="דו&quot;ח חדש של UNDP אומר שחלה נסיגה של כ-69 שנים בהתפתחות עזה"/>
        <filter val="דו&quot;ח חדש של האו&quot;ם: השפעות המלחמה החזירו את ההתפתחות בעזה בלא פחות מ-69 שנים לאחור"/>
        <filter val="דו&quot;ח חדש: הריגת פלסטינים מורעבים, פגיעה במשאיות סיוע היא מדיניות ישראלית מכוונת להשלטת תנאי הרעב ברצועת עזה"/>
        <filter val="דו&quot;ח על עינויים של עצורים פלסטינים מעזה, המבוסס על ראיונות עמם"/>
        <filter val="דובר הליכוד מזהיר את משפחות החטופים מפני קריאה לבחירות"/>
        <filter val="דובר יוניסף מקליט סרטון של עצמו בבית החולים נאסר הריק וחלקית ההרוס לאחר פינויו במרץ 2024"/>
        <filter val="דובר יוניצ&quot;ף מגנה את &quot;הגיהנום על פני האדמה&quot; בעזה"/>
        <filter val="דוגמנית ישראלית קוראת להשמדת אזרחי ישראל vפלסטינים."/>
        <filter val="דוח מד&quot;ר חוסאם אבו ספיה על מקרי המוות בבית החולים כמאל עדואן"/>
        <filter val="דחפור ומחפר הורסים בניינים בעזה"/>
        <filter val="דחפור של צה&quot;ל הורס דוכן ברצועת עזה"/>
        <filter val="דחפור של צה&quot;ל הורס קברים ברצועת עזה"/>
        <filter val="דחפורים ישראליים חופרים ומשמידים את בית הקברות אל-בתיש סמוך לעיר עזה"/>
        <filter val="דחפורים של צה&quot;ל מועכים משאית ומתקנים באזור התעשייה במזרח עזה"/>
        <filter val="דיווח על ההשלכות מעימותים ברצועת עזה ובישראל"/>
        <filter val="דיווח על ההשלכות מעימותים ברצועת עזה ובישראל - יום 175"/>
        <filter val="דיווח על הוצאות להורג בשטח העיר עזה"/>
        <filter val="דיווחים פלסטיניים: צה&quot;ל מגביר את התקיפות על בתי חולים בצפון הרצועה ומפנה בכוח מטופלים"/>
        <filter val="דימויים של חדר מלא במוקשים וחייל מצביע עם רובה שלו מחלון ולועג ללפלסטינים."/>
        <filter val="דמויות ציבוריות ישראליות קוראות לחסום סיוע הומניטרי לעזה"/>
        <filter val="דעה: אני רופא אמריקאי שבא לעזה. ראיתי השמדה, לא מלחמה."/>
        <filter val="דרמה בתל השומר: ישראל מורה להחזיר ילדים פלסטינים הסובלים מסרטן לעזה"/>
        <filter val="האו&quot;ם דן בספקות לגבי מניין ההרוגים בעזה."/>
        <filter val="האו&quot;ם: על ישראל לשאת בשלכות של הפרת הדין הבינלאומי"/>
        <filter val="האומות המאוחדות מפסיקות את כל חלוקת המזון ברפיח לאחר שנגמר המלאי."/>
        <filter val="האם יש רעב בעזה כפי שטוענת ה-WFO?"/>
        <filter val="האם מה שקורה בעזה הוא רצח עם? מומחים מתייחסים לכך"/>
        <filter val="האפרטהייד של ישראל נגד הפלסטינים: מערכת אכזרית של שליטה ופשע נגד האנושות"/>
        <filter val="הבאת מגילת תורה למעבר נצרים"/>
        <filter val="הגנרל הישראלי (מיל.) גיורא איילנד על התוכנית שלו לעזה"/>
        <filter val="הדווחית המיוחדת של האומות המאוחדות: האומות המאוחדות צריכות לשקול להשעות את ישראל בשל 'רצח העם' בפלסטינים."/>
        <filter val="הדמוגרפיה מדברת: הנוער של היום הרבה יותר ימני."/>
        <filter val="ההגנה האזרחית אינה מצליחה לאסוף את הגופות."/>
        <filter val="ההגנה האזרחית בצפון עזה מתמוטטת"/>
        <filter val="הוא לא הבין, הוא היה מפוחד: גבר פלסטיני עם מוגבלות נורה למוות על ידי צה&quot;ל בבית חולים בעזה"/>
        <filter val="הודעה רשמית ממשרד ראש ממשלת ישראל על צווי מעצר של בית הדין הפלילי הבינלאומי"/>
        <filter val="הוצאה להורג במחסום נצרים"/>
        <filter val="הזמנה מטעם הליכוד לאירוע בעוטף הופצה תחת הכותרת &quot;נערכים להתיישב בחבל עזה&quot;"/>
        <filter val="החברה הישראלית XTEND מתגאה בגיוס של 40 מיליון דולר לאחר הצלחתה בתחום הרחפנים."/>
        <filter val="היום ה-100 לרצח העם בעזה: 100,000 פלסטינים הרוגים, נעדרים או פצועים"/>
        <filter val="הכיסוי העולמי של חילוץ ארבעת חטופים חיים אינו מתייחס למאות הפלסטינים שנהרגו במהלך האירוע."/>
        <filter val="הלוויית ד&quot;ר אחמד אל-כלות"/>
        <filter val="המזרח התיכון: סיכום יומי"/>
        <filter val="המיתוס של 'מגינים אנושיים'"/>
        <filter val="המלחמה בעזה: מצרים בונה אזור חיץ כדי לקלוט פליטים פלסטינים, אומרת קבוצת זכויות אדם."/>
        <filter val="המנכ&quot;ל החדש של ערוץ 13: נתחבר דרך בידור והסברה"/>
        <filter val="המשטרה פלשה למטה מפלגת חד&quot;ש בנצרת לפני הפגנת 1 במאי"/>
        <filter val="הספרייה הציבורית המרכזית של עזה נהרסה בהפצצות ישראליות."/>
        <filter val="הסקר של יום אחרי: 44% מהציבור רוצים ליישב מחדש את עזה. 58% תומכים בבחירות חדשות."/>
        <filter val="הפצצה ישראלית כבדה על בית לאהיא (מיקום גיאוגרפי - גיאולוקציה)"/>
        <filter val="הפצצות בבית חנון; קרובי משפחתו של חוסאם שבת לכודים תחת ההריסות"/>
        <filter val="הצבא הישראלי הורס מבנים באוניברסיטת אל-אזהר"/>
        <filter val="הצבא הישראלי הפך את בית החולים ע&quot;ש הידידות הטורקית-פלסטינית לבסיס צבאי ומכין את עצמו לחגוג את סדר פסח בו."/>
        <filter val="הצהרה של הממונה המיוחד של האומות המאוחדות לתהליך השלום במזרח התיכון"/>
        <filter val="הצהרת משה פייגלין על הצורך לכבוש את עזה"/>
        <filter val="הצילומים מראים כוחות ישראליים הורגים פלסטיני שנושא דגל לבן."/>
        <filter val="הקמפיין הצבאי של ישראל הותיר את מערכת הבריאות בעזה קרובה לקריסה."/>
        <filter val="הרווארד לא תנקוט יותר בעמדות בנושאים שאינם משפיעים על 'פונקציות הליבה' שלה."/>
        <filter val="הריגת אזרחים בלתי חמושים על ידי כוחות צה&quot;ל [שרשור]"/>
        <filter val="הריס מציעה תמיכה לישראל אך מדגישה את מצוקתם של הפלסטינים לאחר שיחה עם נתניהו"/>
        <filter val="הריסות של שני בניינים שנהרסו בהפצצה."/>
        <filter val="הרס בית ההוצאה לאור וספריית אל-כלימה, שנשרפו."/>
        <filter val="הרעבה משמשת כאמצעי מלחמה בעזה, אומר בורל"/>
        <filter val="הרצוג גינה את צווי המעצר של בית הדין הפלילי הבינלאומי נגד נתניהו וגלנט"/>
        <filter val="הרציחות השקטות בעזה: חורבן מערכת הבריאות ברפיח [דו&quot;ח]"/>
        <filter val="השקפת העולם של תא&quot;ל ואך ידועה. למרות זאת הופקד על גזרה רגישה בעזה"/>
        <filter val="השר הישראלי עמיחי אליהו: &quot;הם לא בני אדם, הם חיות אדם... לא לכל הסכם שישאיר את הנאצים האלה בשלטון&quot;"/>
        <filter val="התורמים המיליארדים של אוניברסיטת קולומביה שוקלים אם להמשיך להזרים כסף לאוניברסיטה של ליגת הקיסוס."/>
        <filter val="התקפה אווירית על בית שהביאה למותם של כ-50 אזרחים, רובם נשים וילדים."/>
        <filter val="התקפה חזקה ומזעזעת על מקלטים לעקורים בעיר עזה"/>
        <filter val="התקפות חדשות על בית החולים קמאל אדואן"/>
        <filter val="וידאו ברשתות החברתיות של חייל שלועג לבית הרוס."/>
        <filter val="וידאו של חייל צה&quot;ל בתוך בית קפה הרוס"/>
        <filter val="וידאו שמלגלג על פליטים פלסטינים במעבר נצרים"/>
        <filter val="וירוס פוליו מדבק התגלה בדגימות ביוב בעזה"/>
        <filter val="זוכת פרס ישראל בקטגוריית &quot;תקומה וגבורה&quot; מתגלה כאחייניתו של אחד התומכים המרכזיים של נתניהו"/>
        <filter val="זמן רעב"/>
        <filter val="חבר הכנסת מדבר על יישוב מחדש בעזה"/>
        <filter val="חבר הכנסת עופר כסיף מביע שמחה על שחרור החטופים הישראלים ב-8 ביוני 2024 במהלך מבצע צבאי, אך מגנה את &quot;המחיר האנושי המחריד&quot; של המבצע."/>
        <filter val="חברי ממשלת ישראל והקואליציה השלטת קוראים להעברת אוכלוסייה במהלך כנס ליישוב מחדש של עזה"/>
        <filter val="חוסאם שבת מתאר את חייו היומיומיים בצפון עזה"/>
        <filter val="חוסר בהירות לגבי המסרים של צה&quot;ל על אזורי בטיחות בעזה"/>
        <filter val="חוסר בהירות לגבי סיבת המוות של בני הערובה שרמן, בייזר וטולדנו"/>
        <filter val="חוקר רצח עם מאשים את ישראל בביצוע רצח עם"/>
        <filter val="חייל אומר שהיה לו הכבוד לשטח את עזה בשירות ההתנחלות היהודית החדשה שתיבנה מעליה."/>
        <filter val="חייל בצה&quot;ל טוען שהם שרפו אלף ספרים בעזה"/>
        <filter val="חייל ישראלי מצלם כלב אוכל את גופתו של פלסטיני, ואז משבח את הנוף"/>
        <filter val="חייל ישראלי מתייחס למלחמה כמו למשחק וידאו"/>
        <filter val="חייל מעמיד פנים כאילו מסניף קוקאין בבית מגורים פלסטיני ברפיח [שרשור]"/>
        <filter val="חייל מפרסם מספרה בין גופות פלסטיניות."/>
        <filter val="חייל מתגאה בהפצצת אוניברסיטה בעזה."/>
        <filter val="חייל על סוס נדנדה בבית בעזה"/>
        <filter val="חייל צה&quot;ל בבולדוזר צבאי הורס בית"/>
        <filter val="חייל צה&quot;ל בספריית אוניברסיטת אל-אקצא הבוערת"/>
        <filter val="חייל צה&quot;ל בשמלה שנלקחה מדירה ברפיח"/>
        <filter val="חייל צה&quot;ל הציע בפייסבוק למכור סחורה שנבזזה."/>
        <filter val="חייל צה&quot;ל הצית מחסן ברפיח"/>
        <filter val="חייל צה&quot;ל חושף את הישבן שלו בעזה (שרשור)"/>
        <filter val="חייל צה&quot;ל טוען ששרף ושדד ברפיח"/>
        <filter val="חייל צה&quot;ל יורה טיל על בית"/>
        <filter val="חייל צה&quot;ל לובש בגדים של פלסטיני מת/עקור"/>
        <filter val="חייל צה&quot;ל לועג להרס בעזה"/>
        <filter val="חייל צה&quot;ל לועג למעוכב [תוכן נוסף ב-6 ציוצים אחרים]"/>
        <filter val="חייל צה&quot;ל לועג למצב המבולגן וההרס של הבית שבו הוא נמצא"/>
        <filter val="חייל צה&quot;ל מדבר בבדיחות על ביזה."/>
        <filter val="חייל צה&quot;ל מדבר על מבצע &quot;עוז וניר&quot; בח'וּזַ֫אעַה (חִ֫'רְבֶּת אֶחְ'זַ֫אעַה)"/>
        <filter val="חייל צה&quot;ל מדליק שריפה ברפיח"/>
        <filter val="חייל צה&quot;ל מניח הלבשה תחתונה ליד פיו של חייל ישן"/>
        <filter val="חייל צה&quot;ל מנפה קמח שנכנס לעזה כסיוע הומניטרי"/>
        <filter val="חייל צה&quot;ל מעמיד פנים שהוא מציע נישואים"/>
        <filter val="חייל צה&quot;ל מפוצץ בית ברפיח"/>
        <filter val="חייל צה&quot;ל מפרט את הריסת ח'וּזַ֫אעַה (חִ֫'רְבֶּת אֶחְ'זַ֫אעַה) כנקמה, כחלק ממבצע &quot;עוז וניר&quot;"/>
        <filter val="חייל צה&quot;ל מפרסם תמונה של בניין הרוס בעזה כדי לקדם את חברת הנדל&quot;ן שלו בפרופיל באפליקציית היכרויות"/>
        <filter val="חייל צה&quot;ל מפרסם תמונה של עצורים עזתים"/>
        <filter val="חייל צה&quot;ל מצולם בזמן שהוא שורף בית בעיר עזה"/>
        <filter val="חייל צה&quot;ל מצטלם בשמלה פלסטינית מסורתית ומחזיק בשני רובים"/>
        <filter val="חייל צה&quot;ל מציג בית של פלסטינים כמו בתוכנית טלוויזיה"/>
        <filter val="חייל צה&quot;ל מציג גלויה המבזה צעירה פלסטינית"/>
        <filter val="חייל צה&quot;ל מציג נעליים שמצא בבית פלסטיני"/>
        <filter val="חייל צה&quot;ל מציג פריט הלבשה תחתונה [חלק משיחה ארוכה]"/>
        <filter val="חייל צה&quot;ל מציג שכונה הרוסה בעזה כסוכן נדל&quot;ן"/>
        <filter val="חייל צה&quot;ל משגר רימון על בית לשם השעשוע. שרשור על הרס בתים."/>
        <filter val="חייל צה&quot;ל משחית בית בעזה"/>
        <filter val="חייל צה&quot;ל משמיד גיטרה; יחד עם עוד חייל שניהם צוחקים. בתמונה אחרת חייל קורע תמונה."/>
        <filter val="חייל צה&quot;ל משתמש בציוד הנדסי כבד כדי להרוס בית כבדיחה."/>
        <filter val="חייל צה&quot;ל מתלוצץ על שכונה נטושה ומופגזת."/>
        <filter val="חייל צה&quot;ל נותן פקודת ירי לטנק בעוד הוא וחיילים אחרים מעודדים"/>
        <filter val="חייל צה&quot;ל עם הלבשה תחתונה של נשים תלויה על גדר תיל. בתמונה השנייה מופיעים שני חיילים עם חזייה."/>
        <filter val="חייל צה&quot;ל קורא לנכבה נוספת"/>
        <filter val="חייל צה&quot;ל רוקן מחסנית על השכונה מתחתיו ומפרסם את זה באינטרנט"/>
        <filter val="חייל צה&quot;ל שבר תמונה של מסגד אל-אקצא."/>
        <filter val="חייל צה&quot;ל שובר את החלון האחורי של רכב"/>
        <filter val="חייל צה&quot;ל שובר טלוויזיה בתוך בית בעזה"/>
        <filter val="חייל צה&quot;ל שורף עותק של הקוראן"/>
        <filter val="חייל צה&quot;ל שורף עיתון בשפה הערבית"/>
        <filter val="חייל צה&quot;ל תועד משחית רכוש בית ספר בעזה"/>
        <filter val="חייל צוחק על פתיחת חנות נעליים במקום בית שהושמד."/>
        <filter val="חייל צרפתי-ישראלי מצלם את היחידה שלו מתעללת בעצורים"/>
        <filter val="חיילות צה&quot;ל מחייכות תוך צילום סלפי על רקע חורבות עזה."/>
        <filter val="חיילי מילואים יורים מרגמות על שני רכבי שטח ממוגנים באקראי ובצחוק."/>
        <filter val="חיילי מילואים תוקפים נהגי משאיות עזתים העובדים עבור ארגוני סיוע"/>
        <filter val="חיילי צה&quot;ל אוכלים פיצה דונה איטליה בחאן יונס"/>
        <filter val="חיילי צה&quot;ל בוזזים ומשתינים בבית בחאן יונס"/>
        <filter val="חיילי צה&quot;ל בוזזים כסף"/>
        <filter val="חיילי צה&quot;ל בוזזים כסף בעיר עזה"/>
        <filter val="חיילי צה&quot;ל בחאן יונס מציגים הלבשה תחתונה השייכת לאישה עזתית שנהרגה או נעקרה מביתה"/>
        <filter val="חיילי צה&quot;ל במדים מצהירים שהמשימה שלהם היא לכבוש, לפנות ולהתיישב בעזה"/>
        <filter val="חיילי צה&quot;ל במדים מצולמים מודים שהם נלחמים בעזה כדי &quot;לחזור&quot; ולבנות התנחלויות."/>
        <filter val="חיילי צה&quot;ל במספרה בעזה, מתבדחים ומתחזים ללקוחות במספרה"/>
        <filter val="חיילי צה&quot;ל בתוך בית בעזה, מציגים הלבשה תחתונה נשית כגילוי של &quot;נשק&quot;"/>
        <filter val="חיילי צה&quot;ל דורכים על דגל פלסטין במהלך מפגש חברתי"/>
        <filter val="חיילי צה&quot;ל הופכים עיתונאים למטרות"/>
        <filter val="חיילי צה&quot;ל הפכו מסגד למפקדה צבאית"/>
        <filter val="חיילי צה&quot;ל חוגגים הריסת בתים פלסטיניים."/>
        <filter val="חיילי צה&quot;ל יורים טיל על בית אקראי"/>
        <filter val="חיילי צה&quot;ל יורים טילים על בתים אקראיים"/>
        <filter val="חיילי צה&quot;ל לבושים בתחתוני נשים פלסטיניות"/>
        <filter val="חיילי צה&quot;ל לובשים את בגדים תחתונים של נשים מעזה"/>
        <filter val="חיילי צה&quot;ל לובשים חיג'אב שנבזז"/>
        <filter val="חיילי צה&quot;ל לועגים לבית חולים הרוס"/>
        <filter val="חיילי צה&quot;ל לועגים למעוכבים פלסטינים עם כיסוי עיניים"/>
        <filter val="חיילי צה&quot;ל לכאורה קשרו את רגליו של פלסטיני שנהרג וגררו את גופתו במחנה הפליטים טול כרם."/>
        <filter val="חיילי צה&quot;ל מחללים מסגד בגרפיטי ובזבל"/>
        <filter val="חיילי צה&quot;ל מפוצצים בניין מגורים"/>
        <filter val="חיילי צה&quot;ל מפוצצים מסגד"/>
        <filter val="חיילי צה&quot;ל מפרסמים ברשתות החברתיות"/>
        <filter val="חיילי צה&quot;ל מפרסמים סרטון מלגלג במספרה הרוסה"/>
        <filter val="חיילי צה&quot;ל מפרסמים קליפים ברשתות החברתיות מעזה"/>
        <filter val="חיילי צה&quot;ל מצטלמים בזמן שהם לובשים בגדי נשים פלסטיניות בבית בעזה"/>
        <filter val="חיילי צה&quot;ל מצטלמים בתוך מסגד שהציתו"/>
        <filter val="חיילי צה&quot;ל מצטלמים מול בתים שהוצתו בעיר עזה (4 מקרים)"/>
        <filter val="חיילי צה&quot;ל מצטלמים עם הלבשה תחתונה בעזה"/>
        <filter val="חיילי צה&quot;ל מציגים פריטים אינטימיים בחדר השינה של אישה מעזה [חלק משרשור ארוך]"/>
        <filter val="חיילי צה&quot;ל מציגים תחתונים של נשים עקורות."/>
        <filter val="חיילי צה&quot;ל מצלמים בתוך ומסביב לבית משפחה"/>
        <filter val="חיילי צה&quot;ל מקיימים טקס הכנסת ספר תורה לבית נטוש כלשהו ברצועת עזה."/>
        <filter val="חיילי צה&quot;ל מראים עצור פלסטיני מאוד צעיר"/>
        <filter val="חיילי צה&quot;ל מריעים בזמן שהם צופים בבניין מתפוצץ"/>
        <filter val="חיילי צה&quot;ל משחיתים את הקוראן, ומשתפים את הסרטונים ברשת"/>
        <filter val="חיילי צה&quot;ל משחקים תפקידים במסעדה פלסטינית הרוסה"/>
        <filter val="חיילי צה&quot;ל משליכים אוכל על בניין בעזה"/>
        <filter val="חיילי צה&quot;ל משפילים שלושה עזתים מכוסי עיניים"/>
        <filter val="חיילי צה&quot;ל משתמשים ברכב כבד כדי להפוך משאית על צידה"/>
        <filter val="חיילי צה&quot;ל מתבדחים בתוך בית ספר הרוס"/>
        <filter val="חיילי צה&quot;ל מתבדחים ומתגאים במהלך הריסת בית פלסטיני"/>
        <filter val="חיילי צה&quot;ל מתהדרים בצעצועים גנובים של ילדים פלסטינים"/>
        <filter val="חיילי צה&quot;ל מתכוננים לפוצץ מסגד עם מוקשים (שרשור)"/>
        <filter val="חיילי צה&quot;ל נראים משחקים, ישנים ומצטלמים בבתים בעזה. תוכן נוסף בשרשור מראה חיילים הורסים בתים ומבעירים אותם."/>
        <filter val="חיילי צה&quot;ל פולשים לבית של משפחה פלסטינית עקורה"/>
        <filter val="חיילי צה&quot;ל פושטים על בתים, יורים ומפוצצים בניינים מגורים"/>
        <filter val="חיילי צה&quot;ל צוחקים על שריפת עזה"/>
        <filter val="חיילי צה&quot;ל קוראים קריאות עידוד בזמן שהם מפוצצים בניינים בחאן יונס"/>
        <filter val="חיילי צה&quot;ל שורפים את גג בניין מגורים, מצולמים מלמטה"/>
        <filter val="חיילי צה&quot;ל תולים מודעות פוליטיות ומציירים גרפיטי בחאן יונס"/>
        <filter val="חיילי צה&quot;ל תופסים בית בעזה וצוחקים על כך"/>
        <filter val="חיילים יורים ללא אבחנה בעת הקראת מגילת אסתר בפורים."/>
        <filter val="חיילים ישראלים קוראים את מגילת אסתר בבית החולים שיפא בעזה"/>
        <filter val="חיילים לועגים להרס בבניין שגם הוצת."/>
        <filter val="חיילים לועגים לרכוש פלסטיני"/>
        <filter val="חיילים מצהירים על כוונתם להשמיד את עזה"/>
        <filter val="חיילים מציגים הלבשה תחתונה ואביזרים של נשים מעזה (6 תמונות)"/>
        <filter val="חיילים משמידים את ח'וזעה במשך שבועיים"/>
        <filter val="חיילים, רובם ללא חולצות, רוקדים תוך כדי לעג לעצורים מעזה ולעג לדבקה הפלסטינית."/>
        <filter val="חמאס אינם לוחמי חירות | מו&quot;ל &quot;הארץ&quot; מבהיר את דבריו, ממשלת נתניהו מאיימת להטיל סנקציות על העיתון"/>
        <filter val="חמאס מציע עסקה: החטופים ישוחררו לאחר הפסקת אש של שישה שבועות"/>
        <filter val="חצי מהתושבים בעזה בסיכון לרעב, מזהיר האו&quot;ם"/>
        <filter val="חקירת מותם של שני עצירים מהרצועה מעלה כי חיילים הכו אותם בדרכם למתקן שדה תימן"/>
        <filter val="טבח במחנה הפליטים ג'בליה"/>
        <filter val="טבח: עשרות נהרגו מירי ישראלי בעזה בזמן שאספו סיוע מזון"/>
        <filter val="טייקוני עסקים לחצו באופן פרטי על ראש עיריית ניו יורק להשתמש במשטרה נגד המפגינים בקולומביה"/>
        <filter val="טנק של צה&quot;ל דורס רכב בעזה"/>
        <filter val="טנק של צה&quot;ל נכנס לרצועת עזה, חוצה את מעבר רפיח למצרים ויורה באקראי."/>
        <filter val="טענות צה&quot;ל על סיוע הנכנס לעזה סותרות את דיווחי העיתונאים הפלסטינים"/>
        <filter val="יאיר גולן מגנה את החלטת בית הדין הפלילי הבינלאומי להוציא צווי מעצר נגד נתניהו וגלנט"/>
        <filter val="יהודים אמריקאים: מעל 51% תומכים בהחלטת ביידן לעצור את אספקת הנשק לישראל - סקר"/>
        <filter val="יואב גלנט מגיב לבקשה למעצרו מטעם בית הדין הבינלאומי"/>
        <filter val="יועצת של שרה נתניהו תומכת בעינויים של תושבי עזה המעורבים ברצח ישראלים."/>
        <filter val="יותר מ-100 אתרי מורשת בעזה נפגעו או נהרסו על ידי התקפות ישראליות"/>
        <filter val="יותר מ-50 ילדים בין 84 פלסטינים שנהרגו בשני תקיפות ישראליות בצפון עזה"/>
        <filter val="יותר מ-95% מהאסירים בבתי חולים בישראל אזוקים במהלך טיפול רפואי"/>
        <filter val="ילד פלסטיני עונה במעצר של צה&quot;ל"/>
        <filter val="ילדי עזה החלו את שנת הלימודים בתוך חורבן, אובדן ואי ודאות"/>
        <filter val="ירידה בשיעור הנשים והילדים הפלסטינים שנהרגו ככל שמספר ההרוגים הכללי במלחמה עולה."/>
        <filter val="ישראל בונה מגדלי שמירה ומוצבים בעזה כסימן לשאיפות לאחר המלחמה"/>
        <filter val="ישראל הואשמה בפשעי מלחמה נגד האנושות בעקבות גירוש כפוי בעזה"/>
        <filter val="ישראל התחייבה לאפשר קיום עבודות לשיקום הרצועה בתחילת השלב הראשון של העסקה"/>
        <filter val="ישראל יכולה לנטר כל שיחת טלפון בגדה המערבית ובעזה, אומר מקור מודיעיני"/>
        <filter val="ישראל מונעת הכנסת מים לעזה"/>
        <filter val="ישראל מנסה להוציא את אונר&quot;א מרצועת עזה מבלי למצוא תחליף."/>
        <filter val="ישראל מפנה אזרחים מהמחסה האחרון בצפון עזה"/>
        <filter val="ישראל סייעה לקצין מילואים בצה&quot;ל לברוח מקפריסין נוכח חקירת פשעי מלחמה"/>
        <filter val="ישראל עוצרת את גירוש המטופלים מעזה חזרה לעזה בעקבות ערעור של ארגון 'רופאים לזכויות אדם'."/>
        <filter val="ישראל תוקפת את אמנסטי על הממצאים שלה לגבי 'פשעי מלחמה, מכל הצדדים' ומכנה זאת 'אנטישמיות'"/>
        <filter val="ישראל/השטחים הכבושים: עלייה במקרי עינויים והשפלות של עצורים פלסטינים על רקע עלייה במעצרים שרירותיים"/>
        <filter val="ישראל/השטחים הכבושים: ראיות חדשות למתקפות לא-חוקיות של ישראל בעזה הגורמות נפגעים אזרחיים רבים תוך סיכון ממשי לרצח עם."/>
        <filter val="ישראל/השטחים הכבושים: שנה לאחר ה-7 באוקטובר, הצורך בהפסקת אש ושחרור בני ערובה דחוף יותר מאי פעם."/>
        <filter val="ישראל/השטחים הכבושים: תחמושת אמריקאית הרגה 43 אזרחים בשני תקיפות אוויריות ישראליות מתועדות בעזה – תחקיר חדש."/>
        <filter val="ישראלים אומרים שהגיע הזמן שהאחראים על ה-7 באוקטובר יתפטרו."/>
        <filter val="ישראלים ברשתות החברתיות לועגים למותם של שלושה מבני משפחה פלסטינית-ישראלית בתאונת דרכים [שרשור]"/>
        <filter val="כ-4,000 פלסטינים הועברו ממקום מגוריהם בגדה המערבית בשנת 2023"/>
        <filter val="כוחות ישראליים הרסו חלקים מבית הקברות אל-פלוג'ה בצפון עזה"/>
        <filter val="כוחות ישראליים מפנים בית ספר זמן קצר לאחר שהסיוע הועבר אליו (מיקום גיאוגרפי - גיאולוקציה)"/>
        <filter val="כותרת ה-NYT מטשטשת את האשמה של ישראל בטבח הקמח"/>
        <filter val="כותרת ה-NYT מפחיתה בחומרת &quot;טבח הקמח&quot; של רעבים בעזה"/>
        <filter val="כל האוכלוסייה בצפון עזה בסיכון למות': פקיד סיוע של האומות המאוחדות"/>
        <filter val="כמה פקידים אמריקאים, ישראלים וערבים רואים את מוחמד דחלאן הפלסטיני כמנהיג אפשרי של כוח ביטחון זמני אחרי המלחמה."/>
        <filter val="כנס היסטוריונים מגנה את השמדת הידע והחינוך בעזה"/>
        <filter val="כריזת צה&quot;ל לפינוי רופאים, צפון עזה."/>
        <filter val="לא מראים את עזה: גדעון לוי על כך שהעיתונות הישראלית אינה מסקרת את המחיר האמיתי של המלחמה"/>
        <filter val="לאחר ההערות שלה ביפן, נועה ארגמני מבהירה: &quot;דברים הוצאו מהקשרם. אני לא אהיה קורבן גם של התקשורת.&quot;"/>
        <filter val="לדעת מומחים צפוי רעב בצפון עזה."/>
        <filter val="להרוס את השליח: כך החריבה ישראל את מתקני העיתונות בעזה"/>
        <filter val="לוחמת בלתי חוקית מעזה, אישה בת 82 חולת אלצהיימר, נכלאה בישראל במשך כחודשיים."/>
        <filter val="לילה עם יחידת רפאים של צה&quot;ל, שנלחמת ברצועה כבר שמונה חודשים"/>
        <filter val="לעיתים ניתחתי ללא חומרי הרדמה': עדות מצמררת של מנתח בריטי מעזה"/>
        <filter val="לפחות 12 פלסטינים טבעו בניסיון להוציא חבילות סיוע שהוטלו לים"/>
        <filter val="לפחות 16 בתי קברות בעזה הושחתו על ידי כוחות ישראליים, מגלים תמונות לוויין וסרטונים."/>
        <filter val="לפי הערכת ה-CIA נתניהו צפוי להתנגד ללחץ האמריקאי לקבוע תוכנית עבור עזה אחר המלחמה."/>
        <filter val="לפי מפקד בכיר בצה&quot;ל, ההתקפה על עיירה בעזה בוצעה כנקמה."/>
        <filter val="מאות עצורים פלסטינים בחצר בית ספר בעזה"/>
        <filter val="מאז פרוץ המלחמה נעצרו כ-4000 תושבי עזה, מתוכם 1500 שוחררו מחוסר ראיות."/>
        <filter val="מאי גולן חוגגת את חורבן עזה, מעדיפה נקמה על פני שלום, דוחה את רעיון המדינה הפלסטינית."/>
        <filter val="מגישי רדיו רוקדים לשיר מאולתר שמזלזל באבל על 50 פלסטינים שנהרגו במהלך מבצע חילוץ בני ערובה"/>
        <filter val="מדוע נחשבים הנתונים שמספק משרד הבריאות הפלסטיני בעזה לגבי מספר המתים אמינים?"/>
        <filter val="מה אפשר לדעת על שני החטופים שישראל חילצה מרפיח"/>
        <filter val="מזה 21 ימים לא נכנס סיוע לצפון עזה"/>
        <filter val="מזכ&quot;ל האו&quot;ם אנטוניו גוטרש מגנה את מלחמת ישראל על עזה"/>
        <filter val="מחלקת המדינה של ארצות הברית זייפה דוח שפוטר את ישראל מאשמה בעניין הסיוע ההומניטרי לעזה"/>
        <filter val="מחקר גילה שכמעט כל ההפגנות בקמפוסים בנושא עזה בארצות הברית לא היו אלימות."/>
        <filter val="מיליארדרים דנים במבצע תקשורת נגד חמאס בשווי 50 מיליון דולר"/>
        <filter val="מכון המעקב Euro-Med שולח לדווחים מטעם האומות המאוחדות ולתובע של בית הדין הפלילי הבינלאומי דוח המתעד עשרות מקרים של הוצאות להורג בשטח בעזה."/>
        <filter val="מכתב 99 רופאים שהתנדבו לשרת בעזה לנשיא ארה&quot;ב ביידן ולסגניתו האריס"/>
        <filter val="מלחמת ישראל-עזה: תוכנית המזון העולמית מפסיקה את המשלוחים לצפון עזה"/>
        <filter val="ממשלת נתניהו לא סתם מאפשרת את הטרור היהודי בגדה. היא מממנת אותו. תחקיר"/>
        <filter val="מנהל בית החולים אל-אהלי הבפטיסטי מדבר על המצב הבריאותי בעזה"/>
        <filter val="מנהל בית החולים קמאל עדואן, ד&quot;ר חוסאם אבו ספיה הפצוע, מדבר ממיטתו בבית החולים שלו כחלק ממחאה נגד התקפות על מערכת הבריאות."/>
        <filter val="מנהל בית החולים קמאל עדואן, ד&quot;ר חוסאם אבו ספיה, זקוק לטיפול דחוף לאחר פציעתו."/>
        <filter val="מנהל בית החולים קמאל עדואן, ד&quot;ר חוסאם אבו ספיה, נפצע במתקפה על בית החולים."/>
        <filter val="מספר ההרוגים בעזה חצה כעת את 30,000. הנה הסיבה שזהו מספר חלקי."/>
        <filter val="מעצר המוני של פלסטינים על ידי צה&quot;ל"/>
        <filter val="מעצר של אזרחית פלסטינית בישראל לאחר פוסט ברשתות החברתיות המביע סולידריות ועצב בעקבות הטבח ברפיח"/>
        <filter val="מפקד בכיר בצה&quot;ל קורא לנתק חשמל, מים, סיוע הומניטרי לעזה תוך מניעת גישה לתקשורת"/>
        <filter val="מפקד צה&quot;ל נותן נאום מוטיבציה לחייליו לפני הכניסה לרפיח"/>
        <filter val="מפקד צה&quot;ל קורא לרצח חסר הבחנה של פלסטינים בעזה, בגדה המערבית ובלבנון"/>
        <filter val="מצעד המוות מבית לאהיא"/>
        <filter val="משבר בבית החולים כמאל עדואן במהלך מבצע צבאי בסוף 2024 בצפון עזה"/>
        <filter val="משפחה בת 11 נפשות נהרגה בהתקפה על בית הספר שחביר"/>
        <filter val="משפחה שנאלצה בעקבות הנסיבות לעזוב את האוהל ולחפש מקלט בדירה שכורה"/>
        <filter val="משפחות החטופים: נתניהו הוא המכשול למשא ומתן, נפעל להחליפו"/>
        <filter val="משפחות פלסטיניות נכנעות לרחפן צהל&quot;י בתוך בית בעזה"/>
        <filter val="משרד החוץ של ארצות הברית מפרסם רשימה של השינויים שישראל ערכה מאז שארצות הברית דרשה להגדיל את הסיוע ההומניטרי לעזה, כאשר נותר פחות משבוע עד המועד האחרון."/>
        <filter val="משרד החוץ של ישראל קונה פרסומת ברשתות החברתיות: &quot;אין אזרחים בעזה&quot;"/>
        <filter val="משרד החינוך קרא לבתי הספר לערוך הרקדות ומשלוחי מנות לתלמידים עקב חיסול נסראללה"/>
        <filter val="מתנחלים ישראלים נכנסים לעזה עם טרקטורים"/>
        <filter val="מתנחלים ישראלים עזבו את עזה ב-2005. עכשיו הם רואים הזדמנות לחזור."/>
        <filter val="מתפשטת הסכמה כי ישראל מבצעת רצח עם בעזה"/>
        <filter val="ניסיון הכפשה נגד העיתונאי הפלסטיני יוניס טיראווי."/>
        <filter val="נציבות האו&quot;ם לזכויות האדם מודאגות מאוד מהצהרות של בכירים ישראלים על תוכניות להעברת אזרחים מעזה למדינות שלישיות"/>
        <filter val="נציג יוניסף מדווח על 'השמדה מוחלטת' לאחר שנסע לאורך עזה"/>
        <filter val="נשיאת אוניברסיטת קולומביה מעידה בחקירה בנושא אנטישמיות בבית הנבחרים"/>
        <filter val="נתניהו מבטיח להילחם בסנקציות האמריקאיות על יחידת צה&quot;ל המואשמת בהפרות בגדה המערבית"/>
        <filter val="נתניהו מציע 5 מיליון דולר עבור כל חטוף שישוחרר"/>
        <filter val="סגן אלוף סיפר לערוץ 14 על רצח תינוקות וניצולת שואה בבארי — אירועים שמעולם לא התרחשו."/>
        <filter val="סגן מנהל רשות העתיקות בישראל בודק עתיקות בעזה"/>
        <filter val="סגן ראש העיר ירושלים נחקר בחשד להסתה לטרור לאחר שפרסם פוסטים נגד אונר&quot;א"/>
        <filter val="סוכנויות האו&quot;ם אומרות שיותר ממיליון מתושבי עזה עלולים לחוות את רמת הרעב הגבוהה ביותר עד אמצע יולי."/>
        <filter val="סוכנות המזון של האומות המאוחדות מזהירה כי המסלול הימי החדש של ארצות הברית לסיוע לעזה עלול להיכשל אם התנאים לא ישתפרו."/>
        <filter val="סטודנטים ואנשי סגל במכללות מחפשים מרחב לדעות מורכבות על מלחמת ישראל-חמאס בקמפוסים המפולגים עמוקות."/>
        <filter val="סיקור אל ג'זירה על התקפה כפולה ישראלית שהביאה לפציעתו של העיתונאי חוסאם שבט. בסרטון מצויין כי ישראל הרגה 188 עיתונאים."/>
        <filter val="סיקור העיתונים הישראלים על הודעת חמאס בנוגע למספר ההרוגים במבצע חילוץ חטופים"/>
        <filter val="סכנה חמורה לרעב בצפון עזה, דוח חדש מזהיר"/>
        <filter val="סמוטריץ' מתאר את אזרחי עזה כנאצים וקורא להטיל שלטון צבאי בעזה."/>
        <filter val="סמוטריץ': &quot;אין חצי עבודה... רפיח, דיר אל-בלאח, נוסייראת - השמדה מוחלטת&quot;"/>
        <filter val="סמוטריץ': אנחנו כבר שנה כובשים את עזה, ניקח להם קרקע שנוכל לסחור בה"/>
        <filter val="ספירת מעטפות כפולות: מרצ מתרחקת יותר מאחוז החסימה, מפלגת הציונות הדתית מתחזקת"/>
        <filter val="סקיי ניוז מדווח על טיהור אתני בצפון עזה"/>
        <filter val="סקר דצמבר 2023: רק 15% מהציבור חושבים שנתניהו הוא ראש הממשלה המתאים ביותר לתפקיד לאחר סיום המלחמה"/>
        <filter val="סקר דצמבר 2024: רוב הציבור (57.5%) תומך בעסקה כוללת לשחרור כול החטופים בתמורה לסיום המלחמה"/>
        <filter val="סקר יולי 2024: שיא של שני שלישים מהישראלים מגדירים את המצב הכללי כרע או רע מאוד"/>
        <filter val="סקר יוני 2024: כמעט 80% מהציבור היהודי, כולל רוב מצביעי הליכוד, תומכים בגיוס כללי או מדורג של חרדים"/>
        <filter val="סקר מאי 2024: הערכה כללית נמוכה של ביצועי הממשלה מאז 7.10 בניהול הלחימה בצפון ובדרום, ביחסי ציבור ובטיפול במפונים"/>
        <filter val="סקר מהיר: מבצע &quot;חיצי הצפון&quot; - ממצאים עיקריים"/>
        <filter val="סקר מצביע על כך שרוב הישראלים תומכים בסיום הסכסוך בעזה באמצעים דיפלומטיים"/>
        <filter val="סקר מראה כי יותר משליש מהאמריקאים מאמינים שישראל מבצעת רצח עם"/>
        <filter val="סקר ספטמבר 2024: יום השנה הראשון לאירועים של 7 באוקטובר ולמלחמה בעזה"/>
        <filter val="סקר על ההפרות השיטתיות של ישראל את החוק ההומניטרי הבינלאומי"/>
        <filter val="סקר פברואר 2024: 70% מהיהודים תומכים בשינוי הפטור לחרדים בחוק הגיוס החדש"/>
        <filter val="סקר: חצי מהציבור הישראלי רואה סיכוי נמוך לניצחון מוחלט על חמאס"/>
        <filter val="סקר: ניגוד בין העמדות של הישראלים לממשלת ארצות הברית"/>
        <filter val="סקר: רוב האמריקאים אומרים שביידן צריך להפסיק את משלוחי הנשק לישראל"/>
        <filter val="סרבנות שקטה ומושתקת: לוחמים בסדיר לא מוכנים יותר להמשיך להילחם"/>
        <filter val="סרטון שצולם מרכב משוריין ישראלי המראה דגלים ישראליים לאורך רחוב אל-רשיד בעזה"/>
        <filter val="עדויות מרופאים שהתנדבו בבתי חולים בעזה"/>
        <filter val="עדויות של מנהלי משא ומתן על מצב חטופים"/>
        <filter val="עדויות של עצורים פלסטינים בישראל (שרשור)"/>
        <filter val="עדות מבית החולים קמאל אדואן תחת הפצצות כבדות"/>
        <filter val="עדות של פלסטיני בן 14 שנעצר, הוכה ועונה על ידי צה&quot;ל"/>
        <filter val="עדכון מבית החולים קמאל אדואן, צפון עזה"/>
        <filter val="עדכונים על התקפות צה&quot;ל על עזה 25 באוקטובר 2024"/>
        <filter val="עובדי CNN אומרים שהנטייה הפרו-ישראלית של הרשת מהווה 'רשלנות עיתונאית'"/>
        <filter val="עובדי CNN, כולל כריסטיאן אמנפור, התעמתו עם מנהלי CNN בנושא &quot;סטנדרטים כפולים&quot; בסיקור מלחמת עזה"/>
        <filter val="עזה: &quot;הכלא הפתוח&quot; של ישראל לאחר 15 שנים"/>
        <filter val="עזה: ישראל הפילה מאות פצצות במשקל טון, מראה ניתוח"/>
        <filter val="עזה: קמפיין חיסון נגד פוליו מגיע ל-94,000 ילדים בצפון הנצור"/>
        <filter val="עזה: תקיפה ישראלית שהביאה למותם של 106 אזרחים - פשע מלחמה לכאורה"/>
        <filter val="עזתים מחרימים שווקים מקומיים בשל הפקעת מחירים"/>
        <filter val="עינויים וכפיה לשמש כמגן אנושי בידי צה&quot;ל"/>
        <filter val="עינויים פיזיים ופסיכולוגיים של נשים וגברים פלסטיניים במעצר."/>
        <filter val="עיתונאי ישראלי אומר בשידור שכל תושבי עזה ראויים למוות"/>
        <filter val="עיתונאי מספר על כאב הניתוק משפחתו ועל תנאי חייהם הקשים בעיצומה של מלחמה"/>
        <filter val="עיתונאי מעזה מדווח מבית ספר שהופצץ, ששימש מחסה למפונים"/>
        <filter val="עיתונאי מעזה משקף כיצד חבר משפחה איבד הכל במהלך המלחמה."/>
        <filter val="עיתונאי מעזה מתאר כיצד הוא חי"/>
        <filter val="עיתונאי מעזה שאך זה איבד את משפחתו עד לטבח נוסף"/>
        <filter val="עיתונאית ערוץ 13: ישנה הוראה לא להראות לציבור בישראל צילומי תוצאות ההפצצות בעזה"/>
        <filter val="עיתונאית ערוץ 14 שיתפה מחדש ציוץ של חייל מילואים בצה&quot;ל שחוגג שרפה של בית ברפיח"/>
        <filter val="על פי דו&quot;ח קולונה, ישראל עדיין לא סיפקה ראיות לקשרים של אנשי צוות אונר&quot;א עם טרור."/>
        <filter val="עלון פרסום לכנס גדול שמעודד כיבוש והתנחלות ברצועת עזה"/>
        <filter val="עצור משוחרר מתאר מכות אכזריות מחיילי צה&quot;ל"/>
        <filter val="עצור פלסטיני הוכרז מת."/>
        <filter val="עצור פלסטיני שהשתחרר מתאר עינויים, תנאי מעצר קשים"/>
        <filter val="עציר פלסטיני מתאר התעללות פיזית ונפשית על ידי צה&quot;ל"/>
        <filter val="עצירה פלסטינית משוחררת נותנת את עדותה"/>
        <filter val="ערוץ טלגרם ישראלי פופולרי לועג לילד פלסטיני שמת מרעב."/>
        <filter val="עשרות ישראלים מגיבים ברשתות החברתיות לחדשות על משפחה פלסטינית-ישראלית שנהרגה בתאונת דרכים"/>
        <filter val="פוליטיקאי בכיר וקצין צה&quot;ל מודה כי הורה על שריפת בתים בעזה."/>
        <filter val="פוסטים ברשתות החברתיות מציגים עצורים פלסטינים עם כיסוי עיניים וכפותים."/>
        <filter val="פיזור אלים של הפגנה קטנה לזכר פייסל חוסייני, בהשתתפות ח&quot;כ טיבי"/>
        <filter val="פינוי חולים קריטיים מבית החולים קמאל אדואן"/>
        <filter val="פלסטיני נהרג במהלך מהומות מתנחלים ישראלים בגדה המערבית, אחרים נפצעו במהלך הפרעות."/>
        <filter val="פלסטיני שהמיר את דתו ליהדות נורה למוות על ידי חיילי מילואים בגוש עציון"/>
        <filter val="פלסטינים שנעצרו נאלצים לשיר נגד חמאס"/>
        <filter val="פסימיות בנוגע ל'יום שאחרי' מלחמת עזה נפוצה בקרב חוקרי המזרח התיכון"/>
        <filter val="פעילים ימניים חוגגים בזמן שהם חוסמים סיוע לעזה."/>
        <filter val="פעילים ישראלים מתעמתים עם אזרחים ישראלים החוסמים סיוע הומניטרי לעזה"/>
        <filter val="פעילים ישראלים נעצרו על צביעת כביש בירושלים לפני שנה וחצי"/>
        <filter val="פקיד אמריקאי האשים את ישראל בהטרדה מינית של נשים פלסטיניות."/>
        <filter val="פקיד בכיר בארה&quot;ב מאשר: &quot;משלוח הנשק הוקפא כדי להעביר מסר של התנגדות לפעולה צבאית ברפיח&quot;"/>
        <filter val="פקידים שונים באומות המאוחדות מזהירים מפני השמדת עזה, אך ארצות הברית מסיטה את מבטה."/>
        <filter val="פרופסור ב-UCLA: למה ההנהלה לא עצרה את האלימות החמורה של הלילה שעבר?"/>
        <filter val="פרופסור למשפטים מנתח את תגובת ישראל לבית הדין הפלילי הבינלאומי"/>
        <filter val="פרופסור מאוניברסיטת תל אביב האשים את ישראל בפשעי מלחמה"/>
        <filter val="פרשן ישראלי דן באיומים של ארה&quot;ב להטיל אמברגו על נשק בעקבות הסנקציות על סיוע לעזה, בעוד פוליטיקאים ישראלים מקדמים תוכניות להתיישבות ברצועת עזה ולגרש תושביה."/>
        <filter val="פרשן ישראלי מדווח כי ישראל מגרשת בכוח תושבי עזה כדי לאפשר התיישבות יהודית, תוך חבלה מכוונת בעסקאות חטופים כדי להאריך את המלחמה."/>
        <filter val="פרשן ישראלי מדווח כי ישראל מפנה באופן שיטתי פלסטינים מצפון עזה כדי לפנות מקום להתיישבות יהודית."/>
        <filter val="פרשן ישראלי מדווח כי שר האוצר סמוטריץ' הכריז שהמלחמה חשובה יותר מהצלת החטופים."/>
        <filter val="פשרת הרווארד ואנטישמיות - פיצוי"/>
        <filter val="צה&quot;ל בבית החולים ע&quot;ש הידידות הטורקית-פלסטינית (Turkish-Plaestinian Friendship Hospital)"/>
        <filter val="צה&quot;ל הופך בית ספר בעזה לבסיס צבאי"/>
        <filter val="צה&quot;ל הורס בתים בעזה"/>
        <filter val="צה&quot;ל הרס את &quot;טירת ברקוק&quot; ההיסטורית בחאן יונס"/>
        <filter val="צה&quot;ל ושב&quot;כ חילצו מרצועת עזה את גופתו של החייל אורון שאול שנהרג במבצע צוק איתן ב-2014"/>
        <filter val="צה&quot;ל טוען ששישה ילדים נפצעו, ותשתיות נפגעו ,בבית החולים כמאל עדואן, בעקבות מטען נפץ של &quot;ארגון טרור&quot;."/>
        <filter val="צה&quot;ל מונע פינוי גופות מתל אל-סולטן"/>
        <filter val="צה&quot;ל מפוצץ בניינים במחנה ג'בליה"/>
        <filter val="צה&quot;ל מפוצץ מסגד ריק בחאן יונס"/>
        <filter val="צה&quot;ל מפיץ שטרות מזויפים שבהם סינוואר מאוייר כעכבר"/>
        <filter val="צה&quot;ל מפציץ מקלט לעקורים מצפון עזה"/>
        <filter val="צה&quot;ל משתמש באזרחים פלסטינים כמגינים חיים בעזה."/>
        <filter val="צה&quot;ל משתמש בבית חולים בתור בסיס צבאי"/>
        <filter val="צה&quot;ל נשאר בג'באליה כדי למנוע את חזרת התושבים האזרחיים"/>
        <filter val="צה&quot;ל עוצר עשרות גברים מצפון עזה"/>
        <filter val="צה&quot;ל עוצר תושבי עזה ומגרש אותם מבתיהם"/>
        <filter val="צה&quot;ל פושט על כמאל עדואן"/>
        <filter val="צה&quot;ל פשט על בית החולים כמאל עדואן"/>
        <filter val="צה&quot;ל שורף בתים במרכז עזה"/>
        <filter val="צה&quot;ל שורף ומחריב בניינים בעזה. סרטונים בהמשך הפוסט מראים מקרים נוספים של דה-הומניזציה, כולל עזתים שנעצרו ושיחות על עזתים."/>
        <filter val="צה&quot;ל תוקף את בית הספר סלאח א דין ששימש מקלט לפליטים בעיר עזה"/>
        <filter val="ציוץ של יהודה שלסינגר המביע שמחה על פלסטינים מתים בעזה"/>
        <filter val="ציוץ של סטס קופול הקורא &quot;לא להשאיר אף עזתי בחיים&quot;"/>
        <filter val="צילומי אוויר של אל ג'זירה מראים את היקף ההרס בבית חנון"/>
        <filter val="צילומי רחפן של חיילי צה&quot;ל מבעירים את שכונת שג'אעיה"/>
        <filter val="צילומים מחשבונות מדיה חברתית של חיילי צה&quot;ל המראים ירי חסר הבחנה ופיצוץ בתים"/>
        <filter val="צלף של צה&quot;ל מצטלם עם הלבשה תחתונה של נשים פלסטיניות"/>
        <filter val="צלפי צה&quot;ל יורים באנשים והרס של בלוק בעזה"/>
        <filter val="צעירים רוקדים ושרים לצליל &quot;שיישרף לכם הכפר&quot; במועדון ישראלי"/>
        <filter val="קבורת בני דודיו של חוסאם שבת"/>
        <filter val="קבורת קורבנות לא מזוהים מחוץ לבית החולים כמאל עדואן (מיקום גיאוגרפי - גיאולוקציה)"/>
        <filter val="קברי המונים התגלו בעקבות נסיגת צה&quot;ל מאזורים שונים ברצועת עזה [אינפוגרפיקה]"/>
        <filter val="קומיקאי ישראלי צוחק על מותם של עזתים מחבילות סיוע שהוטלו מהאוויר"/>
        <filter val="קורסים בקמפוס הראשי של אוניברסיטת קולומביה יהיו היברידיים עד לסיום הסמסטר; סטודנטים וסגל של NYU נעצרו במהלך הפגנות"/>
        <filter val="קמפיין פרו-ישראלי להפרכת נתוני משרד הבריאות בעזה"/>
        <filter val="קנדה פונה לישראל לאחר שסוכנות הסיוע אומרת כי משאית מים הותקפה בפיצוץ &quot;ממוקד&quot;."/>
        <filter val="קצין צה&quot;ל מסיירת גבעתי כתב פוסטים מפורשים על רצח עם"/>
        <filter val="קצין צה&quot;ל נותן פקודה להרוס בתים."/>
        <filter val="קשיש מעזה מאחל למותו"/>
        <filter val="קשת 12 פיטרה את השחקנית למה טטור בעקבות פוסט נגד החטופה נועה ארגמני"/>
        <filter val="ראיון טלפוני עם ח&quot;כ שרן השכל: מה הבעיה שלך עם העברת יתומים מעזה לגדה המערבית?"/>
        <filter val="ראיון עם יועץ לראש ממשלת קטאר: עסקת בני הערובה נחסמה שוב ושוב בשלבים הסופיים"/>
        <filter val="ראיונות עם ישראלים החוסמים סיוע הומניטרי לעזה"/>
        <filter val="ראש אכ&quot;א לשעבר לאילנה דיין בגל&quot;צ קורא להתיישבות מחדש בחבל עזה."/>
        <filter val="רב-סמל בצה&quot;ל מודה שהוא הורס בתים בעזה ללא סיבה."/>
        <filter val="רב-סרן בצה&quot;ל מבטיח לחזור לנצרים בחשבון הפייסבוק האישי שלו"/>
        <filter val="רוב האמריקאים כעת מתנגדים לפעולה הישראלית בעזה"/>
        <filter val="רוב הישראלים נותנים דירוגים נמוכים לראש הממשלה נתניהו; דירוגים גבוהים לרמטכ&quot;ל צה&quot;ל, הלוי"/>
        <filter val="רוב הישראלים תומכים בהסכם עם חמאס"/>
        <filter val="רוב המצביעים הדמוקרטיים בארצות הברית מאמינים שישראל מבצעת רצח עם"/>
        <filter val="רוב המשיבים היהודים פסימיים לגבי הגעה להסכם לשחרור החטופים."/>
        <filter val="רוב הציבור הישראלי תומך בפעולה צבאית ברפיח"/>
        <filter val="רופא במתקן המעצר שדה תימן לשרים וליועצת המשפטית לממשלה: &quot;כולנו הופכים לשותפים להפרת החוק&quot;"/>
        <filter val="רופא נורה למוות מול שער בית החולים קמאל עדואן כאשר הגיע לעבודה"/>
        <filter val="רופא עזתי בבית החולים קמאל אדואן מקבל ידיעה תוך כדי טיפול כי 17 מבני משפחתו נהרגו וביתו נהרס."/>
        <filter val="רופאים בעזה אומרים ל-BBC שחיילי צה&quot;ל הכו והשפילו אותם לאחר פשיטה על בית חולים."/>
        <filter val="רופאים בעזה מדווחים כי ילדים הותקפו במכוון על ידי צלפים ישראלים"/>
        <filter val="רופאים ישראלים קוראים להפצצת בתי חולים בעזה"/>
        <filter val="רס&quot;ן בצה&quot;ל קורא להשמדת עזה"/>
        <filter val="רעב מתקרב בעזה מראה על חזרת המצור האזרחי במלחמות"/>
        <filter val="רעב? המחקר שקובע: זמינות מזון בעזה – 3,374 קלוריות לאדם"/>
        <filter val="רק חקלאות ישראלית"/>
        <filter val="רשמים של עיתונאי ישראלי מביקור בעזה"/>
        <filter val="שבעים גופות מרקיבות התגלו בג'באליה"/>
        <filter val="שטיחים, קוסמטיקה, אופנועים: חיילי צה&quot;ל בוזזים בתים בעזה בהמוניהם"/>
        <filter val="שירשור הודעות של מפקדי צה&quot;ל (רובם כנראה מפקדים במילואים) הקוראים לרצח עם ו/או טיהור אתני"/>
        <filter val="שלוש תמונות של חיילי צה&quot;ל שורפים בניינים בעזה"/>
        <filter val="שלושה חיילי מילואים מספרים מדוע יסרבו לשרת בעזה גם אם ישלמו על כך"/>
        <filter val="שלט ברצועת עזה המצהיר על הקמת התנחלות חדשה, &quot;ברית נצרים&quot;"/>
        <filter val="שמות ותמונות של 458 עובדי בריאות שנרצחו על ידי כוחות הכיבוש הישראלים בפלסטין מאז 7 באוקטובר 2023"/>
        <filter val="שנה של מאמץ אמריקאי לשחרר את בני הערובה, לסיים את הלחימה בעזה ולהביא שלום למזרח התיכון"/>
        <filter val="שני חיילי צה&quot;ל בחדר שינה של אישה בעזה [חלק משרשור ארוך]"/>
        <filter val="שני חיילים מחזיקים בתמונה של אישה בלנז'רי [שרשור נוסף ארוך]"/>
        <filter val="שניים פלסטינים מתים במעצר; אלפים נלקחו בכוח ונעלמו."/>
        <filter val="שר האוצר של ישראל, בצלאל סמוטריץ', מתראיין בגלצ ואומר שכל תושבי עזה נאצים."/>
        <filter val="שר החוץ הבריטי אומר כי הדו&quot;ח של ה-BBC על הפשיטה על בית החולים אל-נאסר 'מאוד מטריד'"/>
        <filter val="שר החוץ הבריטי מאשים את ישראל בחסימת מעבר מרכזי לסיוע בעזה"/>
        <filter val="שר המורשת הישראלי: &quot;מי ששחט אותנו, ניקח את אדמתו. נקודה!&quot;"/>
        <filter val="שרפת בית הספר חמאד בבית לאהיא (מיקום גיאוגרפי - גיאולוקציה)"/>
        <filter val="שרשור של שלושה סרטונים של עצורים פלסטינים המוחזקים על ידי צה&quot;ל"/>
        <filter val="שרת החוץ של קנדה: נפסיק לספק נשק לישראל"/>
        <filter val="תוכנית ה'גנרלים' השנויה במחלוקת בצפון עזה צוברת תאוצה"/>
        <filter val="תוכנית הגנרלים של עשרות קציני מילואים בכירים: 'מצור על החלק הצפוני של רצועת עזה'"/>
        <filter val="תוצאות הפיצוץ הכפול ההרסני"/>
        <filter val="תושב באר שבע קורא להשמדת רצועת עזה"/>
        <filter val="תחנות התפלה ושאיבת המים בצפון עזה מפסיקות לפעול בשל חוסר דלק"/>
        <filter val="תחקיר NBC: תקיפות אוויריות קטלניות ב'אזורי ביטחון' בעזה."/>
        <filter val="תחקיר זמן אמת: בסיוע חיילים הצליחה פעילת הימין להיכנס לנצרים"/>
        <filter val="תחקיר של צה&quot;ל הגיע למסקנה שכוח צה&quot;ל ברפיח פעל בניגוד לנהלים, והרג בשוגג עובד עובד של האו&quot;ם."/>
        <filter val="תיעוד מהפצצה בבית ספר שבו שהו משפחות מפונים"/>
        <filter val="תיעוד של מתקפת רחפן של צה&quot;ל על עזה"/>
        <filter val="תכנון השיקום וההתאוששות של עזה לאחר המלחמה"/>
        <filter val="תלמידי בית ספר שרים &quot;שיישרף לכם הכפר&quot; לאחר שמורה שהשתתפה במצעד השיבה הושעתה"/>
        <filter val="תמונה של חייל צה&quot;ל במדים באפליקציית היכרויות, יחד עם הלבשה תחתונה נשית"/>
        <filter val="תמונה של פלסטיני על ברכיו עם שלושה חיילים מכוונים אליו רובים"/>
        <filter val="תמונות של בניינים בוערים ברפיח"/>
        <filter val="תמונת חייל צה&quot;ל עם אסירים מעזה"/>
      </filters>
    </filterColumn>
  </autoFilter>
  <hyperlinks>
    <hyperlink ref="N68" r:id="rId1" xr:uid="{461BF63D-B277-3F4E-BE68-48154D37F3CA}"/>
    <hyperlink ref="B80" r:id="rId2" xr:uid="{27073D46-648C-E64A-BF46-E6C46EE154ED}"/>
    <hyperlink ref="B84" r:id="rId3" xr:uid="{B5F71ADC-4183-A140-B4FA-4D6F52577204}"/>
    <hyperlink ref="N91" r:id="rId4" location=":~:text=%D7%A9%D7%A0%D7%99%20%D7%A2%D7%A6%D7%95%D7%A8%D7%99%D7%9D%20%D7%A2%D7%96%D7%AA%D7%99%D7%9D%20%D7%9E%D7%AA%D7%95%20%D7%91%D7%93%D7%A8%D7%9A%20%D7%9C%D7%9E%D7%AA%D7%A7%D7%9F%20%D7%9B%D7%9C%D7%99%D7%90%D7%94%20%D7%91%D7%99%D7%A9%D7%A8%D7%90%D7%9C%3B%20%D7%9C%D7%95%D7%97%D7%9E%D7%99%D7%9D%20%D7%9E%D7%99%D7%97%D7%99%D7%93%D7%94%20%D7%9E%D7%99%D7%95%D7%97%D7%93%D7%AA%20%D7%A0%D7%97%D7%A7%D7%A8%D7%95,-%D7%A9%D7%A0%D7%99%20%D7%A2%D7%A6%D7%95%D7%A8%D7%99%D7%9D%20%D7%A2%D7%96%D7%AA%D7%99%D7%9D&amp;text=%D7%94%D7%9E%D7%A9%D7%98%D7%A8%D7%94%20%D7%94%D7%A6%D7%91%D7%90%D7%99%D7%AA%20%D7%94%D7%97%D7%95%D7%A7%D7%A8%D7%AA%20%D7%94%D7%97%D7%9C%D7%94%20%D7%91%D7%99%D7%9E%D7%99%D7%9D,%D7%97%D7%9E%D7%99%D7%A9%D7%99)%20%D7%91%D7%97%D7%93%D7%A9%D7%95%D7%AA%20%D7%94%D7%A2%D7%A8%D7%91%20%D7%91%D7%9B%D7%90%D7%9F%2011." display="https://www.kan.org.il/content/kan-news/defense/739774/ - :~:text=%D7%A9%D7%A0%D7%99%20%D7%A2%D7%A6%D7%95%D7%A8%D7%99%D7%9D%20%D7%A2%D7%96%D7%AA%D7%99%D7%9D%20%D7%9E%D7%AA%D7%95%20%D7%91%D7%93%D7%A8%D7%9A%20%D7%9C%D7%9E%D7%AA%D7%A7%D7%9F%20%D7%9B%D7%9C%D7%99%D7%90%D7%94%20%D7%91%D7%99%D7%A9%D7%A8%D7%90%D7%9C%3B%20%D7%9C%D7%95%D7%97%D7%9E%D7%99%D7%9D%20%D7%9E%D7%99%D7%97%D7%99%D7%93%D7%94%20%D7%9E%D7%99%D7%95%D7%97%D7%93%D7%AA%20%D7%A0%D7%97%D7%A7%D7%A8%D7%95,-%D7%A9%D7%A0%D7%99%20%D7%A2%D7%A6%D7%95%D7%A8%D7%99%D7%9D%20%D7%A2%D7%96%D7%AA%D7%99%D7%9D&amp;text=%D7%94%D7%9E%D7%A9%D7%98%D7%A8%D7%94%20%D7%94%D7%A6%D7%91%D7%90%D7%99%D7%AA%20%D7%94%D7%97%D7%95%D7%A7%D7%A8%D7%AA%20%D7%94%D7%97%D7%9C%D7%94%20%D7%91%D7%99%D7%9E%D7%99%D7%9D,%D7%97%D7%9E%D7%99%D7%A9%D7%99)%20%D7%91%D7%97%D7%93%D7%A9%D7%95%D7%AA%20%D7%94%D7%A2%D7%A8%D7%91%20%D7%91%D7%9B%D7%90%D7%9F%2011." xr:uid="{0ADC7F1B-56B0-8941-A161-F2DA30A54E8E}"/>
    <hyperlink ref="B118" r:id="rId5" xr:uid="{D0F581BC-7A1C-4246-B055-45F93AE3F22F}"/>
    <hyperlink ref="N139" r:id="rId6" display="https://www.jdn.co.il/news/2111450/?source=sendToWhatsapp" xr:uid="{324124BD-4BE8-C242-ACA6-B93F6CC25D70}"/>
    <hyperlink ref="B169" r:id="rId7" xr:uid="{12C9F3DD-8E62-7046-B948-2F0B1DE7DC2B}"/>
    <hyperlink ref="N169" r:id="rId8" xr:uid="{B4E4A888-9B8B-1A41-BB21-892E1C54CC61}"/>
    <hyperlink ref="N170" r:id="rId9" xr:uid="{78123FF4-1DB6-0843-9AE4-CB77530BD893}"/>
    <hyperlink ref="B171" r:id="rId10" xr:uid="{3AC42529-49A7-1547-A1BA-9F00C8C042B3}"/>
    <hyperlink ref="N171" r:id="rId11" xr:uid="{DD0B358A-59A6-BF43-AC30-EC81FF15D95B}"/>
    <hyperlink ref="N172" r:id="rId12" xr:uid="{491BB541-9FBE-114A-81ED-920EAC4902C3}"/>
    <hyperlink ref="N186" r:id="rId13" xr:uid="{C733060E-0502-D54B-8901-17AB217EA5F0}"/>
    <hyperlink ref="B198" r:id="rId14" xr:uid="{B0DE9FF4-AD65-F54C-9113-F82AD765AC00}"/>
    <hyperlink ref="B220" r:id="rId15" xr:uid="{7A3D473C-365D-B44B-8A78-1DDFF953453A}"/>
    <hyperlink ref="N280" r:id="rId16" xr:uid="{EFCDB26B-F758-434D-B8B4-DA247FB95C40}"/>
    <hyperlink ref="N281" r:id="rId17" xr:uid="{C715934E-F8F6-744A-AE77-7263F724181E}"/>
    <hyperlink ref="N283" r:id="rId18" xr:uid="{9D22B94B-5528-9743-B127-3906CBB001F1}"/>
    <hyperlink ref="N284" r:id="rId19" xr:uid="{BC6683E2-639D-0A48-AF10-ED84C1C2C148}"/>
    <hyperlink ref="N291" r:id="rId20" xr:uid="{C084C770-B3D7-7840-9195-DE4BFA1CBC93}"/>
    <hyperlink ref="B298" r:id="rId21" xr:uid="{0C2287BA-52E6-EB41-A18B-499CE03229CA}"/>
    <hyperlink ref="N299" r:id="rId22" xr:uid="{54E34791-BB62-B94B-B58D-F8DFAD3858BD}"/>
    <hyperlink ref="N304" r:id="rId23" xr:uid="{B87CF63D-7003-AD49-9BD4-EA26CAAE2FA2}"/>
    <hyperlink ref="N305" r:id="rId24" xr:uid="{93F6C8B2-C78F-7247-9ED0-C183C36342F2}"/>
    <hyperlink ref="N306" r:id="rId25" xr:uid="{DE8DA9E5-09DD-3A44-AEB9-7D807FD5116E}"/>
    <hyperlink ref="N307" r:id="rId26" xr:uid="{694FE8BC-9CE0-A24B-B9D0-8A821BFCD942}"/>
    <hyperlink ref="N321" r:id="rId27" xr:uid="{FFB22AEC-C0FD-BB46-9B0E-2DE59889AD28}"/>
    <hyperlink ref="B323" r:id="rId28" xr:uid="{0EC9B840-9FBD-FB44-9920-D362233FEE78}"/>
    <hyperlink ref="N367" r:id="rId29" xr:uid="{48DB1D82-D94E-EC4A-91DF-72E4F762CE30}"/>
    <hyperlink ref="N403" r:id="rId30" xr:uid="{16A5DCBC-078C-D644-A8A8-83359667FDA0}"/>
    <hyperlink ref="N407" r:id="rId31" xr:uid="{97699637-AAC3-C84E-9DB5-8BE1E86ABD10}"/>
    <hyperlink ref="N419" r:id="rId32" xr:uid="{9DF8AA6F-70CF-0043-80B4-19CB1CD06B37}"/>
    <hyperlink ref="B420" r:id="rId33" xr:uid="{68D55133-7F69-534F-88E5-05F923C9DB64}"/>
    <hyperlink ref="B423" r:id="rId34" xr:uid="{B2A52522-54ED-0A47-BD52-3A27E51A4198}"/>
    <hyperlink ref="N436" r:id="rId35" xr:uid="{F21F2496-FE22-124B-94FF-F1E7E9AD2073}"/>
    <hyperlink ref="N438" r:id="rId36" xr:uid="{995C25A7-9AD9-B247-9E07-0A7F4BA056D0}"/>
    <hyperlink ref="N440" r:id="rId37" xr:uid="{C94E816C-E04E-274D-B1E1-7FF3C4846141}"/>
    <hyperlink ref="N442" r:id="rId38" display="https://criticalissues.umd.edu/sites/criticalissues.umd.edu/files/Spring 2024 MESB Results.pdf" xr:uid="{4E7D0E61-5675-E843-B692-0DA73CC4EAD2}"/>
    <hyperlink ref="N446" r:id="rId39" display="https://reliefweb.int/attachments/c675d704-7e81-4328-a07a-aad92dd3af90/MSF-GazaSilentKillings-Full Report_ENG_April 2023.pdf" xr:uid="{AFAA05F5-D243-074E-8371-11651FDDF7F4}"/>
    <hyperlink ref="J453" r:id="rId40" display="http://palestine.beehiiv.com/" xr:uid="{5E39A4CF-A1AD-8E44-9074-72992D839304}"/>
    <hyperlink ref="N458" r:id="rId41" xr:uid="{2460AAC3-F599-4D48-8218-72ECFE3180BC}"/>
    <hyperlink ref="B464" r:id="rId42" xr:uid="{B90419BE-420D-E846-9B0B-C0FF8F077B13}"/>
    <hyperlink ref="N470" r:id="rId43" xr:uid="{A88FA899-061F-4D46-8852-2ABD774066F9}"/>
    <hyperlink ref="B476" r:id="rId44" xr:uid="{FFA71AE9-C0C3-7244-AEE5-5483EEE8249E}"/>
    <hyperlink ref="N476" r:id="rId45" xr:uid="{AB3EA7EF-5BF5-2E41-B3C4-4B11CCC04928}"/>
    <hyperlink ref="N485" r:id="rId46" xr:uid="{B1FCD532-6769-3C44-B629-9F40B846962B}"/>
    <hyperlink ref="B486" r:id="rId47" xr:uid="{8097A695-A0B5-384A-88FE-93E00F8AE12A}"/>
    <hyperlink ref="N488" r:id="rId48" xr:uid="{6A1C63F3-BB5A-8343-BDA4-7576611EC154}"/>
    <hyperlink ref="N497" r:id="rId49" xr:uid="{F4873381-0DE0-4044-B038-B8E9C9183287}"/>
    <hyperlink ref="B516" r:id="rId50" xr:uid="{80EEE670-0D4B-C84C-BE04-A815AFCEFF8A}"/>
    <hyperlink ref="B518" r:id="rId51" xr:uid="{C0EA8827-5DC1-9340-B957-A91A913D06E8}"/>
    <hyperlink ref="N518" r:id="rId52" xr:uid="{AE4AA518-AC3C-AE4A-98E0-925DB0869FF7}"/>
    <hyperlink ref="B520" r:id="rId53" xr:uid="{4B1F7EDF-15D6-F74D-8DBA-D1D8B9A778D4}"/>
    <hyperlink ref="N528" r:id="rId54" xr:uid="{129F874F-EABB-1441-A1AB-72D55218E13A}"/>
    <hyperlink ref="B543" r:id="rId55" xr:uid="{303CB30A-ABB0-CE42-B158-7116281296CB}"/>
    <hyperlink ref="B556" r:id="rId56" xr:uid="{72C496BA-A30D-8F43-8BE9-6B86CB5DEF41}"/>
    <hyperlink ref="J557" r:id="rId57" display="http://haaretz.com/" xr:uid="{1600AEBB-25B9-474C-8590-DFD79997C026}"/>
    <hyperlink ref="N559" r:id="rId58" display="http://www.ipcinfo.org/fileadmin/user_upload/ipcinfo/docs/IPC_Gaza_Acute_Food_Insecurity_Nov2023_Feb2024.pdf" xr:uid="{E42BD86E-5772-CC4C-80C9-BFCF3106D436}"/>
    <hyperlink ref="N571" r:id="rId59" xr:uid="{AF2162CE-B5E3-9745-89F0-2900FD3B5D2F}"/>
    <hyperlink ref="N572" r:id="rId60" xr:uid="{0B16B0A3-DC5E-F045-8CDF-3A76A9C300D0}"/>
    <hyperlink ref="N575" r:id="rId61" xr:uid="{0F17CDA7-8ED1-6C4A-B9BA-4D2810D4E559}"/>
    <hyperlink ref="N597" r:id="rId62" xr:uid="{B731A98D-6208-004A-8B88-DF1D3D0BAB53}"/>
    <hyperlink ref="N599" r:id="rId63" xr:uid="{88AE0050-A832-D34B-83A9-979B25374A79}"/>
    <hyperlink ref="B604" r:id="rId64" xr:uid="{5F36580D-FBE4-8E42-A717-27172E646F28}"/>
    <hyperlink ref="N604" r:id="rId65" xr:uid="{D9E2CD86-1055-4145-87BC-DF6107644C9D}"/>
    <hyperlink ref="N610" r:id="rId66" xr:uid="{7BC37C9F-A9EB-EE4C-9A34-3C3E783211C5}"/>
    <hyperlink ref="N619" r:id="rId67" xr:uid="{F21A54A8-C223-1846-A790-085593CD0C6D}"/>
    <hyperlink ref="N621" r:id="rId68" xr:uid="{98824958-C3E2-8545-862E-E516D39E56E0}"/>
    <hyperlink ref="N625" r:id="rId69" xr:uid="{E004CA37-68A4-6842-8EE8-1DE018F96829}"/>
    <hyperlink ref="N629" r:id="rId70" xr:uid="{3E08329F-1AEC-A442-8EB4-B3C4C67D5FF3}"/>
    <hyperlink ref="N630" r:id="rId71" display="https://www.inss.org.il/he/wp-content/uploads/sites/2/2024/10/%D7%93%D7%90%D7%98%D7%94-%D7%A1%D7%A7%D7%A8-%D7%97%D7%A8%D7%91%D7%95%D7%AA-%D7%91%D7%A8%D7%96%D7%9C-%D7%90%D7%95%D7%A7%D7%98%D7%95%D7%91%D7%A8-24-%D7%9B%D7%95%D7%9C%D7%9C-%D7%A0%D7%99%D7%AA%D7%95%D7%97.xlsx" xr:uid="{CB7DC346-0966-6942-905B-95923ABD77BD}"/>
    <hyperlink ref="N631" r:id="rId72" xr:uid="{269EFD58-5D75-0A4D-83DD-C21CD2425BC4}"/>
    <hyperlink ref="B640" r:id="rId73" xr:uid="{43AABE34-D8DA-A344-9C9D-B5FE431328B7}"/>
    <hyperlink ref="J646" r:id="rId74" display="http://haaretz.com/" xr:uid="{075EBB32-2D6A-9541-AAE5-05C1C7A14C46}"/>
    <hyperlink ref="B647" r:id="rId75" xr:uid="{4EBF0510-3BFB-0944-88E6-EAF22CCAB010}"/>
    <hyperlink ref="N660" r:id="rId76" xr:uid="{8DDD1D07-961D-8F45-A9D2-266ACC9DE1C8}"/>
    <hyperlink ref="N666" r:id="rId77" xr:uid="{61F27259-E383-C443-B7A6-411C38D2AA1C}"/>
    <hyperlink ref="N669" r:id="rId78" xr:uid="{C69CB218-72BA-2D4E-BD52-0FAFADED28E3}"/>
    <hyperlink ref="N671" r:id="rId79" xr:uid="{87FD1551-947D-5248-85E5-B25CC29E87EE}"/>
    <hyperlink ref="N708" r:id="rId80" xr:uid="{8211B420-8062-0740-A634-5E8B0F9D33E2}"/>
    <hyperlink ref="N740" r:id="rId81" xr:uid="{AAB28E1E-7391-BB43-BDF8-F13D9CE788C8}"/>
    <hyperlink ref="N741" r:id="rId82" xr:uid="{9ABC5D2F-1C3C-5747-9152-7808E1EF2033}"/>
    <hyperlink ref="B746" r:id="rId83" xr:uid="{2E9A48E9-0D15-3940-9476-0FA5894E3319}"/>
    <hyperlink ref="N748" r:id="rId84" xr:uid="{012038B2-F76C-F542-95ED-AE57396B5B0B}"/>
    <hyperlink ref="N751" r:id="rId85" xr:uid="{6F0D4241-ADDF-6F4B-A54A-5DF908ABB33A}"/>
    <hyperlink ref="B757" r:id="rId86" xr:uid="{5F8C9CEF-DC00-4843-A227-F51629626FAD}"/>
    <hyperlink ref="N780" r:id="rId87" display="https://reliefweb.int/attachments/210fefe4-0d9f-4f5f-8514-faa87449b34a/SitRep%235 Israel-Gaza Conflict 1.3.2024.pdf" xr:uid="{E5260676-4EF4-D149-B6DE-4401538EF1AC}"/>
    <hyperlink ref="N790" r:id="rId88" xr:uid="{84949A76-A679-E742-9BF9-3CE63CD9496A}"/>
    <hyperlink ref="N792" r:id="rId89" xr:uid="{5DCACC48-38F2-174A-B61C-6183D9F2AE7D}"/>
    <hyperlink ref="N793" r:id="rId90" xr:uid="{880614BF-5BED-8449-9B55-DAC7A0F51A2F}"/>
    <hyperlink ref="B794" r:id="rId91" xr:uid="{408CE6FC-ADC1-0047-A980-555DF00BA16D}"/>
    <hyperlink ref="N794" r:id="rId92" display="https://x.com/ytirawi/status/1791817289899164073?ref_src=twsrc%5Etfw%7Ctwcamp%5Etweetembed%7Ctwterm%5E1791817289899164073%7Ctwgr%5E7a604e5480feaf9705a015acce29c42f714af924%7Ctwcon%5Es1_&amp;ref_url=https%3A%2F%2Fmondoweiss.net%2F2024%2F05%2Fisraels-extortion-leaflets-and-namecheap-how-to-do-corporate-accountability-during-a-genocide%2F" xr:uid="{47181D2E-15DD-0744-8CA4-B3DB5D947B2D}"/>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DE7E1-2B0E-7B47-907C-6DB03116E711}">
  <dimension ref="A1:Y570"/>
  <sheetViews>
    <sheetView tabSelected="1" workbookViewId="0">
      <selection activeCell="D10" sqref="D10"/>
    </sheetView>
  </sheetViews>
  <sheetFormatPr baseColWidth="10" defaultRowHeight="16" x14ac:dyDescent="0.2"/>
  <sheetData>
    <row r="1" spans="1:25" x14ac:dyDescent="0.2">
      <c r="A1" s="1" t="s">
        <v>0</v>
      </c>
      <c r="B1" s="1" t="s">
        <v>1</v>
      </c>
      <c r="C1" s="1" t="s">
        <v>2</v>
      </c>
      <c r="D1" s="1" t="s">
        <v>9186</v>
      </c>
      <c r="E1" s="1" t="s">
        <v>9190</v>
      </c>
      <c r="F1" s="1" t="s">
        <v>9187</v>
      </c>
      <c r="G1" s="1" t="s">
        <v>4</v>
      </c>
      <c r="H1" s="1" t="s">
        <v>5</v>
      </c>
      <c r="I1" s="1" t="s">
        <v>6</v>
      </c>
      <c r="J1" s="1" t="s">
        <v>7</v>
      </c>
      <c r="K1" s="1" t="s">
        <v>8</v>
      </c>
      <c r="L1" s="1" t="s">
        <v>9188</v>
      </c>
      <c r="M1" s="1" t="s">
        <v>9</v>
      </c>
      <c r="N1" s="1" t="s">
        <v>10</v>
      </c>
      <c r="O1" s="1" t="s">
        <v>11</v>
      </c>
      <c r="P1" s="1" t="s">
        <v>12</v>
      </c>
      <c r="Q1" s="1" t="s">
        <v>9189</v>
      </c>
      <c r="R1" s="1" t="s">
        <v>13</v>
      </c>
      <c r="S1" s="1" t="s">
        <v>14</v>
      </c>
      <c r="T1" s="1" t="s">
        <v>15</v>
      </c>
      <c r="U1" s="1" t="s">
        <v>16</v>
      </c>
      <c r="V1" s="1" t="s">
        <v>17</v>
      </c>
      <c r="W1" s="1" t="s">
        <v>18</v>
      </c>
      <c r="X1" s="2"/>
      <c r="Y1" s="2"/>
    </row>
    <row r="2" spans="1:25" x14ac:dyDescent="0.2">
      <c r="A2" s="3">
        <v>2384</v>
      </c>
      <c r="B2" s="4" t="s">
        <v>19</v>
      </c>
      <c r="C2" s="3" t="s">
        <v>20</v>
      </c>
      <c r="D2" s="3" t="s">
        <v>5075</v>
      </c>
      <c r="E2" s="3" t="s">
        <v>21</v>
      </c>
      <c r="F2" s="3" t="s">
        <v>5076</v>
      </c>
      <c r="G2" s="3" t="s">
        <v>22</v>
      </c>
      <c r="H2" s="2"/>
      <c r="I2" s="2"/>
      <c r="J2" s="3" t="s">
        <v>23</v>
      </c>
      <c r="K2" s="3" t="s">
        <v>24</v>
      </c>
      <c r="L2" s="3" t="s">
        <v>5077</v>
      </c>
      <c r="M2" s="2"/>
      <c r="N2" s="4" t="s">
        <v>25</v>
      </c>
      <c r="O2" s="3" t="s">
        <v>26</v>
      </c>
      <c r="P2" s="3" t="s">
        <v>27</v>
      </c>
      <c r="Q2" s="3" t="s">
        <v>5079</v>
      </c>
      <c r="R2" s="3" t="s">
        <v>28</v>
      </c>
      <c r="S2" s="3" t="s">
        <v>29</v>
      </c>
      <c r="T2" s="3" t="s">
        <v>30</v>
      </c>
      <c r="U2" s="2"/>
      <c r="V2" s="3" t="s">
        <v>27</v>
      </c>
      <c r="W2" s="2"/>
      <c r="X2" s="2"/>
      <c r="Y2" s="2"/>
    </row>
    <row r="3" spans="1:25" x14ac:dyDescent="0.2">
      <c r="A3" s="3">
        <v>2385</v>
      </c>
      <c r="B3" s="4" t="s">
        <v>31</v>
      </c>
      <c r="C3" s="3" t="s">
        <v>32</v>
      </c>
      <c r="D3" s="3" t="s">
        <v>5083</v>
      </c>
      <c r="E3" s="3" t="s">
        <v>33</v>
      </c>
      <c r="F3" s="3" t="s">
        <v>5084</v>
      </c>
      <c r="G3" s="3" t="s">
        <v>34</v>
      </c>
      <c r="H3" s="3" t="s">
        <v>35</v>
      </c>
      <c r="I3" s="2"/>
      <c r="J3" s="3" t="s">
        <v>36</v>
      </c>
      <c r="K3" s="3" t="s">
        <v>37</v>
      </c>
      <c r="L3" s="3" t="s">
        <v>5086</v>
      </c>
      <c r="M3" s="2"/>
      <c r="N3" s="4" t="s">
        <v>38</v>
      </c>
      <c r="O3" s="3" t="s">
        <v>39</v>
      </c>
      <c r="P3" s="3" t="s">
        <v>40</v>
      </c>
      <c r="Q3" s="3" t="s">
        <v>5088</v>
      </c>
      <c r="R3" s="3" t="s">
        <v>41</v>
      </c>
      <c r="S3" s="3" t="s">
        <v>29</v>
      </c>
      <c r="T3" s="3" t="s">
        <v>42</v>
      </c>
      <c r="U3" s="3" t="s">
        <v>43</v>
      </c>
      <c r="V3" s="3" t="s">
        <v>40</v>
      </c>
      <c r="W3" s="2"/>
      <c r="X3" s="2"/>
      <c r="Y3" s="2"/>
    </row>
    <row r="4" spans="1:25" x14ac:dyDescent="0.2">
      <c r="A4" s="3">
        <v>2386</v>
      </c>
      <c r="B4" s="4" t="s">
        <v>44</v>
      </c>
      <c r="C4" s="3" t="s">
        <v>45</v>
      </c>
      <c r="D4" s="3" t="s">
        <v>5092</v>
      </c>
      <c r="E4" s="3" t="s">
        <v>46</v>
      </c>
      <c r="F4" s="3" t="s">
        <v>5093</v>
      </c>
      <c r="G4" s="3" t="s">
        <v>47</v>
      </c>
      <c r="H4" s="2"/>
      <c r="I4" s="2"/>
      <c r="J4" s="3" t="s">
        <v>48</v>
      </c>
      <c r="K4" s="3" t="s">
        <v>48</v>
      </c>
      <c r="L4" s="3" t="s">
        <v>48</v>
      </c>
      <c r="M4" s="2"/>
      <c r="N4" s="4" t="s">
        <v>49</v>
      </c>
      <c r="O4" s="3" t="s">
        <v>26</v>
      </c>
      <c r="P4" s="3" t="s">
        <v>27</v>
      </c>
      <c r="Q4" s="3" t="s">
        <v>5079</v>
      </c>
      <c r="R4" s="3" t="s">
        <v>28</v>
      </c>
      <c r="S4" s="3" t="s">
        <v>29</v>
      </c>
      <c r="T4" s="3" t="s">
        <v>50</v>
      </c>
      <c r="U4" s="2"/>
      <c r="V4" s="3" t="s">
        <v>51</v>
      </c>
      <c r="W4" s="2"/>
      <c r="X4" s="2"/>
      <c r="Y4" s="2"/>
    </row>
    <row r="5" spans="1:25" x14ac:dyDescent="0.2">
      <c r="A5" s="3">
        <v>2387</v>
      </c>
      <c r="B5" s="4" t="s">
        <v>52</v>
      </c>
      <c r="C5" s="3" t="s">
        <v>53</v>
      </c>
      <c r="D5" s="3" t="s">
        <v>5096</v>
      </c>
      <c r="E5" s="3" t="s">
        <v>54</v>
      </c>
      <c r="F5" s="3" t="s">
        <v>5097</v>
      </c>
      <c r="G5" s="3" t="s">
        <v>55</v>
      </c>
      <c r="H5" s="5">
        <v>45658</v>
      </c>
      <c r="I5" s="3" t="s">
        <v>56</v>
      </c>
      <c r="J5" s="3" t="s">
        <v>57</v>
      </c>
      <c r="K5" s="3" t="s">
        <v>58</v>
      </c>
      <c r="L5" s="3" t="s">
        <v>5099</v>
      </c>
      <c r="M5" s="2"/>
      <c r="N5" s="4" t="s">
        <v>59</v>
      </c>
      <c r="O5" s="3" t="s">
        <v>39</v>
      </c>
      <c r="P5" s="3" t="s">
        <v>60</v>
      </c>
      <c r="Q5" s="3" t="s">
        <v>5100</v>
      </c>
      <c r="R5" s="3" t="s">
        <v>61</v>
      </c>
      <c r="S5" s="3" t="s">
        <v>29</v>
      </c>
      <c r="T5" s="3" t="s">
        <v>62</v>
      </c>
      <c r="U5" s="3" t="s">
        <v>43</v>
      </c>
      <c r="V5" s="3" t="s">
        <v>60</v>
      </c>
      <c r="W5" s="2"/>
      <c r="X5" s="2"/>
      <c r="Y5" s="2"/>
    </row>
    <row r="6" spans="1:25" x14ac:dyDescent="0.2">
      <c r="A6" s="3">
        <v>2388</v>
      </c>
      <c r="B6" s="4" t="s">
        <v>63</v>
      </c>
      <c r="C6" s="3" t="s">
        <v>64</v>
      </c>
      <c r="D6" s="3" t="s">
        <v>5103</v>
      </c>
      <c r="E6" s="3" t="s">
        <v>65</v>
      </c>
      <c r="F6" s="3" t="s">
        <v>5104</v>
      </c>
      <c r="G6" s="3" t="s">
        <v>66</v>
      </c>
      <c r="H6" s="3" t="s">
        <v>67</v>
      </c>
      <c r="I6" s="3" t="s">
        <v>68</v>
      </c>
      <c r="J6" s="3" t="s">
        <v>69</v>
      </c>
      <c r="K6" s="3" t="s">
        <v>70</v>
      </c>
      <c r="L6" s="3" t="s">
        <v>5106</v>
      </c>
      <c r="M6" s="2"/>
      <c r="N6" s="2"/>
      <c r="O6" s="3" t="s">
        <v>39</v>
      </c>
      <c r="P6" s="3" t="s">
        <v>71</v>
      </c>
      <c r="Q6" s="3" t="s">
        <v>5107</v>
      </c>
      <c r="R6" s="3" t="s">
        <v>72</v>
      </c>
      <c r="S6" s="3" t="s">
        <v>29</v>
      </c>
      <c r="T6" s="3" t="s">
        <v>73</v>
      </c>
      <c r="U6" s="2"/>
      <c r="V6" s="3" t="s">
        <v>71</v>
      </c>
      <c r="W6" s="2"/>
      <c r="X6" s="2"/>
      <c r="Y6" s="2"/>
    </row>
    <row r="7" spans="1:25" x14ac:dyDescent="0.2">
      <c r="A7" s="3">
        <v>2389</v>
      </c>
      <c r="B7" s="4" t="s">
        <v>74</v>
      </c>
      <c r="C7" s="3" t="s">
        <v>75</v>
      </c>
      <c r="D7" s="3" t="s">
        <v>5110</v>
      </c>
      <c r="E7" s="3" t="s">
        <v>76</v>
      </c>
      <c r="F7" s="3" t="s">
        <v>5111</v>
      </c>
      <c r="G7" s="3" t="s">
        <v>68</v>
      </c>
      <c r="H7" s="3" t="s">
        <v>77</v>
      </c>
      <c r="I7" s="2"/>
      <c r="J7" s="3" t="s">
        <v>36</v>
      </c>
      <c r="K7" s="3" t="s">
        <v>78</v>
      </c>
      <c r="L7" s="3" t="s">
        <v>5112</v>
      </c>
      <c r="M7" s="2"/>
      <c r="N7" s="2"/>
      <c r="O7" s="3" t="s">
        <v>39</v>
      </c>
      <c r="P7" s="3" t="s">
        <v>27</v>
      </c>
      <c r="Q7" s="3" t="s">
        <v>5079</v>
      </c>
      <c r="R7" s="3" t="s">
        <v>72</v>
      </c>
      <c r="S7" s="3" t="s">
        <v>29</v>
      </c>
      <c r="T7" s="3" t="s">
        <v>79</v>
      </c>
      <c r="U7" s="3" t="s">
        <v>43</v>
      </c>
      <c r="V7" s="3" t="s">
        <v>27</v>
      </c>
      <c r="W7" s="2"/>
      <c r="X7" s="2"/>
      <c r="Y7" s="2"/>
    </row>
    <row r="8" spans="1:25" x14ac:dyDescent="0.2">
      <c r="A8" s="3">
        <v>2390</v>
      </c>
      <c r="B8" s="4" t="s">
        <v>80</v>
      </c>
      <c r="C8" s="3" t="s">
        <v>81</v>
      </c>
      <c r="D8" s="3" t="s">
        <v>5114</v>
      </c>
      <c r="E8" s="3" t="s">
        <v>82</v>
      </c>
      <c r="F8" s="3" t="s">
        <v>5115</v>
      </c>
      <c r="G8" s="3" t="s">
        <v>83</v>
      </c>
      <c r="H8" s="2"/>
      <c r="I8" s="2"/>
      <c r="J8" s="3" t="s">
        <v>84</v>
      </c>
      <c r="K8" s="3" t="s">
        <v>85</v>
      </c>
      <c r="L8" s="3" t="s">
        <v>5116</v>
      </c>
      <c r="M8" s="2"/>
      <c r="N8" s="2"/>
      <c r="O8" s="3" t="s">
        <v>26</v>
      </c>
      <c r="P8" s="3" t="s">
        <v>27</v>
      </c>
      <c r="Q8" s="3" t="s">
        <v>5079</v>
      </c>
      <c r="R8" s="3" t="s">
        <v>41</v>
      </c>
      <c r="S8" s="3" t="s">
        <v>29</v>
      </c>
      <c r="T8" s="3" t="s">
        <v>86</v>
      </c>
      <c r="U8" s="2"/>
      <c r="V8" s="3" t="s">
        <v>27</v>
      </c>
      <c r="W8" s="2"/>
      <c r="X8" s="2"/>
      <c r="Y8" s="2"/>
    </row>
    <row r="9" spans="1:25" x14ac:dyDescent="0.2">
      <c r="A9" s="3">
        <v>2391</v>
      </c>
      <c r="B9" s="4" t="s">
        <v>87</v>
      </c>
      <c r="C9" s="3" t="s">
        <v>88</v>
      </c>
      <c r="D9" s="3" t="s">
        <v>5118</v>
      </c>
      <c r="E9" s="3" t="s">
        <v>89</v>
      </c>
      <c r="F9" s="3" t="s">
        <v>5119</v>
      </c>
      <c r="G9" s="3" t="s">
        <v>90</v>
      </c>
      <c r="H9" s="3" t="s">
        <v>67</v>
      </c>
      <c r="I9" s="5">
        <v>45566</v>
      </c>
      <c r="J9" s="3" t="s">
        <v>91</v>
      </c>
      <c r="K9" s="3" t="s">
        <v>92</v>
      </c>
      <c r="L9" s="3" t="s">
        <v>5120</v>
      </c>
      <c r="M9" s="2"/>
      <c r="N9" s="2"/>
      <c r="O9" s="3" t="s">
        <v>26</v>
      </c>
      <c r="P9" s="3" t="s">
        <v>27</v>
      </c>
      <c r="Q9" s="3" t="s">
        <v>5079</v>
      </c>
      <c r="R9" s="3" t="s">
        <v>93</v>
      </c>
      <c r="S9" s="3" t="s">
        <v>29</v>
      </c>
      <c r="T9" s="3" t="s">
        <v>94</v>
      </c>
      <c r="U9" s="3" t="s">
        <v>95</v>
      </c>
      <c r="V9" s="3" t="s">
        <v>27</v>
      </c>
      <c r="W9" s="3" t="s">
        <v>96</v>
      </c>
      <c r="X9" s="2"/>
      <c r="Y9" s="2"/>
    </row>
    <row r="10" spans="1:25" x14ac:dyDescent="0.2">
      <c r="A10" s="3">
        <v>2392</v>
      </c>
      <c r="B10" s="4" t="s">
        <v>97</v>
      </c>
      <c r="C10" s="3" t="s">
        <v>98</v>
      </c>
      <c r="D10" s="3" t="s">
        <v>5125</v>
      </c>
      <c r="E10" s="3" t="s">
        <v>99</v>
      </c>
      <c r="F10" s="3" t="s">
        <v>5126</v>
      </c>
      <c r="G10" s="3" t="s">
        <v>100</v>
      </c>
      <c r="H10" s="3" t="s">
        <v>101</v>
      </c>
      <c r="I10" s="3" t="s">
        <v>101</v>
      </c>
      <c r="J10" s="3" t="s">
        <v>36</v>
      </c>
      <c r="K10" s="3" t="s">
        <v>102</v>
      </c>
      <c r="L10" s="3" t="s">
        <v>5127</v>
      </c>
      <c r="M10" s="2"/>
      <c r="N10" s="2"/>
      <c r="O10" s="3" t="s">
        <v>39</v>
      </c>
      <c r="P10" s="3" t="s">
        <v>103</v>
      </c>
      <c r="Q10" s="3" t="s">
        <v>5128</v>
      </c>
      <c r="R10" s="3" t="s">
        <v>72</v>
      </c>
      <c r="S10" s="3" t="s">
        <v>29</v>
      </c>
      <c r="T10" s="3" t="s">
        <v>104</v>
      </c>
      <c r="U10" s="2"/>
      <c r="V10" s="3" t="s">
        <v>105</v>
      </c>
      <c r="W10" s="2"/>
      <c r="X10" s="2"/>
      <c r="Y10" s="2"/>
    </row>
    <row r="11" spans="1:25" x14ac:dyDescent="0.2">
      <c r="A11" s="3">
        <v>2393</v>
      </c>
      <c r="B11" s="4" t="s">
        <v>106</v>
      </c>
      <c r="C11" s="3" t="s">
        <v>107</v>
      </c>
      <c r="D11" s="3" t="s">
        <v>5130</v>
      </c>
      <c r="E11" s="3" t="s">
        <v>108</v>
      </c>
      <c r="F11" s="3" t="s">
        <v>5131</v>
      </c>
      <c r="G11" s="3" t="s">
        <v>109</v>
      </c>
      <c r="H11" s="2"/>
      <c r="I11" s="2"/>
      <c r="J11" s="3" t="s">
        <v>110</v>
      </c>
      <c r="K11" s="3" t="s">
        <v>111</v>
      </c>
      <c r="L11" s="3" t="s">
        <v>5132</v>
      </c>
      <c r="M11" s="2"/>
      <c r="N11" s="2"/>
      <c r="O11" s="3" t="s">
        <v>26</v>
      </c>
      <c r="P11" s="3" t="s">
        <v>27</v>
      </c>
      <c r="Q11" s="3" t="s">
        <v>5079</v>
      </c>
      <c r="R11" s="3" t="s">
        <v>72</v>
      </c>
      <c r="S11" s="3" t="s">
        <v>29</v>
      </c>
      <c r="T11" s="3" t="s">
        <v>112</v>
      </c>
      <c r="U11" s="2"/>
      <c r="V11" s="3" t="s">
        <v>113</v>
      </c>
      <c r="W11" s="2"/>
      <c r="X11" s="2"/>
      <c r="Y11" s="2"/>
    </row>
    <row r="12" spans="1:25" x14ac:dyDescent="0.2">
      <c r="A12" s="3">
        <v>2394</v>
      </c>
      <c r="B12" s="4" t="s">
        <v>114</v>
      </c>
      <c r="C12" s="3" t="s">
        <v>115</v>
      </c>
      <c r="D12" s="3" t="s">
        <v>5135</v>
      </c>
      <c r="E12" s="3" t="s">
        <v>116</v>
      </c>
      <c r="F12" s="3" t="s">
        <v>5136</v>
      </c>
      <c r="G12" s="3" t="s">
        <v>117</v>
      </c>
      <c r="H12" s="3" t="s">
        <v>117</v>
      </c>
      <c r="I12" s="3" t="s">
        <v>117</v>
      </c>
      <c r="J12" s="3" t="s">
        <v>118</v>
      </c>
      <c r="K12" s="3" t="s">
        <v>119</v>
      </c>
      <c r="L12" s="3" t="s">
        <v>5137</v>
      </c>
      <c r="M12" s="2"/>
      <c r="N12" s="2"/>
      <c r="O12" s="3" t="s">
        <v>26</v>
      </c>
      <c r="P12" s="3" t="s">
        <v>71</v>
      </c>
      <c r="Q12" s="3" t="s">
        <v>5107</v>
      </c>
      <c r="R12" s="3" t="s">
        <v>72</v>
      </c>
      <c r="S12" s="3" t="s">
        <v>29</v>
      </c>
      <c r="T12" s="3" t="s">
        <v>120</v>
      </c>
      <c r="U12" s="2"/>
      <c r="V12" s="3" t="s">
        <v>71</v>
      </c>
      <c r="W12" s="2"/>
      <c r="X12" s="2"/>
      <c r="Y12" s="2"/>
    </row>
    <row r="13" spans="1:25" x14ac:dyDescent="0.2">
      <c r="A13" s="3">
        <v>2395</v>
      </c>
      <c r="B13" s="4" t="s">
        <v>121</v>
      </c>
      <c r="C13" s="3" t="s">
        <v>122</v>
      </c>
      <c r="D13" s="3" t="s">
        <v>5139</v>
      </c>
      <c r="E13" s="3" t="s">
        <v>123</v>
      </c>
      <c r="F13" s="3" t="s">
        <v>5140</v>
      </c>
      <c r="G13" s="3" t="s">
        <v>124</v>
      </c>
      <c r="H13" s="3" t="s">
        <v>125</v>
      </c>
      <c r="I13" s="2"/>
      <c r="J13" s="3" t="s">
        <v>126</v>
      </c>
      <c r="K13" s="3" t="s">
        <v>127</v>
      </c>
      <c r="L13" s="3" t="s">
        <v>5141</v>
      </c>
      <c r="M13" s="2"/>
      <c r="N13" s="2"/>
      <c r="O13" s="3" t="s">
        <v>26</v>
      </c>
      <c r="P13" s="3" t="s">
        <v>128</v>
      </c>
      <c r="Q13" s="3" t="s">
        <v>5142</v>
      </c>
      <c r="R13" s="3" t="s">
        <v>72</v>
      </c>
      <c r="S13" s="3" t="s">
        <v>29</v>
      </c>
      <c r="T13" s="3" t="s">
        <v>129</v>
      </c>
      <c r="U13" s="2"/>
      <c r="V13" s="3" t="s">
        <v>27</v>
      </c>
      <c r="W13" s="2"/>
      <c r="X13" s="2"/>
      <c r="Y13" s="2"/>
    </row>
    <row r="14" spans="1:25" x14ac:dyDescent="0.2">
      <c r="A14" s="3">
        <v>2396</v>
      </c>
      <c r="B14" s="4" t="s">
        <v>130</v>
      </c>
      <c r="C14" s="3" t="s">
        <v>131</v>
      </c>
      <c r="D14" s="3" t="s">
        <v>5144</v>
      </c>
      <c r="E14" s="3" t="s">
        <v>132</v>
      </c>
      <c r="F14" s="3" t="s">
        <v>5145</v>
      </c>
      <c r="G14" s="3" t="s">
        <v>133</v>
      </c>
      <c r="H14" s="3" t="s">
        <v>134</v>
      </c>
      <c r="I14" s="3" t="s">
        <v>134</v>
      </c>
      <c r="J14" s="3" t="s">
        <v>135</v>
      </c>
      <c r="K14" s="3" t="s">
        <v>136</v>
      </c>
      <c r="L14" s="3" t="s">
        <v>5146</v>
      </c>
      <c r="M14" s="2"/>
      <c r="N14" s="2"/>
      <c r="O14" s="3" t="s">
        <v>26</v>
      </c>
      <c r="P14" s="3" t="s">
        <v>137</v>
      </c>
      <c r="Q14" s="3" t="s">
        <v>5134</v>
      </c>
      <c r="R14" s="3" t="s">
        <v>72</v>
      </c>
      <c r="S14" s="3" t="s">
        <v>29</v>
      </c>
      <c r="T14" s="3" t="s">
        <v>138</v>
      </c>
      <c r="U14" s="2"/>
      <c r="V14" s="3" t="s">
        <v>113</v>
      </c>
      <c r="W14" s="2"/>
      <c r="X14" s="2"/>
      <c r="Y14" s="2"/>
    </row>
    <row r="15" spans="1:25" x14ac:dyDescent="0.2">
      <c r="A15" s="3">
        <v>2397</v>
      </c>
      <c r="B15" s="4" t="s">
        <v>139</v>
      </c>
      <c r="C15" s="3" t="s">
        <v>140</v>
      </c>
      <c r="D15" s="3" t="s">
        <v>5148</v>
      </c>
      <c r="E15" s="3" t="s">
        <v>141</v>
      </c>
      <c r="F15" s="3" t="s">
        <v>5149</v>
      </c>
      <c r="G15" s="3" t="s">
        <v>142</v>
      </c>
      <c r="H15" s="2"/>
      <c r="I15" s="2"/>
      <c r="J15" s="3" t="s">
        <v>143</v>
      </c>
      <c r="K15" s="3" t="s">
        <v>144</v>
      </c>
      <c r="L15" s="3" t="s">
        <v>5150</v>
      </c>
      <c r="M15" s="2"/>
      <c r="N15" s="2"/>
      <c r="O15" s="3" t="s">
        <v>26</v>
      </c>
      <c r="P15" s="3" t="s">
        <v>27</v>
      </c>
      <c r="Q15" s="3" t="s">
        <v>5079</v>
      </c>
      <c r="R15" s="3" t="s">
        <v>72</v>
      </c>
      <c r="S15" s="3" t="s">
        <v>29</v>
      </c>
      <c r="T15" s="3" t="s">
        <v>145</v>
      </c>
      <c r="U15" s="3" t="s">
        <v>43</v>
      </c>
      <c r="V15" s="3" t="s">
        <v>27</v>
      </c>
      <c r="W15" s="2"/>
      <c r="X15" s="2"/>
      <c r="Y15" s="2"/>
    </row>
    <row r="16" spans="1:25" x14ac:dyDescent="0.2">
      <c r="A16" s="3">
        <v>2398</v>
      </c>
      <c r="B16" s="4" t="s">
        <v>146</v>
      </c>
      <c r="C16" s="3" t="s">
        <v>147</v>
      </c>
      <c r="D16" s="3" t="s">
        <v>5152</v>
      </c>
      <c r="E16" s="3" t="s">
        <v>148</v>
      </c>
      <c r="F16" s="3" t="s">
        <v>5153</v>
      </c>
      <c r="G16" s="3" t="s">
        <v>149</v>
      </c>
      <c r="H16" s="5">
        <v>45505</v>
      </c>
      <c r="I16" s="2"/>
      <c r="J16" s="3" t="s">
        <v>36</v>
      </c>
      <c r="K16" s="3" t="s">
        <v>150</v>
      </c>
      <c r="L16" s="3" t="s">
        <v>5154</v>
      </c>
      <c r="M16" s="2"/>
      <c r="N16" s="2"/>
      <c r="O16" s="3" t="s">
        <v>26</v>
      </c>
      <c r="P16" s="3" t="s">
        <v>151</v>
      </c>
      <c r="Q16" s="3" t="s">
        <v>5155</v>
      </c>
      <c r="R16" s="3" t="s">
        <v>72</v>
      </c>
      <c r="S16" s="3" t="s">
        <v>29</v>
      </c>
      <c r="T16" s="3" t="s">
        <v>152</v>
      </c>
      <c r="U16" s="3" t="s">
        <v>43</v>
      </c>
      <c r="V16" s="3" t="s">
        <v>151</v>
      </c>
      <c r="W16" s="2"/>
      <c r="X16" s="2"/>
      <c r="Y16" s="2"/>
    </row>
    <row r="17" spans="1:25" x14ac:dyDescent="0.2">
      <c r="A17" s="3">
        <v>2399</v>
      </c>
      <c r="B17" s="4" t="s">
        <v>153</v>
      </c>
      <c r="C17" s="3" t="s">
        <v>154</v>
      </c>
      <c r="D17" s="3" t="s">
        <v>5157</v>
      </c>
      <c r="E17" s="3" t="s">
        <v>155</v>
      </c>
      <c r="F17" s="3" t="s">
        <v>5158</v>
      </c>
      <c r="G17" s="3" t="s">
        <v>83</v>
      </c>
      <c r="H17" s="3" t="s">
        <v>156</v>
      </c>
      <c r="I17" s="3" t="s">
        <v>156</v>
      </c>
      <c r="J17" s="3" t="s">
        <v>157</v>
      </c>
      <c r="K17" s="3" t="s">
        <v>158</v>
      </c>
      <c r="L17" s="3" t="s">
        <v>5159</v>
      </c>
      <c r="M17" s="2"/>
      <c r="N17" s="2"/>
      <c r="O17" s="3" t="s">
        <v>39</v>
      </c>
      <c r="P17" s="3" t="s">
        <v>60</v>
      </c>
      <c r="Q17" s="3" t="s">
        <v>5100</v>
      </c>
      <c r="R17" s="3" t="s">
        <v>72</v>
      </c>
      <c r="S17" s="3" t="s">
        <v>29</v>
      </c>
      <c r="T17" s="3" t="s">
        <v>159</v>
      </c>
      <c r="U17" s="2"/>
      <c r="V17" s="3" t="s">
        <v>60</v>
      </c>
      <c r="W17" s="3" t="s">
        <v>160</v>
      </c>
      <c r="X17" s="2"/>
      <c r="Y17" s="2"/>
    </row>
    <row r="18" spans="1:25" x14ac:dyDescent="0.2">
      <c r="A18" s="3">
        <v>2400</v>
      </c>
      <c r="B18" s="4" t="s">
        <v>161</v>
      </c>
      <c r="C18" s="3" t="s">
        <v>162</v>
      </c>
      <c r="D18" s="3" t="s">
        <v>5162</v>
      </c>
      <c r="E18" s="3" t="s">
        <v>163</v>
      </c>
      <c r="F18" s="3" t="s">
        <v>5163</v>
      </c>
      <c r="G18" s="3" t="s">
        <v>164</v>
      </c>
      <c r="H18" s="3" t="s">
        <v>164</v>
      </c>
      <c r="I18" s="2"/>
      <c r="J18" s="3" t="s">
        <v>36</v>
      </c>
      <c r="K18" s="3" t="s">
        <v>165</v>
      </c>
      <c r="L18" s="3" t="s">
        <v>5164</v>
      </c>
      <c r="M18" s="2"/>
      <c r="N18" s="2"/>
      <c r="O18" s="3" t="s">
        <v>39</v>
      </c>
      <c r="P18" s="3" t="s">
        <v>60</v>
      </c>
      <c r="Q18" s="3" t="s">
        <v>5100</v>
      </c>
      <c r="R18" s="3" t="s">
        <v>72</v>
      </c>
      <c r="S18" s="3" t="s">
        <v>29</v>
      </c>
      <c r="T18" s="3" t="s">
        <v>166</v>
      </c>
      <c r="U18" s="3" t="s">
        <v>167</v>
      </c>
      <c r="V18" s="3" t="s">
        <v>168</v>
      </c>
      <c r="W18" s="2"/>
      <c r="X18" s="2"/>
      <c r="Y18" s="2"/>
    </row>
    <row r="19" spans="1:25" x14ac:dyDescent="0.2">
      <c r="A19" s="3">
        <v>2401</v>
      </c>
      <c r="B19" s="4" t="s">
        <v>169</v>
      </c>
      <c r="C19" s="3" t="s">
        <v>170</v>
      </c>
      <c r="D19" s="3" t="s">
        <v>5168</v>
      </c>
      <c r="E19" s="3" t="s">
        <v>171</v>
      </c>
      <c r="F19" s="3" t="s">
        <v>5169</v>
      </c>
      <c r="G19" s="3" t="s">
        <v>172</v>
      </c>
      <c r="H19" s="2"/>
      <c r="I19" s="2"/>
      <c r="J19" s="3" t="s">
        <v>173</v>
      </c>
      <c r="K19" s="3" t="s">
        <v>174</v>
      </c>
      <c r="L19" s="3" t="s">
        <v>5170</v>
      </c>
      <c r="M19" s="2"/>
      <c r="N19" s="2"/>
      <c r="O19" s="3" t="s">
        <v>26</v>
      </c>
      <c r="P19" s="3" t="s">
        <v>27</v>
      </c>
      <c r="Q19" s="3" t="s">
        <v>5079</v>
      </c>
      <c r="R19" s="3" t="s">
        <v>72</v>
      </c>
      <c r="S19" s="3" t="s">
        <v>29</v>
      </c>
      <c r="T19" s="3" t="s">
        <v>175</v>
      </c>
      <c r="U19" s="3" t="s">
        <v>43</v>
      </c>
      <c r="V19" s="3" t="s">
        <v>27</v>
      </c>
      <c r="W19" s="2"/>
      <c r="X19" s="2"/>
      <c r="Y19" s="2"/>
    </row>
    <row r="20" spans="1:25" x14ac:dyDescent="0.2">
      <c r="A20" s="3">
        <v>2402</v>
      </c>
      <c r="B20" s="4" t="s">
        <v>176</v>
      </c>
      <c r="C20" s="3" t="s">
        <v>177</v>
      </c>
      <c r="D20" s="3" t="s">
        <v>5172</v>
      </c>
      <c r="E20" s="3" t="s">
        <v>178</v>
      </c>
      <c r="F20" s="3" t="s">
        <v>5173</v>
      </c>
      <c r="G20" s="3" t="s">
        <v>179</v>
      </c>
      <c r="H20" s="3" t="s">
        <v>117</v>
      </c>
      <c r="I20" s="2"/>
      <c r="J20" s="3" t="s">
        <v>36</v>
      </c>
      <c r="K20" s="3" t="s">
        <v>150</v>
      </c>
      <c r="L20" s="3" t="s">
        <v>5154</v>
      </c>
      <c r="M20" s="2"/>
      <c r="N20" s="2"/>
      <c r="O20" s="3" t="s">
        <v>39</v>
      </c>
      <c r="P20" s="3" t="s">
        <v>27</v>
      </c>
      <c r="Q20" s="3" t="s">
        <v>5079</v>
      </c>
      <c r="R20" s="3" t="s">
        <v>72</v>
      </c>
      <c r="S20" s="3" t="s">
        <v>29</v>
      </c>
      <c r="T20" s="3" t="s">
        <v>180</v>
      </c>
      <c r="U20" s="3" t="s">
        <v>43</v>
      </c>
      <c r="V20" s="3" t="s">
        <v>27</v>
      </c>
      <c r="W20" s="2"/>
      <c r="X20" s="2"/>
      <c r="Y20" s="2"/>
    </row>
    <row r="21" spans="1:25" x14ac:dyDescent="0.2">
      <c r="A21" s="3">
        <v>2403</v>
      </c>
      <c r="B21" s="4" t="s">
        <v>181</v>
      </c>
      <c r="C21" s="3" t="s">
        <v>182</v>
      </c>
      <c r="D21" s="3" t="s">
        <v>5175</v>
      </c>
      <c r="E21" s="3" t="s">
        <v>183</v>
      </c>
      <c r="F21" s="3" t="s">
        <v>5176</v>
      </c>
      <c r="G21" s="3" t="s">
        <v>184</v>
      </c>
      <c r="H21" s="2"/>
      <c r="I21" s="2"/>
      <c r="J21" s="3" t="s">
        <v>36</v>
      </c>
      <c r="K21" s="3" t="s">
        <v>185</v>
      </c>
      <c r="L21" s="3" t="s">
        <v>5177</v>
      </c>
      <c r="M21" s="2"/>
      <c r="N21" s="2"/>
      <c r="O21" s="3" t="s">
        <v>39</v>
      </c>
      <c r="P21" s="3" t="s">
        <v>186</v>
      </c>
      <c r="Q21" s="3" t="s">
        <v>5178</v>
      </c>
      <c r="R21" s="3" t="s">
        <v>72</v>
      </c>
      <c r="S21" s="3" t="s">
        <v>29</v>
      </c>
      <c r="T21" s="3" t="s">
        <v>187</v>
      </c>
      <c r="U21" s="2"/>
      <c r="V21" s="3" t="s">
        <v>186</v>
      </c>
      <c r="W21" s="3" t="s">
        <v>188</v>
      </c>
      <c r="X21" s="2"/>
      <c r="Y21" s="2"/>
    </row>
    <row r="22" spans="1:25" x14ac:dyDescent="0.2">
      <c r="A22" s="3">
        <v>2404</v>
      </c>
      <c r="B22" s="4" t="s">
        <v>189</v>
      </c>
      <c r="C22" s="3" t="s">
        <v>190</v>
      </c>
      <c r="D22" s="3" t="s">
        <v>5181</v>
      </c>
      <c r="E22" s="3" t="s">
        <v>191</v>
      </c>
      <c r="F22" s="3" t="s">
        <v>5182</v>
      </c>
      <c r="G22" s="3" t="s">
        <v>192</v>
      </c>
      <c r="H22" s="2"/>
      <c r="I22" s="2"/>
      <c r="J22" s="3" t="s">
        <v>69</v>
      </c>
      <c r="K22" s="3" t="s">
        <v>193</v>
      </c>
      <c r="L22" s="3" t="s">
        <v>5183</v>
      </c>
      <c r="M22" s="2"/>
      <c r="N22" s="4" t="s">
        <v>194</v>
      </c>
      <c r="O22" s="3" t="s">
        <v>39</v>
      </c>
      <c r="P22" s="3" t="s">
        <v>27</v>
      </c>
      <c r="Q22" s="3" t="s">
        <v>5079</v>
      </c>
      <c r="R22" s="3" t="s">
        <v>72</v>
      </c>
      <c r="S22" s="3" t="s">
        <v>29</v>
      </c>
      <c r="T22" s="3" t="s">
        <v>195</v>
      </c>
      <c r="U22" s="2"/>
      <c r="V22" s="3" t="s">
        <v>27</v>
      </c>
      <c r="W22" s="2"/>
      <c r="X22" s="2"/>
      <c r="Y22" s="2"/>
    </row>
    <row r="23" spans="1:25" x14ac:dyDescent="0.2">
      <c r="A23" s="3">
        <v>2405</v>
      </c>
      <c r="B23" s="4" t="s">
        <v>196</v>
      </c>
      <c r="C23" s="3" t="s">
        <v>197</v>
      </c>
      <c r="D23" s="3" t="s">
        <v>5185</v>
      </c>
      <c r="E23" s="3" t="s">
        <v>198</v>
      </c>
      <c r="F23" s="3" t="s">
        <v>5186</v>
      </c>
      <c r="G23" s="3" t="s">
        <v>199</v>
      </c>
      <c r="H23" s="3" t="s">
        <v>200</v>
      </c>
      <c r="I23" s="2"/>
      <c r="J23" s="3" t="s">
        <v>201</v>
      </c>
      <c r="K23" s="3" t="s">
        <v>202</v>
      </c>
      <c r="L23" s="3" t="s">
        <v>5188</v>
      </c>
      <c r="M23" s="2"/>
      <c r="N23" s="2"/>
      <c r="O23" s="3" t="s">
        <v>39</v>
      </c>
      <c r="P23" s="3" t="s">
        <v>27</v>
      </c>
      <c r="Q23" s="3" t="s">
        <v>5079</v>
      </c>
      <c r="R23" s="3" t="s">
        <v>72</v>
      </c>
      <c r="S23" s="3" t="s">
        <v>29</v>
      </c>
      <c r="T23" s="3" t="s">
        <v>203</v>
      </c>
      <c r="U23" s="3" t="s">
        <v>43</v>
      </c>
      <c r="V23" s="3" t="s">
        <v>27</v>
      </c>
      <c r="W23" s="2"/>
      <c r="X23" s="2"/>
      <c r="Y23" s="2"/>
    </row>
    <row r="24" spans="1:25" x14ac:dyDescent="0.2">
      <c r="A24" s="3">
        <v>2406</v>
      </c>
      <c r="B24" s="4" t="s">
        <v>204</v>
      </c>
      <c r="C24" s="3" t="s">
        <v>205</v>
      </c>
      <c r="D24" s="3" t="s">
        <v>5190</v>
      </c>
      <c r="E24" s="3" t="s">
        <v>206</v>
      </c>
      <c r="F24" s="3" t="s">
        <v>5191</v>
      </c>
      <c r="G24" s="3" t="s">
        <v>207</v>
      </c>
      <c r="H24" s="2"/>
      <c r="I24" s="2"/>
      <c r="J24" s="3" t="s">
        <v>36</v>
      </c>
      <c r="K24" s="3" t="s">
        <v>208</v>
      </c>
      <c r="L24" s="3" t="s">
        <v>5192</v>
      </c>
      <c r="M24" s="2"/>
      <c r="N24" s="2"/>
      <c r="O24" s="3" t="s">
        <v>39</v>
      </c>
      <c r="P24" s="3" t="s">
        <v>209</v>
      </c>
      <c r="Q24" s="3" t="s">
        <v>5193</v>
      </c>
      <c r="R24" s="3" t="s">
        <v>72</v>
      </c>
      <c r="S24" s="3" t="s">
        <v>29</v>
      </c>
      <c r="T24" s="3" t="s">
        <v>210</v>
      </c>
      <c r="U24" s="3" t="s">
        <v>211</v>
      </c>
      <c r="V24" s="3" t="s">
        <v>212</v>
      </c>
      <c r="W24" s="2"/>
      <c r="X24" s="2"/>
      <c r="Y24" s="2"/>
    </row>
    <row r="25" spans="1:25" x14ac:dyDescent="0.2">
      <c r="A25" s="3">
        <v>2407</v>
      </c>
      <c r="B25" s="4" t="s">
        <v>213</v>
      </c>
      <c r="C25" s="3" t="s">
        <v>214</v>
      </c>
      <c r="D25" s="3" t="s">
        <v>5196</v>
      </c>
      <c r="E25" s="3" t="s">
        <v>215</v>
      </c>
      <c r="F25" s="3" t="s">
        <v>5197</v>
      </c>
      <c r="G25" s="3" t="s">
        <v>216</v>
      </c>
      <c r="H25" s="2"/>
      <c r="I25" s="2"/>
      <c r="J25" s="3" t="s">
        <v>173</v>
      </c>
      <c r="K25" s="3" t="s">
        <v>217</v>
      </c>
      <c r="L25" s="3" t="s">
        <v>5198</v>
      </c>
      <c r="M25" s="2"/>
      <c r="N25" s="2"/>
      <c r="O25" s="3" t="s">
        <v>26</v>
      </c>
      <c r="P25" s="2"/>
      <c r="Q25" s="3">
        <v>0</v>
      </c>
      <c r="R25" s="3" t="s">
        <v>72</v>
      </c>
      <c r="S25" s="3" t="s">
        <v>29</v>
      </c>
      <c r="T25" s="3" t="s">
        <v>218</v>
      </c>
      <c r="U25" s="2"/>
      <c r="V25" s="2"/>
      <c r="W25" s="3" t="s">
        <v>219</v>
      </c>
      <c r="X25" s="2"/>
      <c r="Y25" s="2"/>
    </row>
    <row r="26" spans="1:25" x14ac:dyDescent="0.2">
      <c r="A26" s="3">
        <v>2408</v>
      </c>
      <c r="B26" s="4" t="s">
        <v>220</v>
      </c>
      <c r="C26" s="3" t="s">
        <v>221</v>
      </c>
      <c r="D26" s="3" t="s">
        <v>5201</v>
      </c>
      <c r="E26" s="3" t="s">
        <v>222</v>
      </c>
      <c r="F26" s="3" t="s">
        <v>5202</v>
      </c>
      <c r="G26" s="3" t="s">
        <v>223</v>
      </c>
      <c r="H26" s="2"/>
      <c r="I26" s="2"/>
      <c r="J26" s="3" t="s">
        <v>224</v>
      </c>
      <c r="K26" s="3" t="s">
        <v>225</v>
      </c>
      <c r="L26" s="3" t="s">
        <v>5204</v>
      </c>
      <c r="M26" s="2"/>
      <c r="N26" s="2"/>
      <c r="O26" s="3" t="s">
        <v>39</v>
      </c>
      <c r="P26" s="2"/>
      <c r="Q26" s="3">
        <v>0</v>
      </c>
      <c r="R26" s="3" t="s">
        <v>72</v>
      </c>
      <c r="S26" s="3" t="s">
        <v>29</v>
      </c>
      <c r="T26" s="3" t="s">
        <v>159</v>
      </c>
      <c r="U26" s="3" t="s">
        <v>43</v>
      </c>
      <c r="V26" s="2"/>
      <c r="W26" s="2"/>
      <c r="X26" s="2"/>
      <c r="Y26" s="2"/>
    </row>
    <row r="27" spans="1:25" x14ac:dyDescent="0.2">
      <c r="A27" s="3">
        <v>2409</v>
      </c>
      <c r="B27" s="4" t="s">
        <v>226</v>
      </c>
      <c r="C27" s="3" t="s">
        <v>227</v>
      </c>
      <c r="D27" s="3" t="s">
        <v>5205</v>
      </c>
      <c r="E27" s="3" t="s">
        <v>228</v>
      </c>
      <c r="F27" s="3" t="s">
        <v>5206</v>
      </c>
      <c r="G27" s="3" t="s">
        <v>229</v>
      </c>
      <c r="H27" s="2"/>
      <c r="I27" s="2"/>
      <c r="J27" s="3" t="s">
        <v>36</v>
      </c>
      <c r="K27" s="3" t="s">
        <v>230</v>
      </c>
      <c r="L27" s="3" t="s">
        <v>5207</v>
      </c>
      <c r="M27" s="2"/>
      <c r="N27" s="2"/>
      <c r="O27" s="3" t="s">
        <v>39</v>
      </c>
      <c r="P27" s="3" t="s">
        <v>27</v>
      </c>
      <c r="Q27" s="3" t="s">
        <v>5079</v>
      </c>
      <c r="R27" s="3" t="s">
        <v>72</v>
      </c>
      <c r="S27" s="3" t="s">
        <v>29</v>
      </c>
      <c r="T27" s="3" t="s">
        <v>231</v>
      </c>
      <c r="U27" s="3" t="s">
        <v>232</v>
      </c>
      <c r="V27" s="3" t="s">
        <v>233</v>
      </c>
      <c r="W27" s="3" t="s">
        <v>234</v>
      </c>
      <c r="X27" s="2"/>
      <c r="Y27" s="2"/>
    </row>
    <row r="28" spans="1:25" x14ac:dyDescent="0.2">
      <c r="A28" s="3">
        <v>2410</v>
      </c>
      <c r="B28" s="4" t="s">
        <v>235</v>
      </c>
      <c r="C28" s="3" t="s">
        <v>236</v>
      </c>
      <c r="D28" s="3" t="s">
        <v>5212</v>
      </c>
      <c r="E28" s="3" t="s">
        <v>237</v>
      </c>
      <c r="F28" s="3" t="s">
        <v>5213</v>
      </c>
      <c r="G28" s="3" t="s">
        <v>238</v>
      </c>
      <c r="H28" s="2"/>
      <c r="I28" s="2"/>
      <c r="J28" s="3" t="s">
        <v>36</v>
      </c>
      <c r="K28" s="3" t="s">
        <v>239</v>
      </c>
      <c r="L28" s="3" t="s">
        <v>5214</v>
      </c>
      <c r="M28" s="2"/>
      <c r="N28" s="2"/>
      <c r="O28" s="3" t="s">
        <v>39</v>
      </c>
      <c r="P28" s="2"/>
      <c r="Q28" s="3">
        <v>0</v>
      </c>
      <c r="R28" s="3" t="s">
        <v>72</v>
      </c>
      <c r="S28" s="3" t="s">
        <v>29</v>
      </c>
      <c r="T28" s="3" t="s">
        <v>180</v>
      </c>
      <c r="U28" s="3" t="s">
        <v>43</v>
      </c>
      <c r="V28" s="2"/>
      <c r="W28" s="2"/>
      <c r="X28" s="2"/>
      <c r="Y28" s="2"/>
    </row>
    <row r="29" spans="1:25" x14ac:dyDescent="0.2">
      <c r="A29" s="3">
        <v>2411</v>
      </c>
      <c r="B29" s="4" t="s">
        <v>240</v>
      </c>
      <c r="C29" s="3" t="s">
        <v>241</v>
      </c>
      <c r="D29" s="3" t="s">
        <v>5215</v>
      </c>
      <c r="E29" s="3" t="s">
        <v>242</v>
      </c>
      <c r="F29" s="3" t="s">
        <v>5216</v>
      </c>
      <c r="G29" s="3" t="s">
        <v>243</v>
      </c>
      <c r="H29" s="2"/>
      <c r="I29" s="2"/>
      <c r="J29" s="3" t="s">
        <v>36</v>
      </c>
      <c r="K29" s="3" t="s">
        <v>244</v>
      </c>
      <c r="L29" s="3" t="s">
        <v>5217</v>
      </c>
      <c r="M29" s="2"/>
      <c r="N29" s="2"/>
      <c r="O29" s="3" t="s">
        <v>39</v>
      </c>
      <c r="P29" s="3" t="s">
        <v>245</v>
      </c>
      <c r="Q29" s="3" t="s">
        <v>5218</v>
      </c>
      <c r="R29" s="3" t="s">
        <v>72</v>
      </c>
      <c r="S29" s="3" t="s">
        <v>29</v>
      </c>
      <c r="T29" s="3" t="s">
        <v>246</v>
      </c>
      <c r="U29" s="2"/>
      <c r="V29" s="3" t="s">
        <v>247</v>
      </c>
      <c r="W29" s="2"/>
      <c r="X29" s="2"/>
      <c r="Y29" s="2"/>
    </row>
    <row r="30" spans="1:25" x14ac:dyDescent="0.2">
      <c r="A30" s="3">
        <v>2412</v>
      </c>
      <c r="B30" s="4" t="s">
        <v>248</v>
      </c>
      <c r="C30" s="3" t="s">
        <v>249</v>
      </c>
      <c r="D30" s="3" t="s">
        <v>5221</v>
      </c>
      <c r="E30" s="3" t="s">
        <v>250</v>
      </c>
      <c r="F30" s="3" t="s">
        <v>5222</v>
      </c>
      <c r="G30" s="3" t="s">
        <v>251</v>
      </c>
      <c r="H30" s="2"/>
      <c r="I30" s="2"/>
      <c r="J30" s="3" t="s">
        <v>36</v>
      </c>
      <c r="K30" s="3" t="s">
        <v>252</v>
      </c>
      <c r="L30" s="3" t="s">
        <v>5223</v>
      </c>
      <c r="M30" s="2"/>
      <c r="N30" s="2"/>
      <c r="O30" s="3" t="s">
        <v>39</v>
      </c>
      <c r="P30" s="3" t="s">
        <v>245</v>
      </c>
      <c r="Q30" s="3" t="s">
        <v>5218</v>
      </c>
      <c r="R30" s="3" t="s">
        <v>72</v>
      </c>
      <c r="S30" s="3" t="s">
        <v>29</v>
      </c>
      <c r="T30" s="3" t="s">
        <v>203</v>
      </c>
      <c r="U30" s="3" t="s">
        <v>253</v>
      </c>
      <c r="V30" s="3" t="s">
        <v>245</v>
      </c>
      <c r="W30" s="2"/>
      <c r="X30" s="2"/>
      <c r="Y30" s="2"/>
    </row>
    <row r="31" spans="1:25" x14ac:dyDescent="0.2">
      <c r="A31" s="3">
        <v>2413</v>
      </c>
      <c r="B31" s="4" t="s">
        <v>254</v>
      </c>
      <c r="C31" s="3" t="s">
        <v>255</v>
      </c>
      <c r="D31" s="3" t="s">
        <v>5225</v>
      </c>
      <c r="E31" s="3" t="s">
        <v>256</v>
      </c>
      <c r="F31" s="3" t="s">
        <v>5226</v>
      </c>
      <c r="G31" s="3" t="s">
        <v>257</v>
      </c>
      <c r="H31" s="2"/>
      <c r="I31" s="2"/>
      <c r="J31" s="3" t="s">
        <v>258</v>
      </c>
      <c r="K31" s="3" t="s">
        <v>259</v>
      </c>
      <c r="L31" s="3" t="s">
        <v>5228</v>
      </c>
      <c r="M31" s="2"/>
      <c r="N31" s="2"/>
      <c r="O31" s="3" t="s">
        <v>39</v>
      </c>
      <c r="P31" s="3" t="s">
        <v>245</v>
      </c>
      <c r="Q31" s="3" t="s">
        <v>5218</v>
      </c>
      <c r="R31" s="3" t="s">
        <v>72</v>
      </c>
      <c r="S31" s="3" t="s">
        <v>29</v>
      </c>
      <c r="T31" s="3" t="s">
        <v>260</v>
      </c>
      <c r="U31" s="3" t="s">
        <v>253</v>
      </c>
      <c r="V31" s="3" t="s">
        <v>245</v>
      </c>
      <c r="W31" s="3" t="s">
        <v>261</v>
      </c>
      <c r="X31" s="2"/>
      <c r="Y31" s="2"/>
    </row>
    <row r="32" spans="1:25" x14ac:dyDescent="0.2">
      <c r="A32" s="3">
        <v>2414</v>
      </c>
      <c r="B32" s="4" t="s">
        <v>262</v>
      </c>
      <c r="C32" s="3" t="s">
        <v>263</v>
      </c>
      <c r="D32" s="3" t="s">
        <v>5231</v>
      </c>
      <c r="E32" s="3" t="s">
        <v>264</v>
      </c>
      <c r="F32" s="3" t="s">
        <v>5232</v>
      </c>
      <c r="G32" s="3" t="s">
        <v>265</v>
      </c>
      <c r="H32" s="2"/>
      <c r="I32" s="2"/>
      <c r="J32" s="3" t="s">
        <v>36</v>
      </c>
      <c r="K32" s="3" t="s">
        <v>266</v>
      </c>
      <c r="L32" s="3" t="s">
        <v>5233</v>
      </c>
      <c r="M32" s="2"/>
      <c r="N32" s="2"/>
      <c r="O32" s="3" t="s">
        <v>39</v>
      </c>
      <c r="P32" s="3" t="s">
        <v>267</v>
      </c>
      <c r="Q32" s="3" t="s">
        <v>5234</v>
      </c>
      <c r="R32" s="3" t="s">
        <v>72</v>
      </c>
      <c r="S32" s="3" t="s">
        <v>29</v>
      </c>
      <c r="T32" s="3" t="s">
        <v>246</v>
      </c>
      <c r="U32" s="3" t="s">
        <v>268</v>
      </c>
      <c r="V32" s="3" t="s">
        <v>267</v>
      </c>
      <c r="W32" s="3" t="s">
        <v>269</v>
      </c>
      <c r="X32" s="2"/>
      <c r="Y32" s="2"/>
    </row>
    <row r="33" spans="1:25" x14ac:dyDescent="0.2">
      <c r="A33" s="3">
        <v>2415</v>
      </c>
      <c r="B33" s="4" t="s">
        <v>270</v>
      </c>
      <c r="C33" s="3" t="s">
        <v>271</v>
      </c>
      <c r="D33" s="3" t="s">
        <v>5237</v>
      </c>
      <c r="E33" s="3" t="s">
        <v>272</v>
      </c>
      <c r="F33" s="3" t="s">
        <v>5238</v>
      </c>
      <c r="G33" s="3" t="s">
        <v>100</v>
      </c>
      <c r="H33" s="2"/>
      <c r="I33" s="2"/>
      <c r="J33" s="3" t="s">
        <v>36</v>
      </c>
      <c r="K33" s="3" t="s">
        <v>273</v>
      </c>
      <c r="L33" s="3" t="s">
        <v>5239</v>
      </c>
      <c r="M33" s="2"/>
      <c r="N33" s="2"/>
      <c r="O33" s="3" t="s">
        <v>39</v>
      </c>
      <c r="P33" s="3" t="s">
        <v>274</v>
      </c>
      <c r="Q33" s="3" t="s">
        <v>5240</v>
      </c>
      <c r="R33" s="3" t="s">
        <v>41</v>
      </c>
      <c r="S33" s="3" t="s">
        <v>29</v>
      </c>
      <c r="T33" s="2"/>
      <c r="U33" s="3" t="s">
        <v>275</v>
      </c>
      <c r="V33" s="3" t="s">
        <v>168</v>
      </c>
      <c r="W33" s="2"/>
      <c r="X33" s="2"/>
      <c r="Y33" s="2"/>
    </row>
    <row r="34" spans="1:25" x14ac:dyDescent="0.2">
      <c r="A34" s="3">
        <v>2416</v>
      </c>
      <c r="B34" s="4" t="s">
        <v>276</v>
      </c>
      <c r="C34" s="3" t="s">
        <v>277</v>
      </c>
      <c r="D34" s="3" t="s">
        <v>5243</v>
      </c>
      <c r="E34" s="3" t="s">
        <v>278</v>
      </c>
      <c r="F34" s="3" t="s">
        <v>5244</v>
      </c>
      <c r="G34" s="3" t="s">
        <v>200</v>
      </c>
      <c r="H34" s="2"/>
      <c r="I34" s="2"/>
      <c r="J34" s="3" t="s">
        <v>36</v>
      </c>
      <c r="K34" s="3" t="s">
        <v>279</v>
      </c>
      <c r="L34" s="3" t="s">
        <v>5245</v>
      </c>
      <c r="M34" s="2"/>
      <c r="N34" s="2"/>
      <c r="O34" s="3" t="s">
        <v>39</v>
      </c>
      <c r="P34" s="3" t="s">
        <v>60</v>
      </c>
      <c r="Q34" s="3" t="s">
        <v>5100</v>
      </c>
      <c r="R34" s="3" t="s">
        <v>72</v>
      </c>
      <c r="S34" s="3" t="s">
        <v>29</v>
      </c>
      <c r="T34" s="3" t="s">
        <v>280</v>
      </c>
      <c r="U34" s="3" t="s">
        <v>268</v>
      </c>
      <c r="V34" s="3" t="s">
        <v>60</v>
      </c>
      <c r="W34" s="2"/>
      <c r="X34" s="2"/>
      <c r="Y34" s="2"/>
    </row>
    <row r="35" spans="1:25" x14ac:dyDescent="0.2">
      <c r="A35" s="3">
        <v>2417</v>
      </c>
      <c r="B35" s="4" t="s">
        <v>281</v>
      </c>
      <c r="C35" s="3" t="s">
        <v>282</v>
      </c>
      <c r="D35" s="3" t="s">
        <v>5247</v>
      </c>
      <c r="E35" s="3" t="s">
        <v>283</v>
      </c>
      <c r="F35" s="3" t="s">
        <v>5248</v>
      </c>
      <c r="G35" s="3" t="s">
        <v>284</v>
      </c>
      <c r="H35" s="2"/>
      <c r="I35" s="2"/>
      <c r="J35" s="3" t="s">
        <v>285</v>
      </c>
      <c r="K35" s="3" t="s">
        <v>286</v>
      </c>
      <c r="L35" s="3" t="s">
        <v>5249</v>
      </c>
      <c r="M35" s="2"/>
      <c r="N35" s="2"/>
      <c r="O35" s="3" t="s">
        <v>26</v>
      </c>
      <c r="P35" s="3" t="s">
        <v>27</v>
      </c>
      <c r="Q35" s="3" t="s">
        <v>5079</v>
      </c>
      <c r="R35" s="3" t="s">
        <v>61</v>
      </c>
      <c r="S35" s="3" t="s">
        <v>29</v>
      </c>
      <c r="T35" s="3" t="s">
        <v>280</v>
      </c>
      <c r="U35" s="3" t="s">
        <v>287</v>
      </c>
      <c r="V35" s="3" t="s">
        <v>27</v>
      </c>
      <c r="W35" s="2"/>
      <c r="X35" s="2"/>
      <c r="Y35" s="2"/>
    </row>
    <row r="36" spans="1:25" x14ac:dyDescent="0.2">
      <c r="A36" s="3">
        <v>2418</v>
      </c>
      <c r="B36" s="4" t="s">
        <v>288</v>
      </c>
      <c r="C36" s="3" t="s">
        <v>289</v>
      </c>
      <c r="D36" s="3" t="s">
        <v>5251</v>
      </c>
      <c r="E36" s="3" t="s">
        <v>290</v>
      </c>
      <c r="F36" s="3" t="s">
        <v>5252</v>
      </c>
      <c r="G36" s="3" t="s">
        <v>291</v>
      </c>
      <c r="H36" s="2"/>
      <c r="I36" s="2"/>
      <c r="J36" s="3" t="s">
        <v>36</v>
      </c>
      <c r="K36" s="3" t="s">
        <v>292</v>
      </c>
      <c r="L36" s="3" t="s">
        <v>5253</v>
      </c>
      <c r="M36" s="2"/>
      <c r="N36" s="2"/>
      <c r="O36" s="3" t="s">
        <v>39</v>
      </c>
      <c r="P36" s="3" t="s">
        <v>168</v>
      </c>
      <c r="Q36" s="3" t="s">
        <v>5167</v>
      </c>
      <c r="R36" s="3" t="s">
        <v>72</v>
      </c>
      <c r="S36" s="3" t="s">
        <v>29</v>
      </c>
      <c r="T36" s="3" t="s">
        <v>293</v>
      </c>
      <c r="U36" s="2"/>
      <c r="V36" s="3" t="s">
        <v>168</v>
      </c>
      <c r="W36" s="2"/>
      <c r="X36" s="2"/>
      <c r="Y36" s="2"/>
    </row>
    <row r="37" spans="1:25" x14ac:dyDescent="0.2">
      <c r="A37" s="3">
        <v>2419</v>
      </c>
      <c r="B37" s="4" t="s">
        <v>294</v>
      </c>
      <c r="C37" s="3" t="s">
        <v>295</v>
      </c>
      <c r="D37" s="3" t="s">
        <v>5255</v>
      </c>
      <c r="E37" s="3" t="s">
        <v>296</v>
      </c>
      <c r="F37" s="3" t="s">
        <v>5256</v>
      </c>
      <c r="G37" s="3" t="s">
        <v>297</v>
      </c>
      <c r="H37" s="2"/>
      <c r="I37" s="2"/>
      <c r="J37" s="3" t="s">
        <v>173</v>
      </c>
      <c r="K37" s="3" t="s">
        <v>298</v>
      </c>
      <c r="L37" s="3" t="s">
        <v>5257</v>
      </c>
      <c r="M37" s="2"/>
      <c r="N37" s="2"/>
      <c r="O37" s="3" t="s">
        <v>26</v>
      </c>
      <c r="P37" s="2"/>
      <c r="Q37" s="3">
        <v>0</v>
      </c>
      <c r="R37" s="3" t="s">
        <v>72</v>
      </c>
      <c r="S37" s="3" t="s">
        <v>29</v>
      </c>
      <c r="T37" s="3" t="s">
        <v>299</v>
      </c>
      <c r="U37" s="2"/>
      <c r="V37" s="2"/>
      <c r="W37" s="3" t="s">
        <v>300</v>
      </c>
      <c r="X37" s="2"/>
      <c r="Y37" s="2"/>
    </row>
    <row r="38" spans="1:25" x14ac:dyDescent="0.2">
      <c r="A38" s="3">
        <v>2420</v>
      </c>
      <c r="B38" s="4" t="s">
        <v>301</v>
      </c>
      <c r="C38" s="3" t="s">
        <v>302</v>
      </c>
      <c r="D38" s="3" t="s">
        <v>5260</v>
      </c>
      <c r="E38" s="3" t="s">
        <v>303</v>
      </c>
      <c r="F38" s="3" t="s">
        <v>5261</v>
      </c>
      <c r="G38" s="3" t="s">
        <v>297</v>
      </c>
      <c r="H38" s="2"/>
      <c r="I38" s="2"/>
      <c r="J38" s="3" t="s">
        <v>304</v>
      </c>
      <c r="K38" s="3" t="s">
        <v>305</v>
      </c>
      <c r="L38" s="3" t="s">
        <v>5262</v>
      </c>
      <c r="M38" s="2"/>
      <c r="N38" s="2"/>
      <c r="O38" s="3" t="s">
        <v>26</v>
      </c>
      <c r="P38" s="2"/>
      <c r="Q38" s="3" t="s">
        <v>5079</v>
      </c>
      <c r="R38" s="3" t="s">
        <v>72</v>
      </c>
      <c r="S38" s="3" t="s">
        <v>29</v>
      </c>
      <c r="T38" s="2"/>
      <c r="U38" s="3" t="s">
        <v>306</v>
      </c>
      <c r="V38" s="2"/>
      <c r="W38" s="2"/>
      <c r="X38" s="2"/>
      <c r="Y38" s="2"/>
    </row>
    <row r="39" spans="1:25" x14ac:dyDescent="0.2">
      <c r="A39" s="3">
        <v>2421</v>
      </c>
      <c r="B39" s="4" t="s">
        <v>307</v>
      </c>
      <c r="C39" s="3" t="s">
        <v>308</v>
      </c>
      <c r="D39" s="3" t="s">
        <v>5264</v>
      </c>
      <c r="E39" s="3" t="s">
        <v>309</v>
      </c>
      <c r="F39" s="3" t="s">
        <v>5265</v>
      </c>
      <c r="G39" s="3" t="s">
        <v>310</v>
      </c>
      <c r="H39" s="2"/>
      <c r="I39" s="2"/>
      <c r="J39" s="3" t="s">
        <v>311</v>
      </c>
      <c r="K39" s="3" t="s">
        <v>312</v>
      </c>
      <c r="L39" s="3" t="s">
        <v>5266</v>
      </c>
      <c r="M39" s="2"/>
      <c r="N39" s="2"/>
      <c r="O39" s="3" t="s">
        <v>26</v>
      </c>
      <c r="P39" s="2"/>
      <c r="Q39" s="3">
        <v>0</v>
      </c>
      <c r="R39" s="3" t="s">
        <v>72</v>
      </c>
      <c r="S39" s="3" t="s">
        <v>29</v>
      </c>
      <c r="T39" s="3" t="s">
        <v>313</v>
      </c>
      <c r="U39" s="3" t="s">
        <v>314</v>
      </c>
      <c r="V39" s="2"/>
      <c r="W39" s="3" t="s">
        <v>315</v>
      </c>
      <c r="X39" s="2"/>
      <c r="Y39" s="2"/>
    </row>
    <row r="40" spans="1:25" x14ac:dyDescent="0.2">
      <c r="A40" s="3">
        <v>2422</v>
      </c>
      <c r="B40" s="4" t="s">
        <v>316</v>
      </c>
      <c r="C40" s="3" t="s">
        <v>317</v>
      </c>
      <c r="D40" s="3" t="s">
        <v>5270</v>
      </c>
      <c r="E40" s="3" t="s">
        <v>318</v>
      </c>
      <c r="F40" s="3" t="s">
        <v>5271</v>
      </c>
      <c r="G40" s="3" t="s">
        <v>319</v>
      </c>
      <c r="H40" s="2"/>
      <c r="I40" s="2"/>
      <c r="J40" s="3" t="s">
        <v>320</v>
      </c>
      <c r="K40" s="3" t="s">
        <v>321</v>
      </c>
      <c r="L40" s="3" t="s">
        <v>5272</v>
      </c>
      <c r="M40" s="2"/>
      <c r="N40" s="2"/>
      <c r="O40" s="3" t="s">
        <v>26</v>
      </c>
      <c r="P40" s="3" t="s">
        <v>212</v>
      </c>
      <c r="Q40" s="3" t="s">
        <v>5193</v>
      </c>
      <c r="R40" s="3" t="s">
        <v>72</v>
      </c>
      <c r="S40" s="3" t="s">
        <v>29</v>
      </c>
      <c r="T40" s="3" t="s">
        <v>322</v>
      </c>
      <c r="U40" s="3" t="s">
        <v>43</v>
      </c>
      <c r="V40" s="3" t="s">
        <v>212</v>
      </c>
      <c r="W40" s="3" t="s">
        <v>323</v>
      </c>
      <c r="X40" s="2"/>
      <c r="Y40" s="2"/>
    </row>
    <row r="41" spans="1:25" x14ac:dyDescent="0.2">
      <c r="A41" s="3">
        <v>2423</v>
      </c>
      <c r="B41" s="4" t="s">
        <v>324</v>
      </c>
      <c r="C41" s="3" t="s">
        <v>325</v>
      </c>
      <c r="D41" s="3" t="s">
        <v>5275</v>
      </c>
      <c r="E41" s="3" t="s">
        <v>326</v>
      </c>
      <c r="F41" s="3" t="s">
        <v>5276</v>
      </c>
      <c r="G41" s="3" t="s">
        <v>327</v>
      </c>
      <c r="H41" s="2"/>
      <c r="I41" s="2"/>
      <c r="J41" s="3" t="s">
        <v>69</v>
      </c>
      <c r="K41" s="3" t="s">
        <v>328</v>
      </c>
      <c r="L41" s="3" t="s">
        <v>5277</v>
      </c>
      <c r="M41" s="2"/>
      <c r="N41" s="2"/>
      <c r="O41" s="3" t="s">
        <v>39</v>
      </c>
      <c r="P41" s="3" t="s">
        <v>105</v>
      </c>
      <c r="Q41" s="3" t="s">
        <v>5128</v>
      </c>
      <c r="R41" s="3" t="s">
        <v>72</v>
      </c>
      <c r="S41" s="3" t="s">
        <v>29</v>
      </c>
      <c r="T41" s="3" t="s">
        <v>329</v>
      </c>
      <c r="U41" s="3" t="s">
        <v>43</v>
      </c>
      <c r="V41" s="3" t="s">
        <v>105</v>
      </c>
      <c r="W41" s="2"/>
      <c r="X41" s="2"/>
      <c r="Y41" s="2"/>
    </row>
    <row r="42" spans="1:25" x14ac:dyDescent="0.2">
      <c r="A42" s="3">
        <v>2424</v>
      </c>
      <c r="B42" s="4" t="s">
        <v>330</v>
      </c>
      <c r="C42" s="3" t="s">
        <v>331</v>
      </c>
      <c r="D42" s="3" t="s">
        <v>5279</v>
      </c>
      <c r="E42" s="3" t="s">
        <v>332</v>
      </c>
      <c r="F42" s="3" t="s">
        <v>5280</v>
      </c>
      <c r="G42" s="3" t="s">
        <v>257</v>
      </c>
      <c r="H42" s="2"/>
      <c r="I42" s="2"/>
      <c r="J42" s="3" t="s">
        <v>333</v>
      </c>
      <c r="K42" s="3" t="s">
        <v>334</v>
      </c>
      <c r="L42" s="3" t="s">
        <v>5281</v>
      </c>
      <c r="M42" s="2"/>
      <c r="N42" s="2"/>
      <c r="O42" s="3" t="s">
        <v>26</v>
      </c>
      <c r="P42" s="3" t="s">
        <v>105</v>
      </c>
      <c r="Q42" s="3" t="s">
        <v>5128</v>
      </c>
      <c r="R42" s="3" t="s">
        <v>72</v>
      </c>
      <c r="S42" s="3" t="s">
        <v>29</v>
      </c>
      <c r="T42" s="3" t="s">
        <v>335</v>
      </c>
      <c r="U42" s="3" t="s">
        <v>43</v>
      </c>
      <c r="V42" s="3" t="s">
        <v>336</v>
      </c>
      <c r="W42" s="2"/>
      <c r="X42" s="2"/>
      <c r="Y42" s="2"/>
    </row>
    <row r="43" spans="1:25" x14ac:dyDescent="0.2">
      <c r="A43" s="3">
        <v>2425</v>
      </c>
      <c r="B43" s="4" t="s">
        <v>337</v>
      </c>
      <c r="C43" s="3" t="s">
        <v>338</v>
      </c>
      <c r="D43" s="3" t="s">
        <v>5284</v>
      </c>
      <c r="E43" s="3" t="s">
        <v>339</v>
      </c>
      <c r="F43" s="3" t="s">
        <v>5285</v>
      </c>
      <c r="G43" s="3" t="s">
        <v>340</v>
      </c>
      <c r="H43" s="2"/>
      <c r="I43" s="2"/>
      <c r="J43" s="3" t="s">
        <v>36</v>
      </c>
      <c r="K43" s="3" t="s">
        <v>341</v>
      </c>
      <c r="L43" s="3" t="s">
        <v>5286</v>
      </c>
      <c r="M43" s="2"/>
      <c r="N43" s="2"/>
      <c r="O43" s="3" t="s">
        <v>39</v>
      </c>
      <c r="P43" s="3" t="s">
        <v>212</v>
      </c>
      <c r="Q43" s="3" t="s">
        <v>5193</v>
      </c>
      <c r="R43" s="3" t="s">
        <v>72</v>
      </c>
      <c r="S43" s="3" t="s">
        <v>29</v>
      </c>
      <c r="T43" s="3" t="s">
        <v>342</v>
      </c>
      <c r="U43" s="3" t="s">
        <v>314</v>
      </c>
      <c r="V43" s="3" t="s">
        <v>343</v>
      </c>
      <c r="W43" s="2"/>
      <c r="X43" s="2"/>
      <c r="Y43" s="2"/>
    </row>
    <row r="44" spans="1:25" x14ac:dyDescent="0.2">
      <c r="A44" s="3">
        <v>2426</v>
      </c>
      <c r="B44" s="4" t="s">
        <v>344</v>
      </c>
      <c r="C44" s="3" t="s">
        <v>345</v>
      </c>
      <c r="D44" s="3" t="s">
        <v>5289</v>
      </c>
      <c r="E44" s="3" t="s">
        <v>346</v>
      </c>
      <c r="F44" s="3" t="s">
        <v>5290</v>
      </c>
      <c r="G44" s="3" t="s">
        <v>347</v>
      </c>
      <c r="H44" s="2"/>
      <c r="I44" s="2"/>
      <c r="J44" s="3" t="s">
        <v>348</v>
      </c>
      <c r="K44" s="3" t="s">
        <v>349</v>
      </c>
      <c r="L44" s="3" t="s">
        <v>5292</v>
      </c>
      <c r="M44" s="2"/>
      <c r="N44" s="2"/>
      <c r="O44" s="3" t="s">
        <v>26</v>
      </c>
      <c r="P44" s="3" t="s">
        <v>212</v>
      </c>
      <c r="Q44" s="3" t="s">
        <v>5193</v>
      </c>
      <c r="R44" s="3" t="s">
        <v>72</v>
      </c>
      <c r="S44" s="3" t="s">
        <v>29</v>
      </c>
      <c r="T44" s="3" t="s">
        <v>350</v>
      </c>
      <c r="U44" s="3" t="s">
        <v>314</v>
      </c>
      <c r="V44" s="3" t="s">
        <v>212</v>
      </c>
      <c r="W44" s="2"/>
      <c r="X44" s="2"/>
      <c r="Y44" s="2"/>
    </row>
    <row r="45" spans="1:25" x14ac:dyDescent="0.2">
      <c r="A45" s="3">
        <v>2427</v>
      </c>
      <c r="B45" s="4" t="s">
        <v>351</v>
      </c>
      <c r="C45" s="3" t="s">
        <v>352</v>
      </c>
      <c r="D45" s="3" t="s">
        <v>5294</v>
      </c>
      <c r="E45" s="3" t="s">
        <v>353</v>
      </c>
      <c r="F45" s="3" t="s">
        <v>5295</v>
      </c>
      <c r="G45" s="3" t="s">
        <v>354</v>
      </c>
      <c r="H45" s="2"/>
      <c r="I45" s="2"/>
      <c r="J45" s="3" t="s">
        <v>258</v>
      </c>
      <c r="K45" s="3" t="s">
        <v>355</v>
      </c>
      <c r="L45" s="3" t="s">
        <v>5296</v>
      </c>
      <c r="M45" s="2"/>
      <c r="N45" s="2"/>
      <c r="O45" s="3" t="s">
        <v>39</v>
      </c>
      <c r="P45" s="3" t="s">
        <v>95</v>
      </c>
      <c r="Q45" s="3" t="s">
        <v>5297</v>
      </c>
      <c r="R45" s="3" t="s">
        <v>72</v>
      </c>
      <c r="S45" s="3" t="s">
        <v>29</v>
      </c>
      <c r="T45" s="3" t="s">
        <v>356</v>
      </c>
      <c r="U45" s="3" t="s">
        <v>95</v>
      </c>
      <c r="V45" s="3" t="s">
        <v>357</v>
      </c>
      <c r="W45" s="2"/>
      <c r="X45" s="2"/>
      <c r="Y45" s="2"/>
    </row>
    <row r="46" spans="1:25" x14ac:dyDescent="0.2">
      <c r="A46" s="3">
        <v>2428</v>
      </c>
      <c r="B46" s="4" t="s">
        <v>358</v>
      </c>
      <c r="C46" s="3" t="s">
        <v>359</v>
      </c>
      <c r="D46" s="3" t="s">
        <v>5299</v>
      </c>
      <c r="E46" s="3" t="s">
        <v>360</v>
      </c>
      <c r="F46" s="3" t="s">
        <v>5300</v>
      </c>
      <c r="G46" s="3" t="s">
        <v>34</v>
      </c>
      <c r="H46" s="2"/>
      <c r="I46" s="2"/>
      <c r="J46" s="3" t="s">
        <v>173</v>
      </c>
      <c r="K46" s="3" t="s">
        <v>361</v>
      </c>
      <c r="L46" s="3" t="s">
        <v>5301</v>
      </c>
      <c r="M46" s="2"/>
      <c r="N46" s="2"/>
      <c r="O46" s="3" t="s">
        <v>26</v>
      </c>
      <c r="P46" s="3" t="s">
        <v>95</v>
      </c>
      <c r="Q46" s="3" t="s">
        <v>5297</v>
      </c>
      <c r="R46" s="3" t="s">
        <v>72</v>
      </c>
      <c r="S46" s="3" t="s">
        <v>29</v>
      </c>
      <c r="T46" s="3" t="s">
        <v>362</v>
      </c>
      <c r="U46" s="2"/>
      <c r="V46" s="3" t="s">
        <v>357</v>
      </c>
      <c r="W46" s="2"/>
      <c r="X46" s="2"/>
      <c r="Y46" s="2"/>
    </row>
    <row r="47" spans="1:25" x14ac:dyDescent="0.2">
      <c r="A47" s="3">
        <v>2429</v>
      </c>
      <c r="B47" s="4" t="s">
        <v>363</v>
      </c>
      <c r="C47" s="3" t="s">
        <v>364</v>
      </c>
      <c r="D47" s="3" t="s">
        <v>5303</v>
      </c>
      <c r="E47" s="3" t="s">
        <v>365</v>
      </c>
      <c r="F47" s="3" t="s">
        <v>5304</v>
      </c>
      <c r="G47" s="3" t="s">
        <v>366</v>
      </c>
      <c r="H47" s="3" t="s">
        <v>367</v>
      </c>
      <c r="I47" s="3" t="s">
        <v>367</v>
      </c>
      <c r="J47" s="3" t="s">
        <v>368</v>
      </c>
      <c r="K47" s="3" t="s">
        <v>369</v>
      </c>
      <c r="L47" s="3" t="s">
        <v>5306</v>
      </c>
      <c r="M47" s="2"/>
      <c r="N47" s="2"/>
      <c r="O47" s="3" t="s">
        <v>39</v>
      </c>
      <c r="P47" s="2"/>
      <c r="Q47" s="3">
        <v>0</v>
      </c>
      <c r="R47" s="3" t="s">
        <v>72</v>
      </c>
      <c r="S47" s="3" t="s">
        <v>29</v>
      </c>
      <c r="T47" s="3" t="s">
        <v>370</v>
      </c>
      <c r="U47" s="3" t="s">
        <v>314</v>
      </c>
      <c r="V47" s="2"/>
      <c r="W47" s="2"/>
      <c r="X47" s="2"/>
      <c r="Y47" s="2"/>
    </row>
    <row r="48" spans="1:25" x14ac:dyDescent="0.2">
      <c r="A48" s="3">
        <v>2430</v>
      </c>
      <c r="B48" s="4" t="s">
        <v>371</v>
      </c>
      <c r="C48" s="3" t="s">
        <v>372</v>
      </c>
      <c r="D48" s="3" t="s">
        <v>5308</v>
      </c>
      <c r="E48" s="3" t="s">
        <v>373</v>
      </c>
      <c r="F48" s="3" t="s">
        <v>5309</v>
      </c>
      <c r="G48" s="3" t="s">
        <v>354</v>
      </c>
      <c r="H48" s="2"/>
      <c r="I48" s="2"/>
      <c r="J48" s="3" t="s">
        <v>374</v>
      </c>
      <c r="K48" s="3" t="s">
        <v>375</v>
      </c>
      <c r="L48" s="3" t="s">
        <v>5311</v>
      </c>
      <c r="M48" s="2"/>
      <c r="N48" s="2"/>
      <c r="O48" s="3" t="s">
        <v>39</v>
      </c>
      <c r="P48" s="2"/>
      <c r="Q48" s="3">
        <v>0</v>
      </c>
      <c r="R48" s="3" t="s">
        <v>72</v>
      </c>
      <c r="S48" s="3" t="s">
        <v>29</v>
      </c>
      <c r="T48" s="3" t="s">
        <v>159</v>
      </c>
      <c r="U48" s="3" t="s">
        <v>268</v>
      </c>
      <c r="V48" s="2"/>
      <c r="W48" s="2"/>
      <c r="X48" s="2"/>
      <c r="Y48" s="2"/>
    </row>
    <row r="49" spans="1:25" x14ac:dyDescent="0.2">
      <c r="A49" s="3">
        <v>2431</v>
      </c>
      <c r="B49" s="4" t="s">
        <v>376</v>
      </c>
      <c r="C49" s="3" t="s">
        <v>377</v>
      </c>
      <c r="D49" s="3" t="s">
        <v>5312</v>
      </c>
      <c r="E49" s="3" t="s">
        <v>378</v>
      </c>
      <c r="F49" s="3" t="s">
        <v>5313</v>
      </c>
      <c r="G49" s="3" t="s">
        <v>379</v>
      </c>
      <c r="H49" s="2"/>
      <c r="I49" s="2"/>
      <c r="J49" s="3" t="s">
        <v>380</v>
      </c>
      <c r="K49" s="3" t="s">
        <v>381</v>
      </c>
      <c r="L49" s="3" t="s">
        <v>5314</v>
      </c>
      <c r="M49" s="2"/>
      <c r="N49" s="2"/>
      <c r="O49" s="3" t="s">
        <v>26</v>
      </c>
      <c r="P49" s="2"/>
      <c r="Q49" s="3">
        <v>0</v>
      </c>
      <c r="R49" s="3" t="s">
        <v>72</v>
      </c>
      <c r="S49" s="3" t="s">
        <v>29</v>
      </c>
      <c r="T49" s="3" t="s">
        <v>382</v>
      </c>
      <c r="U49" s="3" t="s">
        <v>383</v>
      </c>
      <c r="V49" s="2"/>
      <c r="W49" s="2"/>
      <c r="X49" s="2"/>
      <c r="Y49" s="2"/>
    </row>
    <row r="50" spans="1:25" x14ac:dyDescent="0.2">
      <c r="A50" s="3">
        <v>2432</v>
      </c>
      <c r="B50" s="4" t="s">
        <v>384</v>
      </c>
      <c r="C50" s="3" t="s">
        <v>385</v>
      </c>
      <c r="D50" s="3" t="s">
        <v>5317</v>
      </c>
      <c r="E50" s="3" t="s">
        <v>386</v>
      </c>
      <c r="F50" s="3" t="s">
        <v>5318</v>
      </c>
      <c r="G50" s="3" t="s">
        <v>291</v>
      </c>
      <c r="H50" s="2"/>
      <c r="I50" s="2"/>
      <c r="J50" s="3" t="s">
        <v>36</v>
      </c>
      <c r="K50" s="3" t="s">
        <v>266</v>
      </c>
      <c r="L50" s="3" t="s">
        <v>5233</v>
      </c>
      <c r="M50" s="2"/>
      <c r="N50" s="2"/>
      <c r="O50" s="3" t="s">
        <v>39</v>
      </c>
      <c r="P50" s="3" t="s">
        <v>168</v>
      </c>
      <c r="Q50" s="3" t="s">
        <v>5167</v>
      </c>
      <c r="R50" s="3" t="s">
        <v>72</v>
      </c>
      <c r="S50" s="3" t="s">
        <v>29</v>
      </c>
      <c r="T50" s="2"/>
      <c r="U50" s="3" t="s">
        <v>387</v>
      </c>
      <c r="V50" s="3" t="s">
        <v>168</v>
      </c>
      <c r="W50" s="3" t="s">
        <v>388</v>
      </c>
      <c r="X50" s="2"/>
      <c r="Y50" s="2"/>
    </row>
    <row r="51" spans="1:25" x14ac:dyDescent="0.2">
      <c r="A51" s="3">
        <v>354</v>
      </c>
      <c r="B51" s="4" t="s">
        <v>389</v>
      </c>
      <c r="C51" s="3" t="s">
        <v>390</v>
      </c>
      <c r="D51" s="3" t="s">
        <v>5322</v>
      </c>
      <c r="E51" s="3" t="s">
        <v>391</v>
      </c>
      <c r="F51" s="3" t="s">
        <v>5323</v>
      </c>
      <c r="G51" s="3" t="s">
        <v>392</v>
      </c>
      <c r="H51" s="3" t="s">
        <v>392</v>
      </c>
      <c r="I51" s="3" t="s">
        <v>392</v>
      </c>
      <c r="J51" s="3" t="s">
        <v>393</v>
      </c>
      <c r="K51" s="3" t="s">
        <v>394</v>
      </c>
      <c r="L51" s="3" t="s">
        <v>394</v>
      </c>
      <c r="M51" s="2"/>
      <c r="N51" s="2"/>
      <c r="O51" s="3" t="s">
        <v>26</v>
      </c>
      <c r="P51" s="3" t="s">
        <v>395</v>
      </c>
      <c r="Q51" s="3" t="s">
        <v>5324</v>
      </c>
      <c r="R51" s="3" t="s">
        <v>396</v>
      </c>
      <c r="S51" s="3" t="s">
        <v>397</v>
      </c>
      <c r="T51" s="3" t="s">
        <v>398</v>
      </c>
      <c r="U51" s="2"/>
      <c r="V51" s="3" t="s">
        <v>395</v>
      </c>
      <c r="W51" s="2"/>
      <c r="X51" s="2"/>
      <c r="Y51" s="2"/>
    </row>
    <row r="52" spans="1:25" x14ac:dyDescent="0.2">
      <c r="A52" s="3">
        <v>355</v>
      </c>
      <c r="B52" s="4" t="s">
        <v>399</v>
      </c>
      <c r="C52" s="3" t="s">
        <v>400</v>
      </c>
      <c r="D52" s="3" t="s">
        <v>5328</v>
      </c>
      <c r="E52" s="3" t="s">
        <v>401</v>
      </c>
      <c r="F52" s="3" t="s">
        <v>5329</v>
      </c>
      <c r="G52" s="3" t="s">
        <v>402</v>
      </c>
      <c r="H52" s="3" t="s">
        <v>403</v>
      </c>
      <c r="I52" s="3" t="s">
        <v>403</v>
      </c>
      <c r="J52" s="3" t="s">
        <v>393</v>
      </c>
      <c r="K52" s="3" t="s">
        <v>404</v>
      </c>
      <c r="L52" s="3" t="s">
        <v>404</v>
      </c>
      <c r="M52" s="2"/>
      <c r="N52" s="2"/>
      <c r="O52" s="3" t="s">
        <v>26</v>
      </c>
      <c r="P52" s="3" t="s">
        <v>27</v>
      </c>
      <c r="Q52" s="3" t="s">
        <v>5079</v>
      </c>
      <c r="R52" s="3" t="s">
        <v>396</v>
      </c>
      <c r="S52" s="3" t="s">
        <v>405</v>
      </c>
      <c r="T52" s="3" t="s">
        <v>406</v>
      </c>
      <c r="U52" s="3" t="s">
        <v>43</v>
      </c>
      <c r="V52" s="3" t="s">
        <v>27</v>
      </c>
      <c r="W52" s="2"/>
      <c r="X52" s="2"/>
      <c r="Y52" s="2"/>
    </row>
    <row r="53" spans="1:25" x14ac:dyDescent="0.2">
      <c r="A53" s="3">
        <v>356</v>
      </c>
      <c r="B53" s="4" t="s">
        <v>407</v>
      </c>
      <c r="C53" s="3" t="s">
        <v>408</v>
      </c>
      <c r="D53" s="3" t="s">
        <v>5332</v>
      </c>
      <c r="E53" s="3" t="s">
        <v>409</v>
      </c>
      <c r="F53" s="3" t="s">
        <v>5333</v>
      </c>
      <c r="G53" s="3" t="s">
        <v>410</v>
      </c>
      <c r="H53" s="3" t="s">
        <v>410</v>
      </c>
      <c r="I53" s="3" t="s">
        <v>410</v>
      </c>
      <c r="J53" s="3" t="s">
        <v>393</v>
      </c>
      <c r="K53" s="3" t="s">
        <v>411</v>
      </c>
      <c r="L53" s="3" t="s">
        <v>411</v>
      </c>
      <c r="M53" s="2"/>
      <c r="N53" s="2"/>
      <c r="O53" s="3" t="s">
        <v>412</v>
      </c>
      <c r="P53" s="3" t="s">
        <v>60</v>
      </c>
      <c r="Q53" s="3" t="s">
        <v>5100</v>
      </c>
      <c r="R53" s="3" t="s">
        <v>396</v>
      </c>
      <c r="S53" s="3" t="s">
        <v>413</v>
      </c>
      <c r="T53" s="3" t="s">
        <v>414</v>
      </c>
      <c r="U53" s="3" t="s">
        <v>253</v>
      </c>
      <c r="V53" s="3" t="s">
        <v>60</v>
      </c>
      <c r="W53" s="3" t="s">
        <v>269</v>
      </c>
      <c r="X53" s="2"/>
      <c r="Y53" s="2"/>
    </row>
    <row r="54" spans="1:25" x14ac:dyDescent="0.2">
      <c r="A54" s="3">
        <v>357</v>
      </c>
      <c r="B54" s="4" t="s">
        <v>415</v>
      </c>
      <c r="C54" s="3" t="s">
        <v>416</v>
      </c>
      <c r="D54" s="3" t="s">
        <v>5337</v>
      </c>
      <c r="E54" s="3" t="s">
        <v>417</v>
      </c>
      <c r="F54" s="3" t="s">
        <v>5338</v>
      </c>
      <c r="G54" s="3" t="s">
        <v>410</v>
      </c>
      <c r="H54" s="3" t="s">
        <v>410</v>
      </c>
      <c r="I54" s="3" t="s">
        <v>410</v>
      </c>
      <c r="J54" s="3" t="s">
        <v>393</v>
      </c>
      <c r="K54" s="3" t="s">
        <v>418</v>
      </c>
      <c r="L54" s="3" t="s">
        <v>5339</v>
      </c>
      <c r="M54" s="2"/>
      <c r="N54" s="2"/>
      <c r="O54" s="3" t="s">
        <v>39</v>
      </c>
      <c r="P54" s="3" t="s">
        <v>60</v>
      </c>
      <c r="Q54" s="3" t="s">
        <v>5100</v>
      </c>
      <c r="R54" s="3" t="s">
        <v>396</v>
      </c>
      <c r="S54" s="3" t="s">
        <v>405</v>
      </c>
      <c r="T54" s="3" t="s">
        <v>419</v>
      </c>
      <c r="U54" s="3" t="s">
        <v>420</v>
      </c>
      <c r="V54" s="3" t="s">
        <v>60</v>
      </c>
      <c r="W54" s="3" t="s">
        <v>261</v>
      </c>
      <c r="X54" s="2"/>
      <c r="Y54" s="2"/>
    </row>
    <row r="55" spans="1:25" x14ac:dyDescent="0.2">
      <c r="A55" s="3">
        <v>358</v>
      </c>
      <c r="B55" s="4" t="s">
        <v>421</v>
      </c>
      <c r="C55" s="3" t="s">
        <v>422</v>
      </c>
      <c r="D55" s="3" t="s">
        <v>5342</v>
      </c>
      <c r="E55" s="3" t="s">
        <v>423</v>
      </c>
      <c r="F55" s="3" t="s">
        <v>5343</v>
      </c>
      <c r="G55" s="3" t="s">
        <v>424</v>
      </c>
      <c r="H55" s="2"/>
      <c r="I55" s="2"/>
      <c r="J55" s="3" t="s">
        <v>393</v>
      </c>
      <c r="K55" s="3" t="s">
        <v>425</v>
      </c>
      <c r="L55" s="3" t="s">
        <v>5344</v>
      </c>
      <c r="M55" s="2"/>
      <c r="N55" s="2"/>
      <c r="O55" s="3" t="s">
        <v>426</v>
      </c>
      <c r="P55" s="3" t="s">
        <v>27</v>
      </c>
      <c r="Q55" s="3" t="s">
        <v>5079</v>
      </c>
      <c r="R55" s="3" t="s">
        <v>396</v>
      </c>
      <c r="S55" s="3" t="s">
        <v>413</v>
      </c>
      <c r="T55" s="3" t="s">
        <v>427</v>
      </c>
      <c r="U55" s="3" t="s">
        <v>43</v>
      </c>
      <c r="V55" s="3" t="s">
        <v>27</v>
      </c>
      <c r="W55" s="2"/>
      <c r="X55" s="2"/>
      <c r="Y55" s="2"/>
    </row>
    <row r="56" spans="1:25" x14ac:dyDescent="0.2">
      <c r="A56" s="3">
        <v>359</v>
      </c>
      <c r="B56" s="4" t="s">
        <v>428</v>
      </c>
      <c r="C56" s="3" t="s">
        <v>429</v>
      </c>
      <c r="D56" s="3" t="s">
        <v>5347</v>
      </c>
      <c r="E56" s="3" t="s">
        <v>430</v>
      </c>
      <c r="F56" s="3" t="s">
        <v>5348</v>
      </c>
      <c r="G56" s="3" t="s">
        <v>431</v>
      </c>
      <c r="H56" s="2"/>
      <c r="I56" s="2"/>
      <c r="J56" s="3" t="s">
        <v>393</v>
      </c>
      <c r="K56" s="3" t="s">
        <v>432</v>
      </c>
      <c r="L56" s="3" t="s">
        <v>432</v>
      </c>
      <c r="M56" s="2"/>
      <c r="N56" s="2"/>
      <c r="O56" s="3" t="s">
        <v>426</v>
      </c>
      <c r="P56" s="3" t="s">
        <v>27</v>
      </c>
      <c r="Q56" s="3" t="s">
        <v>5079</v>
      </c>
      <c r="R56" s="3" t="s">
        <v>396</v>
      </c>
      <c r="S56" s="3" t="s">
        <v>405</v>
      </c>
      <c r="T56" s="3" t="s">
        <v>433</v>
      </c>
      <c r="U56" s="3" t="s">
        <v>43</v>
      </c>
      <c r="V56" s="3" t="s">
        <v>27</v>
      </c>
      <c r="W56" s="2"/>
      <c r="X56" s="2"/>
      <c r="Y56" s="2"/>
    </row>
    <row r="57" spans="1:25" x14ac:dyDescent="0.2">
      <c r="A57" s="3">
        <v>361</v>
      </c>
      <c r="B57" s="4" t="s">
        <v>434</v>
      </c>
      <c r="C57" s="3" t="s">
        <v>435</v>
      </c>
      <c r="D57" s="3" t="s">
        <v>5350</v>
      </c>
      <c r="E57" s="3" t="s">
        <v>436</v>
      </c>
      <c r="F57" s="3" t="s">
        <v>5351</v>
      </c>
      <c r="G57" s="3" t="s">
        <v>437</v>
      </c>
      <c r="H57" s="3" t="s">
        <v>437</v>
      </c>
      <c r="I57" s="3" t="s">
        <v>437</v>
      </c>
      <c r="J57" s="3" t="s">
        <v>393</v>
      </c>
      <c r="K57" s="3" t="s">
        <v>438</v>
      </c>
      <c r="L57" s="3" t="s">
        <v>438</v>
      </c>
      <c r="M57" s="2"/>
      <c r="N57" s="2"/>
      <c r="O57" s="3" t="s">
        <v>412</v>
      </c>
      <c r="P57" s="3" t="s">
        <v>439</v>
      </c>
      <c r="Q57" s="3" t="s">
        <v>5352</v>
      </c>
      <c r="R57" s="3" t="s">
        <v>396</v>
      </c>
      <c r="S57" s="3" t="s">
        <v>405</v>
      </c>
      <c r="T57" s="3" t="s">
        <v>440</v>
      </c>
      <c r="U57" s="3" t="s">
        <v>43</v>
      </c>
      <c r="V57" s="3" t="s">
        <v>439</v>
      </c>
      <c r="W57" s="3" t="s">
        <v>441</v>
      </c>
      <c r="X57" s="2"/>
      <c r="Y57" s="2"/>
    </row>
    <row r="58" spans="1:25" x14ac:dyDescent="0.2">
      <c r="A58" s="3">
        <v>362</v>
      </c>
      <c r="B58" s="4" t="s">
        <v>442</v>
      </c>
      <c r="C58" s="3" t="s">
        <v>443</v>
      </c>
      <c r="D58" s="3" t="s">
        <v>5355</v>
      </c>
      <c r="E58" s="3" t="s">
        <v>444</v>
      </c>
      <c r="F58" s="3" t="s">
        <v>5356</v>
      </c>
      <c r="G58" s="3" t="s">
        <v>445</v>
      </c>
      <c r="H58" s="2"/>
      <c r="I58" s="2"/>
      <c r="J58" s="3" t="s">
        <v>393</v>
      </c>
      <c r="K58" s="3" t="s">
        <v>446</v>
      </c>
      <c r="L58" s="3" t="s">
        <v>5357</v>
      </c>
      <c r="M58" s="2"/>
      <c r="N58" s="2"/>
      <c r="O58" s="3" t="s">
        <v>39</v>
      </c>
      <c r="P58" s="3" t="s">
        <v>40</v>
      </c>
      <c r="Q58" s="3" t="s">
        <v>5088</v>
      </c>
      <c r="R58" s="3" t="s">
        <v>396</v>
      </c>
      <c r="S58" s="3" t="s">
        <v>413</v>
      </c>
      <c r="T58" s="3" t="s">
        <v>447</v>
      </c>
      <c r="U58" s="3" t="s">
        <v>43</v>
      </c>
      <c r="V58" s="3" t="s">
        <v>40</v>
      </c>
      <c r="W58" s="2"/>
      <c r="X58" s="2"/>
      <c r="Y58" s="2"/>
    </row>
    <row r="59" spans="1:25" x14ac:dyDescent="0.2">
      <c r="A59" s="3">
        <v>363</v>
      </c>
      <c r="B59" s="4" t="s">
        <v>448</v>
      </c>
      <c r="C59" s="3" t="s">
        <v>449</v>
      </c>
      <c r="D59" s="3" t="s">
        <v>5359</v>
      </c>
      <c r="E59" s="3" t="s">
        <v>450</v>
      </c>
      <c r="F59" s="3" t="s">
        <v>5360</v>
      </c>
      <c r="G59" s="3" t="s">
        <v>451</v>
      </c>
      <c r="H59" s="3" t="s">
        <v>452</v>
      </c>
      <c r="I59" s="3" t="s">
        <v>452</v>
      </c>
      <c r="J59" s="3" t="s">
        <v>393</v>
      </c>
      <c r="K59" s="3" t="s">
        <v>453</v>
      </c>
      <c r="L59" s="3" t="s">
        <v>453</v>
      </c>
      <c r="M59" s="2"/>
      <c r="N59" s="2"/>
      <c r="O59" s="3" t="s">
        <v>39</v>
      </c>
      <c r="P59" s="3" t="s">
        <v>454</v>
      </c>
      <c r="Q59" s="3" t="s">
        <v>5361</v>
      </c>
      <c r="R59" s="3" t="s">
        <v>396</v>
      </c>
      <c r="S59" s="3" t="s">
        <v>455</v>
      </c>
      <c r="T59" s="3" t="s">
        <v>456</v>
      </c>
      <c r="U59" s="3" t="s">
        <v>43</v>
      </c>
      <c r="V59" s="3" t="s">
        <v>457</v>
      </c>
      <c r="W59" s="2"/>
      <c r="X59" s="2"/>
      <c r="Y59" s="2"/>
    </row>
    <row r="60" spans="1:25" x14ac:dyDescent="0.2">
      <c r="A60" s="3">
        <v>364</v>
      </c>
      <c r="B60" s="4" t="s">
        <v>458</v>
      </c>
      <c r="C60" s="3" t="s">
        <v>459</v>
      </c>
      <c r="D60" s="3" t="s">
        <v>5365</v>
      </c>
      <c r="E60" s="3" t="s">
        <v>460</v>
      </c>
      <c r="F60" s="3" t="s">
        <v>5366</v>
      </c>
      <c r="G60" s="3" t="s">
        <v>403</v>
      </c>
      <c r="H60" s="2"/>
      <c r="I60" s="2"/>
      <c r="J60" s="3" t="s">
        <v>393</v>
      </c>
      <c r="K60" s="3" t="s">
        <v>453</v>
      </c>
      <c r="L60" s="3" t="s">
        <v>453</v>
      </c>
      <c r="M60" s="2"/>
      <c r="N60" s="2"/>
      <c r="O60" s="3" t="s">
        <v>26</v>
      </c>
      <c r="P60" s="3" t="s">
        <v>461</v>
      </c>
      <c r="Q60" s="3" t="s">
        <v>5367</v>
      </c>
      <c r="R60" s="3" t="s">
        <v>396</v>
      </c>
      <c r="S60" s="3" t="s">
        <v>455</v>
      </c>
      <c r="T60" s="3" t="s">
        <v>462</v>
      </c>
      <c r="U60" s="3" t="s">
        <v>43</v>
      </c>
      <c r="V60" s="3" t="s">
        <v>461</v>
      </c>
      <c r="W60" s="2"/>
      <c r="X60" s="2"/>
      <c r="Y60" s="2"/>
    </row>
    <row r="61" spans="1:25" x14ac:dyDescent="0.2">
      <c r="A61" s="3">
        <v>368</v>
      </c>
      <c r="B61" s="4" t="s">
        <v>463</v>
      </c>
      <c r="C61" s="3" t="s">
        <v>464</v>
      </c>
      <c r="D61" s="3" t="s">
        <v>5369</v>
      </c>
      <c r="E61" s="3" t="s">
        <v>465</v>
      </c>
      <c r="F61" s="3" t="s">
        <v>5370</v>
      </c>
      <c r="G61" s="3" t="s">
        <v>466</v>
      </c>
      <c r="H61" s="3" t="s">
        <v>467</v>
      </c>
      <c r="I61" s="3" t="s">
        <v>467</v>
      </c>
      <c r="J61" s="3" t="s">
        <v>393</v>
      </c>
      <c r="K61" s="3" t="s">
        <v>468</v>
      </c>
      <c r="L61" s="3" t="s">
        <v>5371</v>
      </c>
      <c r="M61" s="3" t="s">
        <v>469</v>
      </c>
      <c r="N61" s="4" t="s">
        <v>470</v>
      </c>
      <c r="O61" s="3" t="s">
        <v>39</v>
      </c>
      <c r="P61" s="2"/>
      <c r="Q61" s="3">
        <v>0</v>
      </c>
      <c r="R61" s="3" t="s">
        <v>396</v>
      </c>
      <c r="S61" s="3" t="s">
        <v>397</v>
      </c>
      <c r="T61" s="3" t="s">
        <v>471</v>
      </c>
      <c r="U61" s="3" t="s">
        <v>472</v>
      </c>
      <c r="V61" s="2"/>
      <c r="W61" s="2"/>
      <c r="X61" s="2"/>
      <c r="Y61" s="2"/>
    </row>
    <row r="62" spans="1:25" x14ac:dyDescent="0.2">
      <c r="A62" s="3">
        <v>369</v>
      </c>
      <c r="B62" s="4" t="s">
        <v>473</v>
      </c>
      <c r="C62" s="3" t="s">
        <v>474</v>
      </c>
      <c r="D62" s="3" t="s">
        <v>5375</v>
      </c>
      <c r="E62" s="3" t="s">
        <v>475</v>
      </c>
      <c r="F62" s="3" t="s">
        <v>5376</v>
      </c>
      <c r="G62" s="3" t="s">
        <v>476</v>
      </c>
      <c r="H62" s="2"/>
      <c r="I62" s="2"/>
      <c r="J62" s="3" t="s">
        <v>393</v>
      </c>
      <c r="K62" s="3" t="s">
        <v>477</v>
      </c>
      <c r="L62" s="3" t="s">
        <v>5377</v>
      </c>
      <c r="M62" s="2"/>
      <c r="N62" s="2"/>
      <c r="O62" s="3" t="s">
        <v>39</v>
      </c>
      <c r="P62" s="2"/>
      <c r="Q62" s="3">
        <v>0</v>
      </c>
      <c r="R62" s="3" t="s">
        <v>396</v>
      </c>
      <c r="S62" s="3" t="s">
        <v>405</v>
      </c>
      <c r="T62" s="3" t="s">
        <v>478</v>
      </c>
      <c r="U62" s="3" t="s">
        <v>479</v>
      </c>
      <c r="V62" s="2"/>
      <c r="W62" s="2"/>
      <c r="X62" s="2"/>
      <c r="Y62" s="2"/>
    </row>
    <row r="63" spans="1:25" x14ac:dyDescent="0.2">
      <c r="A63" s="3">
        <v>370</v>
      </c>
      <c r="B63" s="4" t="s">
        <v>480</v>
      </c>
      <c r="C63" s="3" t="s">
        <v>481</v>
      </c>
      <c r="D63" s="3" t="s">
        <v>5380</v>
      </c>
      <c r="E63" s="3" t="s">
        <v>482</v>
      </c>
      <c r="F63" s="3" t="s">
        <v>5381</v>
      </c>
      <c r="G63" s="3" t="s">
        <v>483</v>
      </c>
      <c r="H63" s="3" t="s">
        <v>483</v>
      </c>
      <c r="I63" s="3" t="s">
        <v>483</v>
      </c>
      <c r="J63" s="3" t="s">
        <v>393</v>
      </c>
      <c r="K63" s="3" t="s">
        <v>484</v>
      </c>
      <c r="L63" s="3" t="s">
        <v>484</v>
      </c>
      <c r="M63" s="3" t="s">
        <v>36</v>
      </c>
      <c r="N63" s="2"/>
      <c r="O63" s="3" t="s">
        <v>39</v>
      </c>
      <c r="P63" s="2"/>
      <c r="Q63" s="3">
        <v>0</v>
      </c>
      <c r="R63" s="3" t="s">
        <v>396</v>
      </c>
      <c r="S63" s="3" t="s">
        <v>455</v>
      </c>
      <c r="T63" s="3" t="s">
        <v>485</v>
      </c>
      <c r="U63" s="3" t="s">
        <v>486</v>
      </c>
      <c r="V63" s="2"/>
      <c r="W63" s="2"/>
      <c r="X63" s="2"/>
      <c r="Y63" s="2"/>
    </row>
    <row r="64" spans="1:25" x14ac:dyDescent="0.2">
      <c r="A64" s="3">
        <v>360</v>
      </c>
      <c r="B64" s="4" t="s">
        <v>487</v>
      </c>
      <c r="C64" s="3" t="s">
        <v>488</v>
      </c>
      <c r="D64" s="3" t="s">
        <v>5384</v>
      </c>
      <c r="E64" s="3" t="s">
        <v>489</v>
      </c>
      <c r="F64" s="3" t="s">
        <v>5385</v>
      </c>
      <c r="G64" s="3" t="s">
        <v>490</v>
      </c>
      <c r="H64" s="2"/>
      <c r="I64" s="2"/>
      <c r="J64" s="3" t="s">
        <v>393</v>
      </c>
      <c r="K64" s="3" t="s">
        <v>491</v>
      </c>
      <c r="L64" s="3" t="s">
        <v>491</v>
      </c>
      <c r="M64" s="3" t="s">
        <v>492</v>
      </c>
      <c r="N64" s="2"/>
      <c r="O64" s="3" t="s">
        <v>493</v>
      </c>
      <c r="P64" s="3" t="s">
        <v>60</v>
      </c>
      <c r="Q64" s="3" t="s">
        <v>5100</v>
      </c>
      <c r="R64" s="3" t="s">
        <v>396</v>
      </c>
      <c r="S64" s="3" t="s">
        <v>405</v>
      </c>
      <c r="T64" s="3" t="s">
        <v>494</v>
      </c>
      <c r="U64" s="2"/>
      <c r="V64" s="3" t="s">
        <v>60</v>
      </c>
      <c r="W64" s="3" t="s">
        <v>495</v>
      </c>
      <c r="X64" s="2"/>
      <c r="Y64" s="2"/>
    </row>
    <row r="65" spans="1:25" x14ac:dyDescent="0.2">
      <c r="A65" s="3">
        <v>365</v>
      </c>
      <c r="B65" s="4" t="s">
        <v>496</v>
      </c>
      <c r="C65" s="3" t="s">
        <v>497</v>
      </c>
      <c r="D65" s="3" t="s">
        <v>5390</v>
      </c>
      <c r="E65" s="3" t="s">
        <v>498</v>
      </c>
      <c r="F65" s="3" t="s">
        <v>5391</v>
      </c>
      <c r="G65" s="3" t="s">
        <v>410</v>
      </c>
      <c r="H65" s="2"/>
      <c r="I65" s="2"/>
      <c r="J65" s="3" t="s">
        <v>393</v>
      </c>
      <c r="K65" s="3" t="s">
        <v>453</v>
      </c>
      <c r="L65" s="3" t="s">
        <v>453</v>
      </c>
      <c r="M65" s="2"/>
      <c r="N65" s="4" t="s">
        <v>499</v>
      </c>
      <c r="O65" s="3" t="s">
        <v>26</v>
      </c>
      <c r="P65" s="3" t="s">
        <v>454</v>
      </c>
      <c r="Q65" s="3" t="s">
        <v>5361</v>
      </c>
      <c r="R65" s="3" t="s">
        <v>396</v>
      </c>
      <c r="S65" s="3" t="s">
        <v>500</v>
      </c>
      <c r="T65" s="3" t="s">
        <v>501</v>
      </c>
      <c r="U65" s="3" t="s">
        <v>43</v>
      </c>
      <c r="V65" s="3" t="s">
        <v>502</v>
      </c>
      <c r="W65" s="2"/>
      <c r="X65" s="2"/>
      <c r="Y65" s="2"/>
    </row>
    <row r="66" spans="1:25" x14ac:dyDescent="0.2">
      <c r="A66" s="3">
        <v>371</v>
      </c>
      <c r="B66" s="4" t="s">
        <v>503</v>
      </c>
      <c r="C66" s="3" t="s">
        <v>504</v>
      </c>
      <c r="D66" s="3" t="s">
        <v>5395</v>
      </c>
      <c r="E66" s="3" t="s">
        <v>505</v>
      </c>
      <c r="F66" s="3" t="s">
        <v>5396</v>
      </c>
      <c r="G66" s="3" t="s">
        <v>506</v>
      </c>
      <c r="H66" s="3" t="s">
        <v>506</v>
      </c>
      <c r="I66" s="3" t="s">
        <v>506</v>
      </c>
      <c r="J66" s="3" t="s">
        <v>393</v>
      </c>
      <c r="K66" s="3" t="s">
        <v>507</v>
      </c>
      <c r="L66" s="3" t="s">
        <v>5397</v>
      </c>
      <c r="M66" s="2"/>
      <c r="N66" s="2"/>
      <c r="O66" s="3" t="s">
        <v>39</v>
      </c>
      <c r="P66" s="3" t="s">
        <v>27</v>
      </c>
      <c r="Q66" s="3" t="s">
        <v>5079</v>
      </c>
      <c r="R66" s="3" t="s">
        <v>396</v>
      </c>
      <c r="S66" s="3" t="s">
        <v>29</v>
      </c>
      <c r="T66" s="3" t="s">
        <v>508</v>
      </c>
      <c r="U66" s="3" t="s">
        <v>509</v>
      </c>
      <c r="V66" s="3" t="s">
        <v>27</v>
      </c>
      <c r="W66" s="2"/>
      <c r="X66" s="2"/>
      <c r="Y66" s="2"/>
    </row>
    <row r="67" spans="1:25" x14ac:dyDescent="0.2">
      <c r="A67" s="3">
        <v>1450</v>
      </c>
      <c r="B67" s="4" t="s">
        <v>510</v>
      </c>
      <c r="C67" s="3" t="s">
        <v>511</v>
      </c>
      <c r="D67" s="3" t="s">
        <v>5400</v>
      </c>
      <c r="E67" s="3" t="s">
        <v>512</v>
      </c>
      <c r="F67" s="3" t="s">
        <v>5401</v>
      </c>
      <c r="G67" s="3" t="s">
        <v>513</v>
      </c>
      <c r="H67" s="3" t="s">
        <v>514</v>
      </c>
      <c r="I67" s="3" t="s">
        <v>514</v>
      </c>
      <c r="J67" s="3" t="s">
        <v>393</v>
      </c>
      <c r="K67" s="3" t="s">
        <v>515</v>
      </c>
      <c r="L67" s="3" t="s">
        <v>515</v>
      </c>
      <c r="M67" s="2"/>
      <c r="N67" s="2"/>
      <c r="O67" s="3" t="s">
        <v>26</v>
      </c>
      <c r="P67" s="2"/>
      <c r="Q67" s="3">
        <v>0</v>
      </c>
      <c r="R67" s="3" t="s">
        <v>396</v>
      </c>
      <c r="S67" s="3" t="s">
        <v>29</v>
      </c>
      <c r="T67" s="3" t="s">
        <v>516</v>
      </c>
      <c r="U67" s="3" t="s">
        <v>517</v>
      </c>
      <c r="V67" s="2"/>
      <c r="W67" s="3" t="s">
        <v>518</v>
      </c>
      <c r="X67" s="2"/>
      <c r="Y67" s="2"/>
    </row>
    <row r="68" spans="1:25" x14ac:dyDescent="0.2">
      <c r="A68" s="3">
        <v>1451</v>
      </c>
      <c r="B68" s="4" t="s">
        <v>519</v>
      </c>
      <c r="C68" s="3" t="s">
        <v>520</v>
      </c>
      <c r="D68" s="3" t="s">
        <v>5405</v>
      </c>
      <c r="E68" s="3" t="s">
        <v>521</v>
      </c>
      <c r="F68" s="3" t="s">
        <v>5406</v>
      </c>
      <c r="G68" s="3" t="s">
        <v>522</v>
      </c>
      <c r="H68" s="3" t="s">
        <v>523</v>
      </c>
      <c r="I68" s="3" t="s">
        <v>523</v>
      </c>
      <c r="J68" s="3" t="s">
        <v>393</v>
      </c>
      <c r="K68" s="3" t="s">
        <v>524</v>
      </c>
      <c r="L68" s="3" t="s">
        <v>5407</v>
      </c>
      <c r="M68" s="2"/>
      <c r="N68" s="6" t="s">
        <v>525</v>
      </c>
      <c r="O68" s="3" t="s">
        <v>39</v>
      </c>
      <c r="P68" s="3" t="s">
        <v>27</v>
      </c>
      <c r="Q68" s="3" t="s">
        <v>5079</v>
      </c>
      <c r="R68" s="3" t="s">
        <v>396</v>
      </c>
      <c r="S68" s="3" t="s">
        <v>405</v>
      </c>
      <c r="T68" s="3" t="s">
        <v>526</v>
      </c>
      <c r="U68" s="3" t="s">
        <v>527</v>
      </c>
      <c r="V68" s="3" t="s">
        <v>27</v>
      </c>
      <c r="W68" s="2"/>
      <c r="X68" s="2"/>
      <c r="Y68" s="2"/>
    </row>
    <row r="69" spans="1:25" x14ac:dyDescent="0.2">
      <c r="A69" s="3">
        <v>1453</v>
      </c>
      <c r="B69" s="4" t="s">
        <v>528</v>
      </c>
      <c r="C69" s="3" t="s">
        <v>529</v>
      </c>
      <c r="D69" s="3" t="s">
        <v>5410</v>
      </c>
      <c r="E69" s="3" t="s">
        <v>530</v>
      </c>
      <c r="F69" s="3" t="s">
        <v>5411</v>
      </c>
      <c r="G69" s="3" t="s">
        <v>531</v>
      </c>
      <c r="H69" s="3" t="s">
        <v>531</v>
      </c>
      <c r="I69" s="3" t="s">
        <v>531</v>
      </c>
      <c r="J69" s="3" t="s">
        <v>393</v>
      </c>
      <c r="K69" s="3" t="s">
        <v>532</v>
      </c>
      <c r="L69" s="3" t="s">
        <v>5412</v>
      </c>
      <c r="M69" s="2"/>
      <c r="N69" s="2"/>
      <c r="O69" s="3" t="s">
        <v>493</v>
      </c>
      <c r="P69" s="2"/>
      <c r="Q69" s="3">
        <v>0</v>
      </c>
      <c r="R69" s="3" t="s">
        <v>396</v>
      </c>
      <c r="S69" s="3" t="s">
        <v>405</v>
      </c>
      <c r="T69" s="3" t="s">
        <v>533</v>
      </c>
      <c r="U69" s="3" t="s">
        <v>268</v>
      </c>
      <c r="V69" s="2"/>
      <c r="W69" s="2"/>
      <c r="X69" s="2"/>
      <c r="Y69" s="2"/>
    </row>
    <row r="70" spans="1:25" x14ac:dyDescent="0.2">
      <c r="A70" s="3">
        <v>1454</v>
      </c>
      <c r="B70" s="4" t="s">
        <v>534</v>
      </c>
      <c r="C70" s="3" t="s">
        <v>535</v>
      </c>
      <c r="D70" s="3" t="s">
        <v>5414</v>
      </c>
      <c r="E70" s="3" t="s">
        <v>536</v>
      </c>
      <c r="F70" s="3" t="s">
        <v>5415</v>
      </c>
      <c r="G70" s="3" t="s">
        <v>476</v>
      </c>
      <c r="H70" s="3" t="s">
        <v>537</v>
      </c>
      <c r="I70" s="3" t="s">
        <v>537</v>
      </c>
      <c r="J70" s="3" t="s">
        <v>393</v>
      </c>
      <c r="K70" s="3" t="s">
        <v>538</v>
      </c>
      <c r="L70" s="3" t="s">
        <v>538</v>
      </c>
      <c r="M70" s="2"/>
      <c r="N70" s="4" t="s">
        <v>539</v>
      </c>
      <c r="O70" s="3" t="s">
        <v>26</v>
      </c>
      <c r="P70" s="3" t="s">
        <v>27</v>
      </c>
      <c r="Q70" s="3" t="s">
        <v>5079</v>
      </c>
      <c r="R70" s="3" t="s">
        <v>396</v>
      </c>
      <c r="S70" s="3" t="s">
        <v>455</v>
      </c>
      <c r="T70" s="3" t="s">
        <v>540</v>
      </c>
      <c r="U70" s="3" t="s">
        <v>541</v>
      </c>
      <c r="V70" s="3" t="s">
        <v>27</v>
      </c>
      <c r="W70" s="2"/>
      <c r="X70" s="2"/>
      <c r="Y70" s="2"/>
    </row>
    <row r="71" spans="1:25" x14ac:dyDescent="0.2">
      <c r="A71" s="3">
        <v>428</v>
      </c>
      <c r="B71" s="4" t="s">
        <v>542</v>
      </c>
      <c r="C71" s="3" t="s">
        <v>543</v>
      </c>
      <c r="D71" s="3" t="s">
        <v>5418</v>
      </c>
      <c r="E71" s="3" t="s">
        <v>544</v>
      </c>
      <c r="F71" s="3" t="s">
        <v>5419</v>
      </c>
      <c r="G71" s="3" t="s">
        <v>545</v>
      </c>
      <c r="H71" s="3" t="s">
        <v>546</v>
      </c>
      <c r="I71" s="3" t="s">
        <v>545</v>
      </c>
      <c r="J71" s="3" t="s">
        <v>393</v>
      </c>
      <c r="K71" s="3" t="s">
        <v>547</v>
      </c>
      <c r="L71" s="3" t="s">
        <v>5420</v>
      </c>
      <c r="M71" s="2"/>
      <c r="N71" s="2"/>
      <c r="O71" s="3" t="s">
        <v>426</v>
      </c>
      <c r="P71" s="2"/>
      <c r="Q71" s="3">
        <v>0</v>
      </c>
      <c r="R71" s="3" t="s">
        <v>396</v>
      </c>
      <c r="S71" s="3" t="s">
        <v>397</v>
      </c>
      <c r="T71" s="3" t="s">
        <v>548</v>
      </c>
      <c r="U71" s="2"/>
      <c r="V71" s="2"/>
      <c r="W71" s="2"/>
      <c r="X71" s="2"/>
      <c r="Y71" s="2"/>
    </row>
    <row r="72" spans="1:25" x14ac:dyDescent="0.2">
      <c r="A72" s="3">
        <v>429</v>
      </c>
      <c r="B72" s="4" t="s">
        <v>549</v>
      </c>
      <c r="C72" s="3" t="s">
        <v>550</v>
      </c>
      <c r="D72" s="3" t="s">
        <v>5422</v>
      </c>
      <c r="E72" s="3" t="s">
        <v>551</v>
      </c>
      <c r="F72" s="3" t="s">
        <v>5423</v>
      </c>
      <c r="G72" s="3" t="s">
        <v>552</v>
      </c>
      <c r="H72" s="2"/>
      <c r="I72" s="2"/>
      <c r="J72" s="3" t="s">
        <v>393</v>
      </c>
      <c r="K72" s="3" t="s">
        <v>553</v>
      </c>
      <c r="L72" s="3" t="s">
        <v>553</v>
      </c>
      <c r="M72" s="2"/>
      <c r="N72" s="2"/>
      <c r="O72" s="3" t="s">
        <v>26</v>
      </c>
      <c r="P72" s="3" t="s">
        <v>27</v>
      </c>
      <c r="Q72" s="3" t="s">
        <v>5079</v>
      </c>
      <c r="R72" s="3" t="s">
        <v>396</v>
      </c>
      <c r="S72" s="3" t="s">
        <v>397</v>
      </c>
      <c r="T72" s="3" t="s">
        <v>554</v>
      </c>
      <c r="U72" s="3" t="s">
        <v>43</v>
      </c>
      <c r="V72" s="3" t="s">
        <v>27</v>
      </c>
      <c r="W72" s="2"/>
      <c r="X72" s="2"/>
      <c r="Y72" s="2"/>
    </row>
    <row r="73" spans="1:25" x14ac:dyDescent="0.2">
      <c r="A73" s="3">
        <v>430</v>
      </c>
      <c r="B73" s="4" t="s">
        <v>555</v>
      </c>
      <c r="C73" s="3" t="s">
        <v>556</v>
      </c>
      <c r="D73" s="3" t="s">
        <v>5425</v>
      </c>
      <c r="E73" s="3" t="s">
        <v>557</v>
      </c>
      <c r="F73" s="3" t="s">
        <v>5426</v>
      </c>
      <c r="G73" s="3" t="s">
        <v>558</v>
      </c>
      <c r="H73" s="3" t="s">
        <v>558</v>
      </c>
      <c r="I73" s="3" t="s">
        <v>558</v>
      </c>
      <c r="J73" s="3" t="s">
        <v>393</v>
      </c>
      <c r="K73" s="3" t="s">
        <v>559</v>
      </c>
      <c r="L73" s="3" t="s">
        <v>5427</v>
      </c>
      <c r="M73" s="2"/>
      <c r="N73" s="2"/>
      <c r="O73" s="3" t="s">
        <v>39</v>
      </c>
      <c r="P73" s="2"/>
      <c r="Q73" s="3">
        <v>0</v>
      </c>
      <c r="R73" s="3" t="s">
        <v>396</v>
      </c>
      <c r="S73" s="3" t="s">
        <v>397</v>
      </c>
      <c r="T73" s="3" t="s">
        <v>560</v>
      </c>
      <c r="U73" s="3" t="s">
        <v>43</v>
      </c>
      <c r="V73" s="2"/>
      <c r="W73" s="2"/>
      <c r="X73" s="2"/>
      <c r="Y73" s="2"/>
    </row>
    <row r="74" spans="1:25" x14ac:dyDescent="0.2">
      <c r="A74" s="3">
        <v>431</v>
      </c>
      <c r="B74" s="4" t="s">
        <v>561</v>
      </c>
      <c r="C74" s="3" t="s">
        <v>562</v>
      </c>
      <c r="D74" s="3" t="s">
        <v>5429</v>
      </c>
      <c r="E74" s="3" t="s">
        <v>563</v>
      </c>
      <c r="F74" s="3" t="s">
        <v>5430</v>
      </c>
      <c r="G74" s="3" t="s">
        <v>564</v>
      </c>
      <c r="H74" s="3" t="s">
        <v>564</v>
      </c>
      <c r="I74" s="3" t="s">
        <v>564</v>
      </c>
      <c r="J74" s="3" t="s">
        <v>393</v>
      </c>
      <c r="K74" s="3" t="s">
        <v>559</v>
      </c>
      <c r="L74" s="3" t="s">
        <v>5427</v>
      </c>
      <c r="M74" s="2"/>
      <c r="N74" s="2"/>
      <c r="O74" s="3" t="s">
        <v>39</v>
      </c>
      <c r="P74" s="3" t="s">
        <v>60</v>
      </c>
      <c r="Q74" s="3" t="s">
        <v>5100</v>
      </c>
      <c r="R74" s="3" t="s">
        <v>396</v>
      </c>
      <c r="S74" s="3" t="s">
        <v>397</v>
      </c>
      <c r="T74" s="3" t="s">
        <v>565</v>
      </c>
      <c r="U74" s="3" t="s">
        <v>253</v>
      </c>
      <c r="V74" s="3" t="s">
        <v>60</v>
      </c>
      <c r="W74" s="3" t="s">
        <v>261</v>
      </c>
      <c r="X74" s="2"/>
      <c r="Y74" s="2"/>
    </row>
    <row r="75" spans="1:25" x14ac:dyDescent="0.2">
      <c r="A75" s="3">
        <v>438</v>
      </c>
      <c r="B75" s="4" t="s">
        <v>566</v>
      </c>
      <c r="C75" s="3" t="s">
        <v>567</v>
      </c>
      <c r="D75" s="3" t="s">
        <v>5432</v>
      </c>
      <c r="E75" s="3" t="s">
        <v>568</v>
      </c>
      <c r="F75" s="3" t="s">
        <v>5433</v>
      </c>
      <c r="G75" s="3" t="s">
        <v>569</v>
      </c>
      <c r="H75" s="2"/>
      <c r="I75" s="2"/>
      <c r="J75" s="3" t="s">
        <v>393</v>
      </c>
      <c r="K75" s="3" t="s">
        <v>570</v>
      </c>
      <c r="L75" s="3" t="s">
        <v>570</v>
      </c>
      <c r="M75" s="2"/>
      <c r="N75" s="2"/>
      <c r="O75" s="3" t="s">
        <v>26</v>
      </c>
      <c r="P75" s="2"/>
      <c r="Q75" s="3">
        <v>0</v>
      </c>
      <c r="R75" s="3" t="s">
        <v>396</v>
      </c>
      <c r="S75" s="3" t="s">
        <v>413</v>
      </c>
      <c r="T75" s="3" t="s">
        <v>571</v>
      </c>
      <c r="U75" s="3" t="s">
        <v>43</v>
      </c>
      <c r="V75" s="2"/>
      <c r="W75" s="2"/>
      <c r="X75" s="2"/>
      <c r="Y75" s="2"/>
    </row>
    <row r="76" spans="1:25" x14ac:dyDescent="0.2">
      <c r="A76" s="3">
        <v>440</v>
      </c>
      <c r="B76" s="4" t="s">
        <v>572</v>
      </c>
      <c r="C76" s="3" t="s">
        <v>573</v>
      </c>
      <c r="D76" s="3" t="s">
        <v>5435</v>
      </c>
      <c r="E76" s="3" t="s">
        <v>574</v>
      </c>
      <c r="F76" s="3" t="s">
        <v>5436</v>
      </c>
      <c r="G76" s="3" t="s">
        <v>575</v>
      </c>
      <c r="H76" s="2"/>
      <c r="I76" s="2"/>
      <c r="J76" s="3" t="s">
        <v>393</v>
      </c>
      <c r="K76" s="3" t="s">
        <v>576</v>
      </c>
      <c r="L76" s="3" t="s">
        <v>576</v>
      </c>
      <c r="M76" s="3" t="s">
        <v>492</v>
      </c>
      <c r="N76" s="2"/>
      <c r="O76" s="3" t="s">
        <v>426</v>
      </c>
      <c r="P76" s="3" t="s">
        <v>60</v>
      </c>
      <c r="Q76" s="3" t="s">
        <v>5100</v>
      </c>
      <c r="R76" s="3" t="s">
        <v>396</v>
      </c>
      <c r="S76" s="3" t="s">
        <v>413</v>
      </c>
      <c r="T76" s="3" t="s">
        <v>577</v>
      </c>
      <c r="U76" s="3" t="s">
        <v>253</v>
      </c>
      <c r="V76" s="3" t="s">
        <v>578</v>
      </c>
      <c r="W76" s="3" t="s">
        <v>579</v>
      </c>
      <c r="X76" s="2"/>
      <c r="Y76" s="2"/>
    </row>
    <row r="77" spans="1:25" x14ac:dyDescent="0.2">
      <c r="A77" s="3">
        <v>1455</v>
      </c>
      <c r="B77" s="4" t="s">
        <v>580</v>
      </c>
      <c r="C77" s="3" t="s">
        <v>581</v>
      </c>
      <c r="D77" s="3" t="s">
        <v>5440</v>
      </c>
      <c r="E77" s="3" t="s">
        <v>582</v>
      </c>
      <c r="F77" s="3" t="s">
        <v>5441</v>
      </c>
      <c r="G77" s="3" t="s">
        <v>583</v>
      </c>
      <c r="H77" s="3" t="s">
        <v>583</v>
      </c>
      <c r="I77" s="3" t="s">
        <v>583</v>
      </c>
      <c r="J77" s="3" t="s">
        <v>393</v>
      </c>
      <c r="K77" s="3" t="s">
        <v>453</v>
      </c>
      <c r="L77" s="3" t="s">
        <v>453</v>
      </c>
      <c r="M77" s="2"/>
      <c r="N77" s="2"/>
      <c r="O77" s="3" t="s">
        <v>26</v>
      </c>
      <c r="P77" s="3" t="s">
        <v>27</v>
      </c>
      <c r="Q77" s="3" t="s">
        <v>5079</v>
      </c>
      <c r="R77" s="3" t="s">
        <v>396</v>
      </c>
      <c r="S77" s="3" t="s">
        <v>29</v>
      </c>
      <c r="T77" s="3" t="s">
        <v>584</v>
      </c>
      <c r="U77" s="3" t="s">
        <v>43</v>
      </c>
      <c r="V77" s="3" t="s">
        <v>27</v>
      </c>
      <c r="W77" s="2"/>
      <c r="X77" s="2"/>
      <c r="Y77" s="2"/>
    </row>
    <row r="78" spans="1:25" x14ac:dyDescent="0.2">
      <c r="A78" s="3">
        <v>1662</v>
      </c>
      <c r="B78" s="4" t="s">
        <v>585</v>
      </c>
      <c r="C78" s="3" t="s">
        <v>586</v>
      </c>
      <c r="D78" s="3" t="s">
        <v>5443</v>
      </c>
      <c r="E78" s="3" t="s">
        <v>587</v>
      </c>
      <c r="F78" s="3" t="s">
        <v>5444</v>
      </c>
      <c r="G78" s="3" t="s">
        <v>588</v>
      </c>
      <c r="H78" s="3" t="s">
        <v>588</v>
      </c>
      <c r="I78" s="3" t="s">
        <v>588</v>
      </c>
      <c r="J78" s="3" t="s">
        <v>393</v>
      </c>
      <c r="K78" s="3" t="s">
        <v>589</v>
      </c>
      <c r="L78" s="3" t="s">
        <v>589</v>
      </c>
      <c r="M78" s="2"/>
      <c r="N78" s="2"/>
      <c r="O78" s="3" t="s">
        <v>26</v>
      </c>
      <c r="P78" s="3" t="s">
        <v>27</v>
      </c>
      <c r="Q78" s="3" t="s">
        <v>5079</v>
      </c>
      <c r="R78" s="3" t="s">
        <v>396</v>
      </c>
      <c r="S78" s="3" t="s">
        <v>397</v>
      </c>
      <c r="T78" s="3" t="s">
        <v>590</v>
      </c>
      <c r="U78" s="3" t="s">
        <v>314</v>
      </c>
      <c r="V78" s="3" t="s">
        <v>27</v>
      </c>
      <c r="W78" s="2"/>
      <c r="X78" s="2"/>
      <c r="Y78" s="2"/>
    </row>
    <row r="79" spans="1:25" x14ac:dyDescent="0.2">
      <c r="A79" s="3">
        <v>1663</v>
      </c>
      <c r="B79" s="4" t="s">
        <v>591</v>
      </c>
      <c r="C79" s="3" t="s">
        <v>592</v>
      </c>
      <c r="D79" s="3" t="s">
        <v>5446</v>
      </c>
      <c r="E79" s="3" t="s">
        <v>593</v>
      </c>
      <c r="F79" s="3" t="s">
        <v>5447</v>
      </c>
      <c r="G79" s="3" t="s">
        <v>588</v>
      </c>
      <c r="H79" s="3" t="s">
        <v>588</v>
      </c>
      <c r="I79" s="3" t="s">
        <v>588</v>
      </c>
      <c r="J79" s="3" t="s">
        <v>393</v>
      </c>
      <c r="K79" s="3" t="s">
        <v>594</v>
      </c>
      <c r="L79" s="3" t="s">
        <v>5448</v>
      </c>
      <c r="M79" s="3" t="s">
        <v>374</v>
      </c>
      <c r="N79" s="2"/>
      <c r="O79" s="3" t="s">
        <v>39</v>
      </c>
      <c r="P79" s="3" t="s">
        <v>27</v>
      </c>
      <c r="Q79" s="3" t="s">
        <v>5079</v>
      </c>
      <c r="R79" s="3" t="s">
        <v>396</v>
      </c>
      <c r="S79" s="3" t="s">
        <v>413</v>
      </c>
      <c r="T79" s="3" t="s">
        <v>595</v>
      </c>
      <c r="U79" s="3" t="s">
        <v>314</v>
      </c>
      <c r="V79" s="3" t="s">
        <v>27</v>
      </c>
      <c r="W79" s="2"/>
      <c r="X79" s="2"/>
      <c r="Y79" s="2"/>
    </row>
    <row r="80" spans="1:25" x14ac:dyDescent="0.2">
      <c r="A80" s="3">
        <v>1666</v>
      </c>
      <c r="B80" s="6" t="s">
        <v>596</v>
      </c>
      <c r="C80" s="3" t="s">
        <v>597</v>
      </c>
      <c r="D80" s="3" t="s">
        <v>5450</v>
      </c>
      <c r="E80" s="3" t="s">
        <v>598</v>
      </c>
      <c r="F80" s="3" t="s">
        <v>5451</v>
      </c>
      <c r="G80" s="3" t="s">
        <v>599</v>
      </c>
      <c r="H80" s="3" t="s">
        <v>600</v>
      </c>
      <c r="I80" s="3" t="s">
        <v>600</v>
      </c>
      <c r="J80" s="3" t="s">
        <v>393</v>
      </c>
      <c r="K80" s="3" t="s">
        <v>601</v>
      </c>
      <c r="L80" s="3" t="s">
        <v>5452</v>
      </c>
      <c r="M80" s="2"/>
      <c r="N80" s="2"/>
      <c r="O80" s="3" t="s">
        <v>602</v>
      </c>
      <c r="P80" s="3" t="s">
        <v>603</v>
      </c>
      <c r="Q80" s="3" t="s">
        <v>5454</v>
      </c>
      <c r="R80" s="3" t="s">
        <v>396</v>
      </c>
      <c r="S80" s="3" t="s">
        <v>413</v>
      </c>
      <c r="T80" s="3" t="s">
        <v>604</v>
      </c>
      <c r="U80" s="3" t="s">
        <v>268</v>
      </c>
      <c r="V80" s="3" t="s">
        <v>60</v>
      </c>
      <c r="W80" s="2"/>
      <c r="X80" s="2"/>
      <c r="Y80" s="2"/>
    </row>
    <row r="81" spans="1:25" x14ac:dyDescent="0.2">
      <c r="A81" s="3">
        <v>2109</v>
      </c>
      <c r="B81" s="4" t="s">
        <v>605</v>
      </c>
      <c r="C81" s="3" t="s">
        <v>606</v>
      </c>
      <c r="D81" s="3" t="s">
        <v>5456</v>
      </c>
      <c r="E81" s="3" t="s">
        <v>607</v>
      </c>
      <c r="F81" s="3" t="s">
        <v>5457</v>
      </c>
      <c r="G81" s="3" t="s">
        <v>608</v>
      </c>
      <c r="H81" s="3" t="s">
        <v>22</v>
      </c>
      <c r="I81" s="3" t="s">
        <v>22</v>
      </c>
      <c r="J81" s="3" t="s">
        <v>393</v>
      </c>
      <c r="K81" s="3" t="s">
        <v>609</v>
      </c>
      <c r="L81" s="3" t="s">
        <v>609</v>
      </c>
      <c r="M81" s="2"/>
      <c r="N81" s="4" t="s">
        <v>610</v>
      </c>
      <c r="O81" s="3" t="s">
        <v>26</v>
      </c>
      <c r="P81" s="3" t="s">
        <v>51</v>
      </c>
      <c r="Q81" s="3" t="s">
        <v>5095</v>
      </c>
      <c r="R81" s="3" t="s">
        <v>396</v>
      </c>
      <c r="S81" s="3" t="s">
        <v>455</v>
      </c>
      <c r="T81" s="3" t="s">
        <v>611</v>
      </c>
      <c r="U81" s="3" t="s">
        <v>612</v>
      </c>
      <c r="V81" s="3" t="s">
        <v>613</v>
      </c>
      <c r="W81" s="3" t="s">
        <v>579</v>
      </c>
      <c r="X81" s="2"/>
      <c r="Y81" s="2"/>
    </row>
    <row r="82" spans="1:25" x14ac:dyDescent="0.2">
      <c r="A82" s="3">
        <v>2121</v>
      </c>
      <c r="B82" s="4" t="s">
        <v>614</v>
      </c>
      <c r="C82" s="3" t="s">
        <v>615</v>
      </c>
      <c r="D82" s="3" t="s">
        <v>5461</v>
      </c>
      <c r="E82" s="3" t="s">
        <v>616</v>
      </c>
      <c r="F82" s="3" t="s">
        <v>5462</v>
      </c>
      <c r="G82" s="3" t="s">
        <v>617</v>
      </c>
      <c r="H82" s="3" t="s">
        <v>617</v>
      </c>
      <c r="I82" s="3" t="s">
        <v>617</v>
      </c>
      <c r="J82" s="3" t="s">
        <v>393</v>
      </c>
      <c r="K82" s="3" t="s">
        <v>618</v>
      </c>
      <c r="L82" s="3" t="s">
        <v>618</v>
      </c>
      <c r="M82" s="2"/>
      <c r="N82" s="2"/>
      <c r="O82" s="3" t="s">
        <v>26</v>
      </c>
      <c r="P82" s="3" t="s">
        <v>461</v>
      </c>
      <c r="Q82" s="3" t="s">
        <v>5367</v>
      </c>
      <c r="R82" s="3" t="s">
        <v>396</v>
      </c>
      <c r="S82" s="3" t="s">
        <v>413</v>
      </c>
      <c r="T82" s="3" t="s">
        <v>619</v>
      </c>
      <c r="U82" s="3" t="s">
        <v>43</v>
      </c>
      <c r="V82" s="3" t="s">
        <v>620</v>
      </c>
      <c r="W82" s="2"/>
      <c r="X82" s="2"/>
      <c r="Y82" s="2"/>
    </row>
    <row r="83" spans="1:25" x14ac:dyDescent="0.2">
      <c r="A83" s="3">
        <v>2122</v>
      </c>
      <c r="B83" s="4" t="s">
        <v>621</v>
      </c>
      <c r="C83" s="3" t="s">
        <v>622</v>
      </c>
      <c r="D83" s="3" t="s">
        <v>5465</v>
      </c>
      <c r="E83" s="3" t="s">
        <v>623</v>
      </c>
      <c r="F83" s="3" t="s">
        <v>5466</v>
      </c>
      <c r="G83" s="3" t="s">
        <v>624</v>
      </c>
      <c r="H83" s="3" t="s">
        <v>625</v>
      </c>
      <c r="I83" s="3" t="s">
        <v>624</v>
      </c>
      <c r="J83" s="3" t="s">
        <v>393</v>
      </c>
      <c r="K83" s="3" t="s">
        <v>618</v>
      </c>
      <c r="L83" s="3" t="s">
        <v>618</v>
      </c>
      <c r="M83" s="2"/>
      <c r="N83" s="2"/>
      <c r="O83" s="3" t="s">
        <v>26</v>
      </c>
      <c r="P83" s="3" t="s">
        <v>626</v>
      </c>
      <c r="Q83" s="3" t="s">
        <v>5467</v>
      </c>
      <c r="R83" s="3" t="s">
        <v>396</v>
      </c>
      <c r="S83" s="3" t="s">
        <v>29</v>
      </c>
      <c r="T83" s="3" t="s">
        <v>627</v>
      </c>
      <c r="U83" s="3" t="s">
        <v>628</v>
      </c>
      <c r="V83" s="3" t="s">
        <v>629</v>
      </c>
      <c r="W83" s="3" t="s">
        <v>630</v>
      </c>
      <c r="X83" s="2"/>
      <c r="Y83" s="2"/>
    </row>
    <row r="84" spans="1:25" x14ac:dyDescent="0.2">
      <c r="A84" s="3">
        <v>2123</v>
      </c>
      <c r="B84" s="6" t="s">
        <v>631</v>
      </c>
      <c r="C84" s="3" t="s">
        <v>632</v>
      </c>
      <c r="D84" s="3" t="s">
        <v>5472</v>
      </c>
      <c r="E84" s="3" t="s">
        <v>633</v>
      </c>
      <c r="F84" s="3" t="s">
        <v>5473</v>
      </c>
      <c r="G84" s="3" t="s">
        <v>125</v>
      </c>
      <c r="H84" s="3" t="s">
        <v>125</v>
      </c>
      <c r="I84" s="3" t="s">
        <v>125</v>
      </c>
      <c r="J84" s="3" t="s">
        <v>393</v>
      </c>
      <c r="K84" s="3" t="s">
        <v>618</v>
      </c>
      <c r="L84" s="3" t="s">
        <v>618</v>
      </c>
      <c r="M84" s="2"/>
      <c r="N84" s="2"/>
      <c r="O84" s="3" t="s">
        <v>26</v>
      </c>
      <c r="P84" s="3" t="s">
        <v>634</v>
      </c>
      <c r="Q84" s="3" t="s">
        <v>5474</v>
      </c>
      <c r="R84" s="3" t="s">
        <v>396</v>
      </c>
      <c r="S84" s="3" t="s">
        <v>397</v>
      </c>
      <c r="T84" s="3" t="s">
        <v>635</v>
      </c>
      <c r="U84" s="3" t="s">
        <v>628</v>
      </c>
      <c r="V84" s="3" t="s">
        <v>636</v>
      </c>
      <c r="W84" s="2"/>
      <c r="X84" s="2"/>
      <c r="Y84" s="2"/>
    </row>
    <row r="85" spans="1:25" x14ac:dyDescent="0.2">
      <c r="A85" s="3">
        <v>2124</v>
      </c>
      <c r="B85" s="4" t="s">
        <v>637</v>
      </c>
      <c r="C85" s="3" t="s">
        <v>638</v>
      </c>
      <c r="D85" s="3" t="s">
        <v>5477</v>
      </c>
      <c r="E85" s="3" t="s">
        <v>639</v>
      </c>
      <c r="F85" s="3" t="s">
        <v>5478</v>
      </c>
      <c r="G85" s="3" t="s">
        <v>124</v>
      </c>
      <c r="H85" s="2"/>
      <c r="I85" s="2"/>
      <c r="J85" s="3" t="s">
        <v>393</v>
      </c>
      <c r="K85" s="3" t="s">
        <v>618</v>
      </c>
      <c r="L85" s="3" t="s">
        <v>618</v>
      </c>
      <c r="M85" s="2"/>
      <c r="N85" s="2"/>
      <c r="O85" s="3" t="s">
        <v>26</v>
      </c>
      <c r="P85" s="3" t="s">
        <v>27</v>
      </c>
      <c r="Q85" s="3" t="s">
        <v>5079</v>
      </c>
      <c r="R85" s="3" t="s">
        <v>396</v>
      </c>
      <c r="S85" s="3" t="s">
        <v>29</v>
      </c>
      <c r="T85" s="3" t="s">
        <v>640</v>
      </c>
      <c r="U85" s="2"/>
      <c r="V85" s="3" t="s">
        <v>27</v>
      </c>
      <c r="W85" s="2"/>
      <c r="X85" s="2"/>
      <c r="Y85" s="2"/>
    </row>
    <row r="86" spans="1:25" x14ac:dyDescent="0.2">
      <c r="A86" s="3">
        <v>2126</v>
      </c>
      <c r="B86" s="4" t="s">
        <v>641</v>
      </c>
      <c r="C86" s="3" t="s">
        <v>642</v>
      </c>
      <c r="D86" s="3" t="s">
        <v>5480</v>
      </c>
      <c r="E86" s="3" t="s">
        <v>643</v>
      </c>
      <c r="F86" s="3" t="s">
        <v>5481</v>
      </c>
      <c r="G86" s="3" t="s">
        <v>644</v>
      </c>
      <c r="H86" s="3" t="s">
        <v>644</v>
      </c>
      <c r="I86" s="3" t="s">
        <v>644</v>
      </c>
      <c r="J86" s="3" t="s">
        <v>393</v>
      </c>
      <c r="K86" s="3" t="s">
        <v>618</v>
      </c>
      <c r="L86" s="3" t="s">
        <v>618</v>
      </c>
      <c r="M86" s="2"/>
      <c r="N86" s="2"/>
      <c r="O86" s="3" t="s">
        <v>645</v>
      </c>
      <c r="P86" s="3" t="s">
        <v>51</v>
      </c>
      <c r="Q86" s="3" t="s">
        <v>5095</v>
      </c>
      <c r="R86" s="3" t="s">
        <v>396</v>
      </c>
      <c r="S86" s="3" t="s">
        <v>405</v>
      </c>
      <c r="T86" s="3" t="s">
        <v>646</v>
      </c>
      <c r="U86" s="3" t="s">
        <v>628</v>
      </c>
      <c r="V86" s="3" t="s">
        <v>51</v>
      </c>
      <c r="W86" s="3" t="s">
        <v>630</v>
      </c>
      <c r="X86" s="2"/>
      <c r="Y86" s="2"/>
    </row>
    <row r="87" spans="1:25" x14ac:dyDescent="0.2">
      <c r="A87" s="3">
        <v>2127</v>
      </c>
      <c r="B87" s="4" t="s">
        <v>647</v>
      </c>
      <c r="C87" s="3" t="s">
        <v>648</v>
      </c>
      <c r="D87" s="3" t="s">
        <v>5484</v>
      </c>
      <c r="E87" s="3" t="s">
        <v>649</v>
      </c>
      <c r="F87" s="3" t="s">
        <v>5485</v>
      </c>
      <c r="G87" s="3" t="s">
        <v>650</v>
      </c>
      <c r="H87" s="3" t="s">
        <v>216</v>
      </c>
      <c r="I87" s="3" t="s">
        <v>650</v>
      </c>
      <c r="J87" s="3" t="s">
        <v>393</v>
      </c>
      <c r="K87" s="3" t="s">
        <v>618</v>
      </c>
      <c r="L87" s="3" t="s">
        <v>618</v>
      </c>
      <c r="M87" s="2"/>
      <c r="N87" s="2"/>
      <c r="O87" s="3" t="s">
        <v>26</v>
      </c>
      <c r="P87" s="3" t="s">
        <v>51</v>
      </c>
      <c r="Q87" s="3" t="s">
        <v>5095</v>
      </c>
      <c r="R87" s="3" t="s">
        <v>396</v>
      </c>
      <c r="S87" s="3" t="s">
        <v>413</v>
      </c>
      <c r="T87" s="3" t="s">
        <v>651</v>
      </c>
      <c r="U87" s="3" t="s">
        <v>652</v>
      </c>
      <c r="V87" s="3" t="s">
        <v>653</v>
      </c>
      <c r="W87" s="3" t="s">
        <v>630</v>
      </c>
      <c r="X87" s="2"/>
      <c r="Y87" s="2"/>
    </row>
    <row r="88" spans="1:25" x14ac:dyDescent="0.2">
      <c r="A88" s="3">
        <v>464</v>
      </c>
      <c r="B88" s="4" t="s">
        <v>654</v>
      </c>
      <c r="C88" s="3" t="s">
        <v>655</v>
      </c>
      <c r="D88" s="3" t="s">
        <v>5489</v>
      </c>
      <c r="E88" s="3" t="s">
        <v>656</v>
      </c>
      <c r="F88" s="3" t="s">
        <v>5490</v>
      </c>
      <c r="G88" s="3" t="s">
        <v>657</v>
      </c>
      <c r="H88" s="3" t="s">
        <v>658</v>
      </c>
      <c r="I88" s="3" t="s">
        <v>658</v>
      </c>
      <c r="J88" s="3" t="s">
        <v>393</v>
      </c>
      <c r="K88" s="3" t="s">
        <v>659</v>
      </c>
      <c r="L88" s="3" t="s">
        <v>659</v>
      </c>
      <c r="M88" s="3" t="s">
        <v>660</v>
      </c>
      <c r="N88" s="2"/>
      <c r="O88" s="3" t="s">
        <v>412</v>
      </c>
      <c r="P88" s="3" t="s">
        <v>661</v>
      </c>
      <c r="Q88" s="3" t="s">
        <v>5491</v>
      </c>
      <c r="R88" s="3" t="s">
        <v>396</v>
      </c>
      <c r="S88" s="3" t="s">
        <v>413</v>
      </c>
      <c r="T88" s="3" t="s">
        <v>662</v>
      </c>
      <c r="U88" s="3" t="s">
        <v>43</v>
      </c>
      <c r="V88" s="3" t="s">
        <v>663</v>
      </c>
      <c r="W88" s="2"/>
      <c r="X88" s="2"/>
      <c r="Y88" s="2"/>
    </row>
    <row r="89" spans="1:25" x14ac:dyDescent="0.2">
      <c r="A89" s="3">
        <v>465</v>
      </c>
      <c r="B89" s="4" t="s">
        <v>664</v>
      </c>
      <c r="C89" s="3" t="s">
        <v>665</v>
      </c>
      <c r="D89" s="3" t="s">
        <v>5494</v>
      </c>
      <c r="E89" s="3" t="s">
        <v>666</v>
      </c>
      <c r="F89" s="3" t="s">
        <v>5495</v>
      </c>
      <c r="G89" s="3" t="s">
        <v>546</v>
      </c>
      <c r="H89" s="2"/>
      <c r="I89" s="2"/>
      <c r="J89" s="3" t="s">
        <v>393</v>
      </c>
      <c r="K89" s="3" t="s">
        <v>659</v>
      </c>
      <c r="L89" s="3" t="s">
        <v>659</v>
      </c>
      <c r="M89" s="2"/>
      <c r="N89" s="2"/>
      <c r="O89" s="3" t="s">
        <v>426</v>
      </c>
      <c r="P89" s="2"/>
      <c r="Q89" s="3">
        <v>0</v>
      </c>
      <c r="R89" s="3" t="s">
        <v>396</v>
      </c>
      <c r="S89" s="3" t="s">
        <v>413</v>
      </c>
      <c r="T89" s="3" t="s">
        <v>667</v>
      </c>
      <c r="U89" s="3" t="s">
        <v>43</v>
      </c>
      <c r="V89" s="2"/>
      <c r="W89" s="2"/>
      <c r="X89" s="2"/>
      <c r="Y89" s="2"/>
    </row>
    <row r="90" spans="1:25" x14ac:dyDescent="0.2">
      <c r="A90" s="3">
        <v>468</v>
      </c>
      <c r="B90" s="4" t="s">
        <v>668</v>
      </c>
      <c r="C90" s="3" t="s">
        <v>669</v>
      </c>
      <c r="D90" s="3" t="s">
        <v>5497</v>
      </c>
      <c r="E90" s="3" t="s">
        <v>670</v>
      </c>
      <c r="F90" s="3" t="s">
        <v>5498</v>
      </c>
      <c r="G90" s="3" t="s">
        <v>671</v>
      </c>
      <c r="H90" s="2"/>
      <c r="I90" s="2"/>
      <c r="J90" s="3" t="s">
        <v>393</v>
      </c>
      <c r="K90" s="3" t="s">
        <v>659</v>
      </c>
      <c r="L90" s="3" t="s">
        <v>659</v>
      </c>
      <c r="M90" s="2"/>
      <c r="N90" s="2"/>
      <c r="O90" s="3" t="s">
        <v>412</v>
      </c>
      <c r="P90" s="2"/>
      <c r="Q90" s="3">
        <v>0</v>
      </c>
      <c r="R90" s="3" t="s">
        <v>396</v>
      </c>
      <c r="S90" s="3" t="s">
        <v>413</v>
      </c>
      <c r="T90" s="3" t="s">
        <v>672</v>
      </c>
      <c r="U90" s="3" t="s">
        <v>673</v>
      </c>
      <c r="V90" s="2"/>
      <c r="W90" s="2"/>
      <c r="X90" s="2"/>
      <c r="Y90" s="2"/>
    </row>
    <row r="91" spans="1:25" x14ac:dyDescent="0.2">
      <c r="A91" s="3">
        <v>469</v>
      </c>
      <c r="B91" s="4" t="s">
        <v>674</v>
      </c>
      <c r="C91" s="3" t="s">
        <v>675</v>
      </c>
      <c r="D91" s="3" t="s">
        <v>5501</v>
      </c>
      <c r="E91" s="3" t="s">
        <v>676</v>
      </c>
      <c r="F91" s="3" t="s">
        <v>5502</v>
      </c>
      <c r="G91" s="3" t="s">
        <v>677</v>
      </c>
      <c r="H91" s="2"/>
      <c r="I91" s="2"/>
      <c r="J91" s="3" t="s">
        <v>393</v>
      </c>
      <c r="K91" s="3" t="s">
        <v>659</v>
      </c>
      <c r="L91" s="3" t="s">
        <v>659</v>
      </c>
      <c r="M91" s="3" t="s">
        <v>201</v>
      </c>
      <c r="N91" s="6" t="s">
        <v>678</v>
      </c>
      <c r="O91" s="3" t="s">
        <v>426</v>
      </c>
      <c r="P91" s="2"/>
      <c r="Q91" s="3">
        <v>0</v>
      </c>
      <c r="R91" s="3" t="s">
        <v>396</v>
      </c>
      <c r="S91" s="3" t="s">
        <v>29</v>
      </c>
      <c r="T91" s="3" t="s">
        <v>679</v>
      </c>
      <c r="U91" s="3" t="s">
        <v>43</v>
      </c>
      <c r="V91" s="2"/>
      <c r="W91" s="2"/>
      <c r="X91" s="2"/>
      <c r="Y91" s="2"/>
    </row>
    <row r="92" spans="1:25" x14ac:dyDescent="0.2">
      <c r="A92" s="3">
        <v>470</v>
      </c>
      <c r="B92" s="4" t="s">
        <v>680</v>
      </c>
      <c r="C92" s="3" t="s">
        <v>681</v>
      </c>
      <c r="D92" s="3" t="s">
        <v>5504</v>
      </c>
      <c r="E92" s="3" t="s">
        <v>682</v>
      </c>
      <c r="F92" s="3" t="s">
        <v>5505</v>
      </c>
      <c r="G92" s="3" t="s">
        <v>683</v>
      </c>
      <c r="H92" s="2"/>
      <c r="I92" s="2"/>
      <c r="J92" s="3" t="s">
        <v>393</v>
      </c>
      <c r="K92" s="3" t="s">
        <v>659</v>
      </c>
      <c r="L92" s="3" t="s">
        <v>659</v>
      </c>
      <c r="M92" s="2"/>
      <c r="N92" s="2"/>
      <c r="O92" s="3" t="s">
        <v>26</v>
      </c>
      <c r="P92" s="3" t="s">
        <v>27</v>
      </c>
      <c r="Q92" s="3" t="s">
        <v>5079</v>
      </c>
      <c r="R92" s="3" t="s">
        <v>396</v>
      </c>
      <c r="S92" s="3" t="s">
        <v>397</v>
      </c>
      <c r="T92" s="3" t="s">
        <v>684</v>
      </c>
      <c r="U92" s="3" t="s">
        <v>43</v>
      </c>
      <c r="V92" s="3" t="s">
        <v>27</v>
      </c>
      <c r="W92" s="2"/>
      <c r="X92" s="2"/>
      <c r="Y92" s="2"/>
    </row>
    <row r="93" spans="1:25" x14ac:dyDescent="0.2">
      <c r="A93" s="3">
        <v>471</v>
      </c>
      <c r="B93" s="4" t="s">
        <v>685</v>
      </c>
      <c r="C93" s="3" t="s">
        <v>686</v>
      </c>
      <c r="D93" s="3" t="s">
        <v>5507</v>
      </c>
      <c r="E93" s="3" t="s">
        <v>687</v>
      </c>
      <c r="F93" s="3" t="s">
        <v>5508</v>
      </c>
      <c r="G93" s="3" t="s">
        <v>688</v>
      </c>
      <c r="H93" s="2"/>
      <c r="I93" s="2"/>
      <c r="J93" s="3" t="s">
        <v>393</v>
      </c>
      <c r="K93" s="3" t="s">
        <v>659</v>
      </c>
      <c r="L93" s="3" t="s">
        <v>659</v>
      </c>
      <c r="M93" s="2"/>
      <c r="N93" s="2"/>
      <c r="O93" s="3" t="s">
        <v>412</v>
      </c>
      <c r="P93" s="2"/>
      <c r="Q93" s="3">
        <v>0</v>
      </c>
      <c r="R93" s="3" t="s">
        <v>396</v>
      </c>
      <c r="S93" s="3" t="s">
        <v>413</v>
      </c>
      <c r="T93" s="3" t="s">
        <v>689</v>
      </c>
      <c r="U93" s="3" t="s">
        <v>43</v>
      </c>
      <c r="V93" s="2"/>
      <c r="W93" s="2"/>
      <c r="X93" s="2"/>
      <c r="Y93" s="2"/>
    </row>
    <row r="94" spans="1:25" x14ac:dyDescent="0.2">
      <c r="A94" s="3">
        <v>425</v>
      </c>
      <c r="B94" s="4" t="s">
        <v>690</v>
      </c>
      <c r="C94" s="3" t="s">
        <v>691</v>
      </c>
      <c r="D94" s="3" t="s">
        <v>5510</v>
      </c>
      <c r="E94" s="3" t="s">
        <v>692</v>
      </c>
      <c r="F94" s="3" t="s">
        <v>5511</v>
      </c>
      <c r="G94" s="3" t="s">
        <v>545</v>
      </c>
      <c r="H94" s="2"/>
      <c r="I94" s="2"/>
      <c r="J94" s="3" t="s">
        <v>393</v>
      </c>
      <c r="K94" s="3" t="s">
        <v>693</v>
      </c>
      <c r="L94" s="3" t="s">
        <v>5512</v>
      </c>
      <c r="M94" s="2"/>
      <c r="N94" s="2"/>
      <c r="O94" s="3" t="s">
        <v>39</v>
      </c>
      <c r="P94" s="3" t="s">
        <v>439</v>
      </c>
      <c r="Q94" s="3" t="s">
        <v>5352</v>
      </c>
      <c r="R94" s="3" t="s">
        <v>396</v>
      </c>
      <c r="S94" s="3" t="s">
        <v>413</v>
      </c>
      <c r="T94" s="3" t="s">
        <v>694</v>
      </c>
      <c r="U94" s="3" t="s">
        <v>43</v>
      </c>
      <c r="V94" s="3" t="s">
        <v>439</v>
      </c>
      <c r="W94" s="2"/>
      <c r="X94" s="2"/>
      <c r="Y94" s="2"/>
    </row>
    <row r="95" spans="1:25" x14ac:dyDescent="0.2">
      <c r="A95" s="3">
        <v>522</v>
      </c>
      <c r="B95" s="4" t="s">
        <v>695</v>
      </c>
      <c r="C95" s="3" t="s">
        <v>696</v>
      </c>
      <c r="D95" s="3" t="s">
        <v>5514</v>
      </c>
      <c r="E95" s="3" t="s">
        <v>697</v>
      </c>
      <c r="F95" s="3" t="s">
        <v>5515</v>
      </c>
      <c r="G95" s="3" t="s">
        <v>671</v>
      </c>
      <c r="H95" s="3" t="s">
        <v>671</v>
      </c>
      <c r="I95" s="3" t="s">
        <v>671</v>
      </c>
      <c r="J95" s="3" t="s">
        <v>393</v>
      </c>
      <c r="K95" s="3" t="s">
        <v>491</v>
      </c>
      <c r="L95" s="3" t="s">
        <v>491</v>
      </c>
      <c r="M95" s="2"/>
      <c r="N95" s="4" t="s">
        <v>698</v>
      </c>
      <c r="O95" s="3" t="s">
        <v>493</v>
      </c>
      <c r="P95" s="3" t="s">
        <v>699</v>
      </c>
      <c r="Q95" s="3" t="s">
        <v>5516</v>
      </c>
      <c r="R95" s="3" t="s">
        <v>396</v>
      </c>
      <c r="S95" s="3" t="s">
        <v>700</v>
      </c>
      <c r="T95" s="3" t="s">
        <v>701</v>
      </c>
      <c r="U95" s="2"/>
      <c r="V95" s="3" t="s">
        <v>60</v>
      </c>
      <c r="W95" s="2"/>
      <c r="X95" s="2"/>
      <c r="Y95" s="2"/>
    </row>
    <row r="96" spans="1:25" x14ac:dyDescent="0.2">
      <c r="A96" s="3">
        <v>523</v>
      </c>
      <c r="B96" s="4" t="s">
        <v>702</v>
      </c>
      <c r="C96" s="3" t="s">
        <v>703</v>
      </c>
      <c r="D96" s="3" t="s">
        <v>5519</v>
      </c>
      <c r="E96" s="3" t="s">
        <v>704</v>
      </c>
      <c r="F96" s="3" t="s">
        <v>5520</v>
      </c>
      <c r="G96" s="3" t="s">
        <v>705</v>
      </c>
      <c r="H96" s="3" t="s">
        <v>705</v>
      </c>
      <c r="I96" s="3" t="s">
        <v>705</v>
      </c>
      <c r="J96" s="3" t="s">
        <v>393</v>
      </c>
      <c r="K96" s="3" t="s">
        <v>491</v>
      </c>
      <c r="L96" s="3" t="s">
        <v>491</v>
      </c>
      <c r="M96" s="3" t="s">
        <v>706</v>
      </c>
      <c r="N96" s="2"/>
      <c r="O96" s="3" t="s">
        <v>493</v>
      </c>
      <c r="P96" s="3" t="s">
        <v>60</v>
      </c>
      <c r="Q96" s="3" t="s">
        <v>5100</v>
      </c>
      <c r="R96" s="3" t="s">
        <v>396</v>
      </c>
      <c r="S96" s="3" t="s">
        <v>707</v>
      </c>
      <c r="T96" s="3" t="s">
        <v>708</v>
      </c>
      <c r="U96" s="3" t="s">
        <v>253</v>
      </c>
      <c r="V96" s="3" t="s">
        <v>709</v>
      </c>
      <c r="W96" s="3" t="s">
        <v>261</v>
      </c>
      <c r="X96" s="2"/>
      <c r="Y96" s="2"/>
    </row>
    <row r="97" spans="1:25" x14ac:dyDescent="0.2">
      <c r="A97" s="3">
        <v>883</v>
      </c>
      <c r="B97" s="4" t="s">
        <v>710</v>
      </c>
      <c r="C97" s="3" t="s">
        <v>711</v>
      </c>
      <c r="D97" s="3" t="s">
        <v>5525</v>
      </c>
      <c r="E97" s="3" t="s">
        <v>712</v>
      </c>
      <c r="F97" s="3" t="s">
        <v>5526</v>
      </c>
      <c r="G97" s="3" t="s">
        <v>583</v>
      </c>
      <c r="H97" s="2"/>
      <c r="I97" s="2"/>
      <c r="J97" s="3" t="s">
        <v>393</v>
      </c>
      <c r="K97" s="3" t="s">
        <v>713</v>
      </c>
      <c r="L97" s="3" t="s">
        <v>713</v>
      </c>
      <c r="M97" s="2"/>
      <c r="N97" s="2"/>
      <c r="O97" s="3" t="s">
        <v>26</v>
      </c>
      <c r="P97" s="2"/>
      <c r="Q97" s="3">
        <v>0</v>
      </c>
      <c r="R97" s="3" t="s">
        <v>396</v>
      </c>
      <c r="S97" s="3" t="s">
        <v>397</v>
      </c>
      <c r="T97" s="3" t="s">
        <v>714</v>
      </c>
      <c r="U97" s="3" t="s">
        <v>715</v>
      </c>
      <c r="V97" s="2"/>
      <c r="W97" s="3" t="s">
        <v>716</v>
      </c>
      <c r="X97" s="2"/>
      <c r="Y97" s="2"/>
    </row>
    <row r="98" spans="1:25" x14ac:dyDescent="0.2">
      <c r="A98" s="3">
        <v>1020</v>
      </c>
      <c r="B98" s="4" t="s">
        <v>717</v>
      </c>
      <c r="C98" s="3" t="s">
        <v>718</v>
      </c>
      <c r="D98" s="3" t="s">
        <v>5530</v>
      </c>
      <c r="E98" s="3" t="s">
        <v>719</v>
      </c>
      <c r="F98" s="3" t="s">
        <v>5531</v>
      </c>
      <c r="G98" s="3" t="s">
        <v>720</v>
      </c>
      <c r="H98" s="2"/>
      <c r="I98" s="2"/>
      <c r="J98" s="3" t="s">
        <v>393</v>
      </c>
      <c r="K98" s="3" t="s">
        <v>589</v>
      </c>
      <c r="L98" s="3" t="s">
        <v>589</v>
      </c>
      <c r="M98" s="2"/>
      <c r="N98" s="2"/>
      <c r="O98" s="3" t="s">
        <v>26</v>
      </c>
      <c r="P98" s="3" t="s">
        <v>27</v>
      </c>
      <c r="Q98" s="3" t="s">
        <v>5079</v>
      </c>
      <c r="R98" s="3" t="s">
        <v>396</v>
      </c>
      <c r="S98" s="3" t="s">
        <v>29</v>
      </c>
      <c r="T98" s="3" t="s">
        <v>721</v>
      </c>
      <c r="U98" s="3" t="s">
        <v>722</v>
      </c>
      <c r="V98" s="3" t="s">
        <v>27</v>
      </c>
      <c r="W98" s="2"/>
      <c r="X98" s="2"/>
      <c r="Y98" s="2"/>
    </row>
    <row r="99" spans="1:25" x14ac:dyDescent="0.2">
      <c r="A99" s="3">
        <v>446</v>
      </c>
      <c r="B99" s="4" t="s">
        <v>723</v>
      </c>
      <c r="C99" s="3" t="s">
        <v>724</v>
      </c>
      <c r="D99" s="3" t="s">
        <v>5534</v>
      </c>
      <c r="E99" s="3" t="s">
        <v>725</v>
      </c>
      <c r="F99" s="3" t="s">
        <v>5535</v>
      </c>
      <c r="G99" s="3" t="s">
        <v>677</v>
      </c>
      <c r="H99" s="2"/>
      <c r="I99" s="2"/>
      <c r="J99" s="3" t="s">
        <v>393</v>
      </c>
      <c r="K99" s="3" t="s">
        <v>418</v>
      </c>
      <c r="L99" s="3" t="s">
        <v>5339</v>
      </c>
      <c r="M99" s="2"/>
      <c r="N99" s="2"/>
      <c r="O99" s="3" t="s">
        <v>39</v>
      </c>
      <c r="P99" s="3" t="s">
        <v>726</v>
      </c>
      <c r="Q99" s="3" t="s">
        <v>5536</v>
      </c>
      <c r="R99" s="3" t="s">
        <v>396</v>
      </c>
      <c r="S99" s="3" t="s">
        <v>397</v>
      </c>
      <c r="T99" s="3" t="s">
        <v>727</v>
      </c>
      <c r="U99" s="3" t="s">
        <v>43</v>
      </c>
      <c r="V99" s="3" t="s">
        <v>728</v>
      </c>
      <c r="W99" s="3" t="s">
        <v>729</v>
      </c>
      <c r="X99" s="2"/>
      <c r="Y99" s="2"/>
    </row>
    <row r="100" spans="1:25" x14ac:dyDescent="0.2">
      <c r="A100" s="3">
        <v>447</v>
      </c>
      <c r="B100" s="4" t="s">
        <v>730</v>
      </c>
      <c r="C100" s="3" t="s">
        <v>731</v>
      </c>
      <c r="D100" s="3" t="s">
        <v>5539</v>
      </c>
      <c r="E100" s="3" t="s">
        <v>732</v>
      </c>
      <c r="F100" s="3" t="s">
        <v>5540</v>
      </c>
      <c r="G100" s="3" t="s">
        <v>657</v>
      </c>
      <c r="H100" s="2"/>
      <c r="I100" s="2"/>
      <c r="J100" s="3" t="s">
        <v>393</v>
      </c>
      <c r="K100" s="3" t="s">
        <v>733</v>
      </c>
      <c r="L100" s="3" t="s">
        <v>733</v>
      </c>
      <c r="M100" s="2"/>
      <c r="N100" s="2"/>
      <c r="O100" s="3" t="s">
        <v>426</v>
      </c>
      <c r="P100" s="3" t="s">
        <v>27</v>
      </c>
      <c r="Q100" s="3" t="s">
        <v>5079</v>
      </c>
      <c r="R100" s="3" t="s">
        <v>396</v>
      </c>
      <c r="S100" s="3" t="s">
        <v>413</v>
      </c>
      <c r="T100" s="3" t="s">
        <v>734</v>
      </c>
      <c r="U100" s="3" t="s">
        <v>43</v>
      </c>
      <c r="V100" s="3" t="s">
        <v>27</v>
      </c>
      <c r="W100" s="2"/>
      <c r="X100" s="2"/>
      <c r="Y100" s="2"/>
    </row>
    <row r="101" spans="1:25" x14ac:dyDescent="0.2">
      <c r="A101" s="3">
        <v>449</v>
      </c>
      <c r="B101" s="4" t="s">
        <v>735</v>
      </c>
      <c r="C101" s="3" t="s">
        <v>736</v>
      </c>
      <c r="D101" s="3" t="s">
        <v>5542</v>
      </c>
      <c r="E101" s="3" t="s">
        <v>737</v>
      </c>
      <c r="F101" s="3" t="s">
        <v>5543</v>
      </c>
      <c r="G101" s="3" t="s">
        <v>738</v>
      </c>
      <c r="H101" s="2"/>
      <c r="I101" s="2"/>
      <c r="J101" s="3" t="s">
        <v>393</v>
      </c>
      <c r="K101" s="3" t="s">
        <v>739</v>
      </c>
      <c r="L101" s="3" t="s">
        <v>739</v>
      </c>
      <c r="M101" s="2"/>
      <c r="N101" s="2"/>
      <c r="O101" s="3" t="s">
        <v>426</v>
      </c>
      <c r="P101" s="3" t="s">
        <v>740</v>
      </c>
      <c r="Q101" s="3" t="s">
        <v>5544</v>
      </c>
      <c r="R101" s="3" t="s">
        <v>396</v>
      </c>
      <c r="S101" s="3" t="s">
        <v>413</v>
      </c>
      <c r="T101" s="3" t="s">
        <v>741</v>
      </c>
      <c r="U101" s="3" t="s">
        <v>43</v>
      </c>
      <c r="V101" s="3" t="s">
        <v>186</v>
      </c>
      <c r="W101" s="2"/>
      <c r="X101" s="2"/>
      <c r="Y101" s="2"/>
    </row>
    <row r="102" spans="1:25" x14ac:dyDescent="0.2">
      <c r="A102" s="3">
        <v>450</v>
      </c>
      <c r="B102" s="4" t="s">
        <v>742</v>
      </c>
      <c r="C102" s="3" t="s">
        <v>743</v>
      </c>
      <c r="D102" s="3" t="s">
        <v>5546</v>
      </c>
      <c r="E102" s="3" t="s">
        <v>744</v>
      </c>
      <c r="F102" s="3" t="s">
        <v>5547</v>
      </c>
      <c r="G102" s="3" t="s">
        <v>745</v>
      </c>
      <c r="H102" s="2"/>
      <c r="I102" s="2"/>
      <c r="J102" s="3" t="s">
        <v>393</v>
      </c>
      <c r="K102" s="3" t="s">
        <v>739</v>
      </c>
      <c r="L102" s="3" t="s">
        <v>739</v>
      </c>
      <c r="M102" s="2"/>
      <c r="N102" s="2"/>
      <c r="O102" s="3" t="s">
        <v>426</v>
      </c>
      <c r="P102" s="3" t="s">
        <v>746</v>
      </c>
      <c r="Q102" s="3" t="s">
        <v>5548</v>
      </c>
      <c r="R102" s="3" t="s">
        <v>396</v>
      </c>
      <c r="S102" s="3" t="s">
        <v>413</v>
      </c>
      <c r="T102" s="3" t="s">
        <v>747</v>
      </c>
      <c r="U102" s="3" t="s">
        <v>43</v>
      </c>
      <c r="V102" s="3" t="s">
        <v>71</v>
      </c>
      <c r="W102" s="2"/>
      <c r="X102" s="2"/>
      <c r="Y102" s="2"/>
    </row>
    <row r="103" spans="1:25" x14ac:dyDescent="0.2">
      <c r="A103" s="3">
        <v>453</v>
      </c>
      <c r="B103" s="4" t="s">
        <v>748</v>
      </c>
      <c r="C103" s="3" t="s">
        <v>749</v>
      </c>
      <c r="D103" s="3" t="s">
        <v>5550</v>
      </c>
      <c r="E103" s="3" t="s">
        <v>750</v>
      </c>
      <c r="F103" s="3" t="s">
        <v>5551</v>
      </c>
      <c r="G103" s="3" t="s">
        <v>751</v>
      </c>
      <c r="H103" s="2"/>
      <c r="I103" s="2"/>
      <c r="J103" s="3" t="s">
        <v>393</v>
      </c>
      <c r="K103" s="3" t="s">
        <v>739</v>
      </c>
      <c r="L103" s="3" t="s">
        <v>739</v>
      </c>
      <c r="M103" s="2"/>
      <c r="N103" s="2"/>
      <c r="O103" s="3" t="s">
        <v>426</v>
      </c>
      <c r="P103" s="3" t="s">
        <v>212</v>
      </c>
      <c r="Q103" s="3" t="s">
        <v>5193</v>
      </c>
      <c r="R103" s="3" t="s">
        <v>396</v>
      </c>
      <c r="S103" s="3" t="s">
        <v>413</v>
      </c>
      <c r="T103" s="3" t="s">
        <v>752</v>
      </c>
      <c r="U103" s="3" t="s">
        <v>43</v>
      </c>
      <c r="V103" s="3" t="s">
        <v>212</v>
      </c>
      <c r="W103" s="2"/>
      <c r="X103" s="2"/>
      <c r="Y103" s="2"/>
    </row>
    <row r="104" spans="1:25" x14ac:dyDescent="0.2">
      <c r="A104" s="3">
        <v>457</v>
      </c>
      <c r="B104" s="4" t="s">
        <v>753</v>
      </c>
      <c r="C104" s="3" t="s">
        <v>754</v>
      </c>
      <c r="D104" s="3" t="s">
        <v>5553</v>
      </c>
      <c r="E104" s="3" t="s">
        <v>755</v>
      </c>
      <c r="F104" s="3" t="s">
        <v>5554</v>
      </c>
      <c r="G104" s="3" t="s">
        <v>745</v>
      </c>
      <c r="H104" s="2"/>
      <c r="I104" s="2"/>
      <c r="J104" s="3" t="s">
        <v>393</v>
      </c>
      <c r="K104" s="3" t="s">
        <v>756</v>
      </c>
      <c r="L104" s="3" t="s">
        <v>756</v>
      </c>
      <c r="M104" s="2"/>
      <c r="N104" s="2"/>
      <c r="O104" s="3" t="s">
        <v>26</v>
      </c>
      <c r="P104" s="3" t="s">
        <v>27</v>
      </c>
      <c r="Q104" s="3" t="s">
        <v>5079</v>
      </c>
      <c r="R104" s="3" t="s">
        <v>396</v>
      </c>
      <c r="S104" s="3" t="s">
        <v>413</v>
      </c>
      <c r="T104" s="3" t="s">
        <v>757</v>
      </c>
      <c r="U104" s="3" t="s">
        <v>43</v>
      </c>
      <c r="V104" s="3" t="s">
        <v>27</v>
      </c>
      <c r="W104" s="2"/>
      <c r="X104" s="2"/>
      <c r="Y104" s="2"/>
    </row>
    <row r="105" spans="1:25" x14ac:dyDescent="0.2">
      <c r="A105" s="3">
        <v>404</v>
      </c>
      <c r="B105" s="4" t="s">
        <v>758</v>
      </c>
      <c r="C105" s="3" t="s">
        <v>759</v>
      </c>
      <c r="D105" s="3" t="s">
        <v>5556</v>
      </c>
      <c r="E105" s="3" t="s">
        <v>760</v>
      </c>
      <c r="F105" s="3" t="s">
        <v>5557</v>
      </c>
      <c r="G105" s="3" t="s">
        <v>588</v>
      </c>
      <c r="H105" s="3" t="s">
        <v>761</v>
      </c>
      <c r="I105" s="3" t="s">
        <v>761</v>
      </c>
      <c r="J105" s="3" t="s">
        <v>393</v>
      </c>
      <c r="K105" s="3" t="s">
        <v>532</v>
      </c>
      <c r="L105" s="3" t="s">
        <v>5412</v>
      </c>
      <c r="M105" s="2"/>
      <c r="N105" s="2"/>
      <c r="O105" s="3" t="s">
        <v>602</v>
      </c>
      <c r="P105" s="3" t="s">
        <v>762</v>
      </c>
      <c r="Q105" s="3" t="s">
        <v>5558</v>
      </c>
      <c r="R105" s="3" t="s">
        <v>396</v>
      </c>
      <c r="S105" s="3" t="s">
        <v>405</v>
      </c>
      <c r="T105" s="3" t="s">
        <v>763</v>
      </c>
      <c r="U105" s="3" t="s">
        <v>420</v>
      </c>
      <c r="V105" s="3" t="s">
        <v>764</v>
      </c>
      <c r="W105" s="3" t="s">
        <v>765</v>
      </c>
      <c r="X105" s="2"/>
      <c r="Y105" s="2"/>
    </row>
    <row r="106" spans="1:25" x14ac:dyDescent="0.2">
      <c r="A106" s="3">
        <v>432</v>
      </c>
      <c r="B106" s="4" t="s">
        <v>766</v>
      </c>
      <c r="C106" s="3" t="s">
        <v>767</v>
      </c>
      <c r="D106" s="3" t="s">
        <v>5562</v>
      </c>
      <c r="E106" s="3" t="s">
        <v>768</v>
      </c>
      <c r="F106" s="3" t="s">
        <v>5563</v>
      </c>
      <c r="G106" s="3" t="s">
        <v>552</v>
      </c>
      <c r="H106" s="3" t="s">
        <v>552</v>
      </c>
      <c r="I106" s="3" t="s">
        <v>552</v>
      </c>
      <c r="J106" s="3" t="s">
        <v>769</v>
      </c>
      <c r="K106" s="3" t="s">
        <v>770</v>
      </c>
      <c r="L106" s="3" t="s">
        <v>5564</v>
      </c>
      <c r="M106" s="2"/>
      <c r="N106" s="2"/>
      <c r="O106" s="3" t="s">
        <v>39</v>
      </c>
      <c r="P106" s="3" t="s">
        <v>771</v>
      </c>
      <c r="Q106" s="3" t="s">
        <v>5565</v>
      </c>
      <c r="R106" s="3" t="s">
        <v>396</v>
      </c>
      <c r="S106" s="3" t="s">
        <v>413</v>
      </c>
      <c r="T106" s="3" t="s">
        <v>772</v>
      </c>
      <c r="U106" s="3" t="s">
        <v>253</v>
      </c>
      <c r="V106" s="3" t="s">
        <v>773</v>
      </c>
      <c r="W106" s="3" t="s">
        <v>774</v>
      </c>
      <c r="X106" s="2"/>
      <c r="Y106" s="2"/>
    </row>
    <row r="107" spans="1:25" x14ac:dyDescent="0.2">
      <c r="A107" s="3">
        <v>433</v>
      </c>
      <c r="B107" s="4" t="s">
        <v>775</v>
      </c>
      <c r="C107" s="3" t="s">
        <v>776</v>
      </c>
      <c r="D107" s="3" t="s">
        <v>5569</v>
      </c>
      <c r="E107" s="3" t="s">
        <v>777</v>
      </c>
      <c r="F107" s="3" t="s">
        <v>5570</v>
      </c>
      <c r="G107" s="3" t="s">
        <v>778</v>
      </c>
      <c r="H107" s="2"/>
      <c r="I107" s="2"/>
      <c r="J107" s="3" t="s">
        <v>393</v>
      </c>
      <c r="K107" s="3" t="s">
        <v>779</v>
      </c>
      <c r="L107" s="3" t="s">
        <v>779</v>
      </c>
      <c r="M107" s="2"/>
      <c r="N107" s="2"/>
      <c r="O107" s="3" t="s">
        <v>412</v>
      </c>
      <c r="P107" s="3" t="s">
        <v>780</v>
      </c>
      <c r="Q107" s="3" t="s">
        <v>5571</v>
      </c>
      <c r="R107" s="3" t="s">
        <v>396</v>
      </c>
      <c r="S107" s="3" t="s">
        <v>413</v>
      </c>
      <c r="T107" s="3" t="s">
        <v>781</v>
      </c>
      <c r="U107" s="3" t="s">
        <v>782</v>
      </c>
      <c r="V107" s="3" t="s">
        <v>783</v>
      </c>
      <c r="W107" s="2"/>
      <c r="X107" s="2"/>
      <c r="Y107" s="2"/>
    </row>
    <row r="108" spans="1:25" x14ac:dyDescent="0.2">
      <c r="A108" s="3">
        <v>434</v>
      </c>
      <c r="B108" s="4" t="s">
        <v>784</v>
      </c>
      <c r="C108" s="3" t="s">
        <v>785</v>
      </c>
      <c r="D108" s="3" t="s">
        <v>5575</v>
      </c>
      <c r="E108" s="3" t="s">
        <v>786</v>
      </c>
      <c r="F108" s="3" t="s">
        <v>5576</v>
      </c>
      <c r="G108" s="3" t="s">
        <v>787</v>
      </c>
      <c r="H108" s="3" t="s">
        <v>788</v>
      </c>
      <c r="I108" s="3" t="s">
        <v>789</v>
      </c>
      <c r="J108" s="3" t="s">
        <v>393</v>
      </c>
      <c r="K108" s="3" t="s">
        <v>790</v>
      </c>
      <c r="L108" s="3" t="s">
        <v>790</v>
      </c>
      <c r="M108" s="2"/>
      <c r="N108" s="2"/>
      <c r="O108" s="3" t="s">
        <v>412</v>
      </c>
      <c r="P108" s="3" t="s">
        <v>461</v>
      </c>
      <c r="Q108" s="3" t="s">
        <v>5367</v>
      </c>
      <c r="R108" s="3" t="s">
        <v>396</v>
      </c>
      <c r="S108" s="3" t="s">
        <v>413</v>
      </c>
      <c r="T108" s="3" t="s">
        <v>791</v>
      </c>
      <c r="U108" s="3" t="s">
        <v>792</v>
      </c>
      <c r="V108" s="3" t="s">
        <v>793</v>
      </c>
      <c r="W108" s="2"/>
      <c r="X108" s="2"/>
      <c r="Y108" s="2"/>
    </row>
    <row r="109" spans="1:25" x14ac:dyDescent="0.2">
      <c r="A109" s="3">
        <v>435</v>
      </c>
      <c r="B109" s="4" t="s">
        <v>794</v>
      </c>
      <c r="C109" s="3" t="s">
        <v>795</v>
      </c>
      <c r="D109" s="3" t="s">
        <v>5580</v>
      </c>
      <c r="E109" s="3" t="s">
        <v>796</v>
      </c>
      <c r="F109" s="3" t="s">
        <v>5581</v>
      </c>
      <c r="G109" s="3" t="s">
        <v>797</v>
      </c>
      <c r="H109" s="2"/>
      <c r="I109" s="2"/>
      <c r="J109" s="3" t="s">
        <v>393</v>
      </c>
      <c r="K109" s="3" t="s">
        <v>411</v>
      </c>
      <c r="L109" s="3" t="s">
        <v>411</v>
      </c>
      <c r="M109" s="2"/>
      <c r="N109" s="2"/>
      <c r="O109" s="3" t="s">
        <v>426</v>
      </c>
      <c r="P109" s="3" t="s">
        <v>27</v>
      </c>
      <c r="Q109" s="3" t="s">
        <v>5079</v>
      </c>
      <c r="R109" s="3" t="s">
        <v>396</v>
      </c>
      <c r="S109" s="3" t="s">
        <v>413</v>
      </c>
      <c r="T109" s="3" t="s">
        <v>798</v>
      </c>
      <c r="U109" s="3" t="s">
        <v>43</v>
      </c>
      <c r="V109" s="3" t="s">
        <v>27</v>
      </c>
      <c r="W109" s="2"/>
      <c r="X109" s="2"/>
      <c r="Y109" s="2"/>
    </row>
    <row r="110" spans="1:25" x14ac:dyDescent="0.2">
      <c r="A110" s="3">
        <v>436</v>
      </c>
      <c r="B110" s="4" t="s">
        <v>799</v>
      </c>
      <c r="C110" s="3" t="s">
        <v>800</v>
      </c>
      <c r="D110" s="3" t="s">
        <v>5583</v>
      </c>
      <c r="E110" s="3" t="s">
        <v>801</v>
      </c>
      <c r="F110" s="3" t="s">
        <v>5584</v>
      </c>
      <c r="G110" s="3" t="s">
        <v>788</v>
      </c>
      <c r="H110" s="5">
        <v>44682</v>
      </c>
      <c r="I110" s="3" t="s">
        <v>788</v>
      </c>
      <c r="J110" s="3" t="s">
        <v>393</v>
      </c>
      <c r="K110" s="3" t="s">
        <v>802</v>
      </c>
      <c r="L110" s="3" t="s">
        <v>802</v>
      </c>
      <c r="M110" s="2"/>
      <c r="N110" s="2"/>
      <c r="O110" s="3" t="s">
        <v>39</v>
      </c>
      <c r="P110" s="3" t="s">
        <v>803</v>
      </c>
      <c r="Q110" s="3" t="s">
        <v>5585</v>
      </c>
      <c r="R110" s="3" t="s">
        <v>396</v>
      </c>
      <c r="S110" s="3" t="s">
        <v>397</v>
      </c>
      <c r="T110" s="3" t="s">
        <v>804</v>
      </c>
      <c r="U110" s="3" t="s">
        <v>805</v>
      </c>
      <c r="V110" s="3" t="s">
        <v>806</v>
      </c>
      <c r="W110" s="2"/>
      <c r="X110" s="2"/>
      <c r="Y110" s="2"/>
    </row>
    <row r="111" spans="1:25" x14ac:dyDescent="0.2">
      <c r="A111" s="3">
        <v>437</v>
      </c>
      <c r="B111" s="4" t="s">
        <v>807</v>
      </c>
      <c r="C111" s="3" t="s">
        <v>808</v>
      </c>
      <c r="D111" s="3" t="s">
        <v>5588</v>
      </c>
      <c r="E111" s="3" t="s">
        <v>809</v>
      </c>
      <c r="F111" s="3" t="s">
        <v>5589</v>
      </c>
      <c r="G111" s="3" t="s">
        <v>810</v>
      </c>
      <c r="H111" s="2"/>
      <c r="I111" s="2"/>
      <c r="J111" s="3" t="s">
        <v>393</v>
      </c>
      <c r="K111" s="3" t="s">
        <v>570</v>
      </c>
      <c r="L111" s="3" t="s">
        <v>570</v>
      </c>
      <c r="M111" s="2"/>
      <c r="N111" s="2"/>
      <c r="O111" s="3" t="s">
        <v>426</v>
      </c>
      <c r="P111" s="3" t="s">
        <v>811</v>
      </c>
      <c r="Q111" s="3" t="s">
        <v>5079</v>
      </c>
      <c r="R111" s="3" t="s">
        <v>396</v>
      </c>
      <c r="S111" s="3" t="s">
        <v>413</v>
      </c>
      <c r="T111" s="3" t="s">
        <v>812</v>
      </c>
      <c r="U111" s="3" t="s">
        <v>43</v>
      </c>
      <c r="V111" s="3" t="s">
        <v>27</v>
      </c>
      <c r="W111" s="2"/>
      <c r="X111" s="2"/>
      <c r="Y111" s="2"/>
    </row>
    <row r="112" spans="1:25" x14ac:dyDescent="0.2">
      <c r="A112" s="3">
        <v>439</v>
      </c>
      <c r="B112" s="4" t="s">
        <v>813</v>
      </c>
      <c r="C112" s="3" t="s">
        <v>814</v>
      </c>
      <c r="D112" s="3" t="s">
        <v>5591</v>
      </c>
      <c r="E112" s="3" t="s">
        <v>815</v>
      </c>
      <c r="F112" s="3" t="s">
        <v>5592</v>
      </c>
      <c r="G112" s="3" t="s">
        <v>816</v>
      </c>
      <c r="H112" s="2"/>
      <c r="I112" s="2"/>
      <c r="J112" s="3" t="s">
        <v>393</v>
      </c>
      <c r="K112" s="3" t="s">
        <v>817</v>
      </c>
      <c r="L112" s="3" t="s">
        <v>817</v>
      </c>
      <c r="M112" s="2"/>
      <c r="N112" s="4" t="s">
        <v>818</v>
      </c>
      <c r="O112" s="3" t="s">
        <v>26</v>
      </c>
      <c r="P112" s="3" t="s">
        <v>186</v>
      </c>
      <c r="Q112" s="3" t="s">
        <v>5178</v>
      </c>
      <c r="R112" s="3" t="s">
        <v>396</v>
      </c>
      <c r="S112" s="3" t="s">
        <v>29</v>
      </c>
      <c r="T112" s="3" t="s">
        <v>30</v>
      </c>
      <c r="U112" s="2"/>
      <c r="V112" s="3" t="s">
        <v>186</v>
      </c>
      <c r="W112" s="2"/>
      <c r="X112" s="2"/>
      <c r="Y112" s="2"/>
    </row>
    <row r="113" spans="1:25" x14ac:dyDescent="0.2">
      <c r="A113" s="3">
        <v>441</v>
      </c>
      <c r="B113" s="4" t="s">
        <v>819</v>
      </c>
      <c r="C113" s="3" t="s">
        <v>820</v>
      </c>
      <c r="D113" s="3" t="s">
        <v>5593</v>
      </c>
      <c r="E113" s="3" t="s">
        <v>821</v>
      </c>
      <c r="F113" s="3" t="s">
        <v>5594</v>
      </c>
      <c r="G113" s="3" t="s">
        <v>822</v>
      </c>
      <c r="H113" s="3" t="s">
        <v>823</v>
      </c>
      <c r="I113" s="3" t="s">
        <v>824</v>
      </c>
      <c r="J113" s="3" t="s">
        <v>393</v>
      </c>
      <c r="K113" s="3" t="s">
        <v>825</v>
      </c>
      <c r="L113" s="3" t="s">
        <v>825</v>
      </c>
      <c r="M113" s="2"/>
      <c r="N113" s="2"/>
      <c r="O113" s="3" t="s">
        <v>412</v>
      </c>
      <c r="P113" s="3" t="s">
        <v>826</v>
      </c>
      <c r="Q113" s="3" t="s">
        <v>5595</v>
      </c>
      <c r="R113" s="3" t="s">
        <v>396</v>
      </c>
      <c r="S113" s="3" t="s">
        <v>500</v>
      </c>
      <c r="T113" s="3" t="s">
        <v>827</v>
      </c>
      <c r="U113" s="3" t="s">
        <v>792</v>
      </c>
      <c r="V113" s="3" t="s">
        <v>828</v>
      </c>
      <c r="W113" s="2"/>
      <c r="X113" s="2"/>
      <c r="Y113" s="2"/>
    </row>
    <row r="114" spans="1:25" x14ac:dyDescent="0.2">
      <c r="A114" s="3">
        <v>442</v>
      </c>
      <c r="B114" s="4" t="s">
        <v>829</v>
      </c>
      <c r="C114" s="3" t="s">
        <v>830</v>
      </c>
      <c r="D114" s="3" t="s">
        <v>5597</v>
      </c>
      <c r="E114" s="3" t="s">
        <v>831</v>
      </c>
      <c r="F114" s="3" t="s">
        <v>5598</v>
      </c>
      <c r="G114" s="3" t="s">
        <v>558</v>
      </c>
      <c r="H114" s="3" t="s">
        <v>832</v>
      </c>
      <c r="I114" s="3" t="s">
        <v>833</v>
      </c>
      <c r="J114" s="3" t="s">
        <v>393</v>
      </c>
      <c r="K114" s="3" t="s">
        <v>825</v>
      </c>
      <c r="L114" s="3" t="s">
        <v>825</v>
      </c>
      <c r="M114" s="2"/>
      <c r="N114" s="2"/>
      <c r="O114" s="3" t="s">
        <v>412</v>
      </c>
      <c r="P114" s="3" t="s">
        <v>834</v>
      </c>
      <c r="Q114" s="3" t="s">
        <v>5599</v>
      </c>
      <c r="R114" s="3" t="s">
        <v>396</v>
      </c>
      <c r="S114" s="3" t="s">
        <v>413</v>
      </c>
      <c r="T114" s="3" t="s">
        <v>835</v>
      </c>
      <c r="U114" s="3" t="s">
        <v>792</v>
      </c>
      <c r="V114" s="3" t="s">
        <v>836</v>
      </c>
      <c r="W114" s="2"/>
      <c r="X114" s="2"/>
      <c r="Y114" s="2"/>
    </row>
    <row r="115" spans="1:25" x14ac:dyDescent="0.2">
      <c r="A115" s="3">
        <v>443</v>
      </c>
      <c r="B115" s="4" t="s">
        <v>837</v>
      </c>
      <c r="C115" s="3" t="s">
        <v>838</v>
      </c>
      <c r="D115" s="3" t="s">
        <v>5601</v>
      </c>
      <c r="E115" s="3" t="s">
        <v>839</v>
      </c>
      <c r="F115" s="3" t="s">
        <v>5602</v>
      </c>
      <c r="G115" s="3" t="s">
        <v>840</v>
      </c>
      <c r="H115" s="2"/>
      <c r="I115" s="2"/>
      <c r="J115" s="3" t="s">
        <v>393</v>
      </c>
      <c r="K115" s="3" t="s">
        <v>841</v>
      </c>
      <c r="L115" s="3" t="s">
        <v>5603</v>
      </c>
      <c r="M115" s="2"/>
      <c r="N115" s="2"/>
      <c r="O115" s="3" t="s">
        <v>39</v>
      </c>
      <c r="P115" s="3" t="s">
        <v>27</v>
      </c>
      <c r="Q115" s="3" t="s">
        <v>5079</v>
      </c>
      <c r="R115" s="3" t="s">
        <v>396</v>
      </c>
      <c r="S115" s="3" t="s">
        <v>413</v>
      </c>
      <c r="T115" s="3" t="s">
        <v>842</v>
      </c>
      <c r="U115" s="3" t="s">
        <v>43</v>
      </c>
      <c r="V115" s="3" t="s">
        <v>27</v>
      </c>
      <c r="W115" s="2"/>
      <c r="X115" s="2"/>
      <c r="Y115" s="2"/>
    </row>
    <row r="116" spans="1:25" x14ac:dyDescent="0.2">
      <c r="A116" s="3">
        <v>1664</v>
      </c>
      <c r="B116" s="4" t="s">
        <v>843</v>
      </c>
      <c r="C116" s="3" t="s">
        <v>844</v>
      </c>
      <c r="D116" s="3" t="s">
        <v>5605</v>
      </c>
      <c r="E116" s="3" t="s">
        <v>845</v>
      </c>
      <c r="F116" s="3" t="s">
        <v>5606</v>
      </c>
      <c r="G116" s="3" t="s">
        <v>846</v>
      </c>
      <c r="H116" s="3" t="s">
        <v>846</v>
      </c>
      <c r="I116" s="3" t="s">
        <v>846</v>
      </c>
      <c r="J116" s="3" t="s">
        <v>393</v>
      </c>
      <c r="K116" s="3" t="s">
        <v>438</v>
      </c>
      <c r="L116" s="3" t="s">
        <v>438</v>
      </c>
      <c r="M116" s="2"/>
      <c r="N116" s="2"/>
      <c r="O116" s="3" t="s">
        <v>26</v>
      </c>
      <c r="P116" s="3" t="s">
        <v>27</v>
      </c>
      <c r="Q116" s="3" t="s">
        <v>5079</v>
      </c>
      <c r="R116" s="3" t="s">
        <v>396</v>
      </c>
      <c r="S116" s="3" t="s">
        <v>405</v>
      </c>
      <c r="T116" s="3" t="s">
        <v>847</v>
      </c>
      <c r="U116" s="3" t="s">
        <v>848</v>
      </c>
      <c r="V116" s="3" t="s">
        <v>27</v>
      </c>
      <c r="W116" s="2"/>
      <c r="X116" s="2"/>
      <c r="Y116" s="2"/>
    </row>
    <row r="117" spans="1:25" x14ac:dyDescent="0.2">
      <c r="A117" s="3">
        <v>1665</v>
      </c>
      <c r="B117" s="4" t="s">
        <v>849</v>
      </c>
      <c r="C117" s="3" t="s">
        <v>850</v>
      </c>
      <c r="D117" s="3" t="s">
        <v>5609</v>
      </c>
      <c r="E117" s="3" t="s">
        <v>851</v>
      </c>
      <c r="F117" s="3" t="s">
        <v>5610</v>
      </c>
      <c r="G117" s="3" t="s">
        <v>77</v>
      </c>
      <c r="H117" s="3" t="s">
        <v>77</v>
      </c>
      <c r="I117" s="3" t="s">
        <v>77</v>
      </c>
      <c r="J117" s="3" t="s">
        <v>393</v>
      </c>
      <c r="K117" s="3" t="s">
        <v>852</v>
      </c>
      <c r="L117" s="3" t="s">
        <v>5611</v>
      </c>
      <c r="M117" s="2"/>
      <c r="N117" s="2"/>
      <c r="O117" s="3" t="s">
        <v>39</v>
      </c>
      <c r="P117" s="3" t="s">
        <v>168</v>
      </c>
      <c r="Q117" s="3" t="s">
        <v>5167</v>
      </c>
      <c r="R117" s="3" t="s">
        <v>396</v>
      </c>
      <c r="S117" s="3" t="s">
        <v>405</v>
      </c>
      <c r="T117" s="3" t="s">
        <v>853</v>
      </c>
      <c r="U117" s="3" t="s">
        <v>268</v>
      </c>
      <c r="V117" s="3" t="s">
        <v>168</v>
      </c>
      <c r="W117" s="3" t="s">
        <v>854</v>
      </c>
      <c r="X117" s="2"/>
      <c r="Y117" s="2"/>
    </row>
    <row r="118" spans="1:25" x14ac:dyDescent="0.2">
      <c r="A118" s="3">
        <v>1667</v>
      </c>
      <c r="B118" s="6" t="s">
        <v>855</v>
      </c>
      <c r="C118" s="3" t="s">
        <v>856</v>
      </c>
      <c r="D118" s="3" t="s">
        <v>5614</v>
      </c>
      <c r="E118" s="3" t="s">
        <v>857</v>
      </c>
      <c r="F118" s="3" t="s">
        <v>5615</v>
      </c>
      <c r="G118" s="3" t="s">
        <v>858</v>
      </c>
      <c r="H118" s="3" t="s">
        <v>588</v>
      </c>
      <c r="I118" s="3" t="s">
        <v>588</v>
      </c>
      <c r="J118" s="3" t="s">
        <v>393</v>
      </c>
      <c r="K118" s="3" t="s">
        <v>859</v>
      </c>
      <c r="L118" s="3" t="s">
        <v>5616</v>
      </c>
      <c r="M118" s="2"/>
      <c r="N118" s="2"/>
      <c r="O118" s="3" t="s">
        <v>39</v>
      </c>
      <c r="P118" s="3" t="s">
        <v>860</v>
      </c>
      <c r="Q118" s="3" t="s">
        <v>5617</v>
      </c>
      <c r="R118" s="3" t="s">
        <v>396</v>
      </c>
      <c r="S118" s="3" t="s">
        <v>397</v>
      </c>
      <c r="T118" s="3" t="s">
        <v>861</v>
      </c>
      <c r="U118" s="3" t="s">
        <v>43</v>
      </c>
      <c r="V118" s="3" t="s">
        <v>862</v>
      </c>
      <c r="W118" s="2"/>
      <c r="X118" s="2"/>
      <c r="Y118" s="2"/>
    </row>
    <row r="119" spans="1:25" x14ac:dyDescent="0.2">
      <c r="A119" s="3">
        <v>2120</v>
      </c>
      <c r="B119" s="4" t="s">
        <v>863</v>
      </c>
      <c r="C119" s="3" t="s">
        <v>864</v>
      </c>
      <c r="D119" s="3" t="s">
        <v>5619</v>
      </c>
      <c r="E119" s="3" t="s">
        <v>865</v>
      </c>
      <c r="F119" s="3" t="s">
        <v>5620</v>
      </c>
      <c r="G119" s="3" t="s">
        <v>866</v>
      </c>
      <c r="H119" s="3" t="s">
        <v>866</v>
      </c>
      <c r="I119" s="3" t="s">
        <v>866</v>
      </c>
      <c r="J119" s="3" t="s">
        <v>393</v>
      </c>
      <c r="K119" s="3" t="s">
        <v>867</v>
      </c>
      <c r="L119" s="3" t="s">
        <v>867</v>
      </c>
      <c r="M119" s="2"/>
      <c r="N119" s="2"/>
      <c r="O119" s="3" t="s">
        <v>412</v>
      </c>
      <c r="P119" s="3" t="s">
        <v>51</v>
      </c>
      <c r="Q119" s="3" t="s">
        <v>5095</v>
      </c>
      <c r="R119" s="3" t="s">
        <v>396</v>
      </c>
      <c r="S119" s="3" t="s">
        <v>413</v>
      </c>
      <c r="T119" s="3" t="s">
        <v>868</v>
      </c>
      <c r="U119" s="3" t="s">
        <v>43</v>
      </c>
      <c r="V119" s="3" t="s">
        <v>869</v>
      </c>
      <c r="W119" s="3" t="s">
        <v>630</v>
      </c>
      <c r="X119" s="2"/>
      <c r="Y119" s="2"/>
    </row>
    <row r="120" spans="1:25" x14ac:dyDescent="0.2">
      <c r="A120" s="3">
        <v>2125</v>
      </c>
      <c r="B120" s="4" t="s">
        <v>870</v>
      </c>
      <c r="C120" s="3" t="s">
        <v>871</v>
      </c>
      <c r="D120" s="3" t="s">
        <v>5623</v>
      </c>
      <c r="E120" s="3" t="s">
        <v>872</v>
      </c>
      <c r="F120" s="3" t="s">
        <v>5624</v>
      </c>
      <c r="G120" s="3" t="s">
        <v>873</v>
      </c>
      <c r="H120" s="3" t="s">
        <v>625</v>
      </c>
      <c r="I120" s="3" t="s">
        <v>625</v>
      </c>
      <c r="J120" s="3" t="s">
        <v>393</v>
      </c>
      <c r="K120" s="3" t="s">
        <v>874</v>
      </c>
      <c r="L120" s="3" t="s">
        <v>874</v>
      </c>
      <c r="M120" s="2"/>
      <c r="N120" s="2"/>
      <c r="O120" s="3" t="s">
        <v>26</v>
      </c>
      <c r="P120" s="3" t="s">
        <v>875</v>
      </c>
      <c r="Q120" s="3" t="s">
        <v>5625</v>
      </c>
      <c r="R120" s="3" t="s">
        <v>396</v>
      </c>
      <c r="S120" s="3" t="s">
        <v>397</v>
      </c>
      <c r="T120" s="3" t="s">
        <v>876</v>
      </c>
      <c r="U120" s="2"/>
      <c r="V120" s="3" t="s">
        <v>71</v>
      </c>
      <c r="W120" s="2"/>
      <c r="X120" s="2"/>
      <c r="Y120" s="2"/>
    </row>
    <row r="121" spans="1:25" x14ac:dyDescent="0.2">
      <c r="A121" s="3">
        <v>2129</v>
      </c>
      <c r="B121" s="4" t="s">
        <v>877</v>
      </c>
      <c r="C121" s="3" t="s">
        <v>878</v>
      </c>
      <c r="D121" s="3" t="s">
        <v>5627</v>
      </c>
      <c r="E121" s="3" t="s">
        <v>879</v>
      </c>
      <c r="F121" s="3" t="s">
        <v>5628</v>
      </c>
      <c r="G121" s="3" t="s">
        <v>22</v>
      </c>
      <c r="H121" s="3" t="s">
        <v>22</v>
      </c>
      <c r="I121" s="3" t="s">
        <v>22</v>
      </c>
      <c r="J121" s="3" t="s">
        <v>393</v>
      </c>
      <c r="K121" s="3" t="s">
        <v>880</v>
      </c>
      <c r="L121" s="3" t="s">
        <v>5629</v>
      </c>
      <c r="M121" s="2"/>
      <c r="N121" s="2"/>
      <c r="O121" s="3" t="s">
        <v>493</v>
      </c>
      <c r="P121" s="3" t="s">
        <v>212</v>
      </c>
      <c r="Q121" s="3" t="s">
        <v>5193</v>
      </c>
      <c r="R121" s="3" t="s">
        <v>396</v>
      </c>
      <c r="S121" s="3" t="s">
        <v>413</v>
      </c>
      <c r="T121" s="3" t="s">
        <v>881</v>
      </c>
      <c r="U121" s="3" t="s">
        <v>43</v>
      </c>
      <c r="V121" s="3" t="s">
        <v>212</v>
      </c>
      <c r="W121" s="3" t="s">
        <v>854</v>
      </c>
      <c r="X121" s="2"/>
      <c r="Y121" s="2"/>
    </row>
    <row r="122" spans="1:25" x14ac:dyDescent="0.2">
      <c r="A122" s="3">
        <v>1</v>
      </c>
      <c r="B122" s="4" t="s">
        <v>882</v>
      </c>
      <c r="C122" s="3" t="s">
        <v>883</v>
      </c>
      <c r="D122" s="3" t="s">
        <v>5631</v>
      </c>
      <c r="E122" s="3" t="s">
        <v>884</v>
      </c>
      <c r="F122" s="3" t="s">
        <v>5632</v>
      </c>
      <c r="G122" s="3" t="s">
        <v>885</v>
      </c>
      <c r="H122" s="2"/>
      <c r="I122" s="2"/>
      <c r="J122" s="3" t="s">
        <v>393</v>
      </c>
      <c r="K122" s="3" t="s">
        <v>886</v>
      </c>
      <c r="L122" s="3" t="s">
        <v>886</v>
      </c>
      <c r="M122" s="3" t="s">
        <v>135</v>
      </c>
      <c r="N122" s="4" t="s">
        <v>887</v>
      </c>
      <c r="O122" s="3" t="s">
        <v>26</v>
      </c>
      <c r="P122" s="3" t="s">
        <v>27</v>
      </c>
      <c r="Q122" s="3" t="s">
        <v>5079</v>
      </c>
      <c r="R122" s="3" t="s">
        <v>396</v>
      </c>
      <c r="S122" s="3" t="s">
        <v>405</v>
      </c>
      <c r="T122" s="3" t="s">
        <v>888</v>
      </c>
      <c r="U122" s="3" t="s">
        <v>889</v>
      </c>
      <c r="V122" s="3" t="s">
        <v>27</v>
      </c>
      <c r="W122" s="2"/>
      <c r="X122" s="2"/>
      <c r="Y122" s="2"/>
    </row>
    <row r="123" spans="1:25" x14ac:dyDescent="0.2">
      <c r="A123" s="3">
        <v>1019</v>
      </c>
      <c r="B123" s="4" t="s">
        <v>890</v>
      </c>
      <c r="C123" s="3" t="s">
        <v>891</v>
      </c>
      <c r="D123" s="3" t="s">
        <v>5635</v>
      </c>
      <c r="E123" s="3" t="s">
        <v>892</v>
      </c>
      <c r="F123" s="3" t="s">
        <v>5636</v>
      </c>
      <c r="G123" s="3" t="s">
        <v>893</v>
      </c>
      <c r="H123" s="2"/>
      <c r="I123" s="2"/>
      <c r="J123" s="3" t="s">
        <v>393</v>
      </c>
      <c r="K123" s="3" t="s">
        <v>894</v>
      </c>
      <c r="L123" s="3" t="s">
        <v>894</v>
      </c>
      <c r="M123" s="2"/>
      <c r="N123" s="4" t="s">
        <v>895</v>
      </c>
      <c r="O123" s="3" t="s">
        <v>26</v>
      </c>
      <c r="P123" s="2"/>
      <c r="Q123" s="3">
        <v>0</v>
      </c>
      <c r="R123" s="3" t="s">
        <v>396</v>
      </c>
      <c r="S123" s="3" t="s">
        <v>29</v>
      </c>
      <c r="T123" s="3" t="s">
        <v>896</v>
      </c>
      <c r="U123" s="3" t="s">
        <v>897</v>
      </c>
      <c r="V123" s="2"/>
      <c r="W123" s="3" t="s">
        <v>898</v>
      </c>
      <c r="X123" s="2"/>
      <c r="Y123" s="2"/>
    </row>
    <row r="124" spans="1:25" x14ac:dyDescent="0.2">
      <c r="A124" s="3">
        <v>445</v>
      </c>
      <c r="B124" s="4" t="s">
        <v>899</v>
      </c>
      <c r="C124" s="3" t="s">
        <v>900</v>
      </c>
      <c r="D124" s="3" t="s">
        <v>5640</v>
      </c>
      <c r="E124" s="3" t="s">
        <v>901</v>
      </c>
      <c r="F124" s="3" t="s">
        <v>5641</v>
      </c>
      <c r="G124" s="3" t="s">
        <v>902</v>
      </c>
      <c r="H124" s="2"/>
      <c r="I124" s="2"/>
      <c r="J124" s="3" t="s">
        <v>393</v>
      </c>
      <c r="K124" s="3" t="s">
        <v>903</v>
      </c>
      <c r="L124" s="3" t="s">
        <v>903</v>
      </c>
      <c r="M124" s="2"/>
      <c r="N124" s="2"/>
      <c r="O124" s="3" t="s">
        <v>26</v>
      </c>
      <c r="P124" s="3" t="s">
        <v>60</v>
      </c>
      <c r="Q124" s="3" t="s">
        <v>5100</v>
      </c>
      <c r="R124" s="3" t="s">
        <v>396</v>
      </c>
      <c r="S124" s="3" t="s">
        <v>397</v>
      </c>
      <c r="T124" s="3" t="s">
        <v>904</v>
      </c>
      <c r="U124" s="3" t="s">
        <v>792</v>
      </c>
      <c r="V124" s="3" t="s">
        <v>673</v>
      </c>
      <c r="W124" s="2"/>
      <c r="X124" s="2"/>
      <c r="Y124" s="2"/>
    </row>
    <row r="125" spans="1:25" x14ac:dyDescent="0.2">
      <c r="A125" s="3">
        <v>451</v>
      </c>
      <c r="B125" s="4" t="s">
        <v>905</v>
      </c>
      <c r="C125" s="3" t="s">
        <v>906</v>
      </c>
      <c r="D125" s="3" t="s">
        <v>5644</v>
      </c>
      <c r="E125" s="3" t="s">
        <v>907</v>
      </c>
      <c r="F125" s="3" t="s">
        <v>5645</v>
      </c>
      <c r="G125" s="3" t="s">
        <v>908</v>
      </c>
      <c r="H125" s="2"/>
      <c r="I125" s="2"/>
      <c r="J125" s="3" t="s">
        <v>393</v>
      </c>
      <c r="K125" s="3" t="s">
        <v>739</v>
      </c>
      <c r="L125" s="3" t="s">
        <v>739</v>
      </c>
      <c r="M125" s="2"/>
      <c r="N125" s="2"/>
      <c r="O125" s="3" t="s">
        <v>412</v>
      </c>
      <c r="P125" s="3" t="s">
        <v>27</v>
      </c>
      <c r="Q125" s="3" t="s">
        <v>5079</v>
      </c>
      <c r="R125" s="3" t="s">
        <v>396</v>
      </c>
      <c r="S125" s="3" t="s">
        <v>413</v>
      </c>
      <c r="T125" s="3" t="s">
        <v>909</v>
      </c>
      <c r="U125" s="3" t="s">
        <v>805</v>
      </c>
      <c r="V125" s="3" t="s">
        <v>27</v>
      </c>
      <c r="W125" s="2"/>
      <c r="X125" s="2"/>
      <c r="Y125" s="2"/>
    </row>
    <row r="126" spans="1:25" x14ac:dyDescent="0.2">
      <c r="A126" s="3">
        <v>454</v>
      </c>
      <c r="B126" s="4" t="s">
        <v>910</v>
      </c>
      <c r="C126" s="3" t="s">
        <v>911</v>
      </c>
      <c r="D126" s="3" t="s">
        <v>5647</v>
      </c>
      <c r="E126" s="3" t="s">
        <v>912</v>
      </c>
      <c r="F126" s="3" t="s">
        <v>5648</v>
      </c>
      <c r="G126" s="3" t="s">
        <v>913</v>
      </c>
      <c r="H126" s="2"/>
      <c r="I126" s="2"/>
      <c r="J126" s="3" t="s">
        <v>393</v>
      </c>
      <c r="K126" s="3" t="s">
        <v>914</v>
      </c>
      <c r="L126" s="3" t="s">
        <v>914</v>
      </c>
      <c r="M126" s="2"/>
      <c r="N126" s="4" t="s">
        <v>915</v>
      </c>
      <c r="O126" s="3" t="s">
        <v>39</v>
      </c>
      <c r="P126" s="3" t="s">
        <v>27</v>
      </c>
      <c r="Q126" s="3" t="s">
        <v>5079</v>
      </c>
      <c r="R126" s="3" t="s">
        <v>396</v>
      </c>
      <c r="S126" s="3" t="s">
        <v>397</v>
      </c>
      <c r="T126" s="3" t="s">
        <v>916</v>
      </c>
      <c r="U126" s="3" t="s">
        <v>43</v>
      </c>
      <c r="V126" s="3" t="s">
        <v>27</v>
      </c>
      <c r="W126" s="3" t="s">
        <v>917</v>
      </c>
      <c r="X126" s="2"/>
      <c r="Y126" s="2"/>
    </row>
    <row r="127" spans="1:25" x14ac:dyDescent="0.2">
      <c r="A127" s="3">
        <v>455</v>
      </c>
      <c r="B127" s="4" t="s">
        <v>918</v>
      </c>
      <c r="C127" s="3" t="s">
        <v>919</v>
      </c>
      <c r="D127" s="3" t="s">
        <v>5651</v>
      </c>
      <c r="E127" s="3" t="s">
        <v>920</v>
      </c>
      <c r="F127" s="3" t="s">
        <v>5652</v>
      </c>
      <c r="G127" s="3" t="s">
        <v>751</v>
      </c>
      <c r="H127" s="2"/>
      <c r="I127" s="2"/>
      <c r="J127" s="3" t="s">
        <v>393</v>
      </c>
      <c r="K127" s="3" t="s">
        <v>921</v>
      </c>
      <c r="L127" s="3" t="s">
        <v>921</v>
      </c>
      <c r="M127" s="2"/>
      <c r="N127" s="4" t="s">
        <v>922</v>
      </c>
      <c r="O127" s="3" t="s">
        <v>26</v>
      </c>
      <c r="P127" s="3" t="s">
        <v>27</v>
      </c>
      <c r="Q127" s="3" t="s">
        <v>5079</v>
      </c>
      <c r="R127" s="3" t="s">
        <v>396</v>
      </c>
      <c r="S127" s="3" t="s">
        <v>397</v>
      </c>
      <c r="T127" s="3" t="s">
        <v>923</v>
      </c>
      <c r="U127" s="3" t="s">
        <v>43</v>
      </c>
      <c r="V127" s="3" t="s">
        <v>27</v>
      </c>
      <c r="W127" s="2"/>
      <c r="X127" s="2"/>
      <c r="Y127" s="2"/>
    </row>
    <row r="128" spans="1:25" x14ac:dyDescent="0.2">
      <c r="A128" s="3">
        <v>456</v>
      </c>
      <c r="B128" s="4" t="s">
        <v>924</v>
      </c>
      <c r="C128" s="3" t="s">
        <v>925</v>
      </c>
      <c r="D128" s="3" t="s">
        <v>5654</v>
      </c>
      <c r="E128" s="3" t="s">
        <v>926</v>
      </c>
      <c r="F128" s="3" t="s">
        <v>5655</v>
      </c>
      <c r="G128" s="3" t="s">
        <v>927</v>
      </c>
      <c r="H128" s="2"/>
      <c r="I128" s="2"/>
      <c r="J128" s="3" t="s">
        <v>393</v>
      </c>
      <c r="K128" s="3" t="s">
        <v>928</v>
      </c>
      <c r="L128" s="3" t="s">
        <v>5656</v>
      </c>
      <c r="M128" s="2"/>
      <c r="N128" s="4" t="s">
        <v>929</v>
      </c>
      <c r="O128" s="3" t="s">
        <v>39</v>
      </c>
      <c r="P128" s="3" t="s">
        <v>60</v>
      </c>
      <c r="Q128" s="3" t="s">
        <v>5100</v>
      </c>
      <c r="R128" s="3" t="s">
        <v>396</v>
      </c>
      <c r="S128" s="3" t="s">
        <v>29</v>
      </c>
      <c r="T128" s="3" t="s">
        <v>930</v>
      </c>
      <c r="U128" s="3" t="s">
        <v>931</v>
      </c>
      <c r="V128" s="3" t="s">
        <v>60</v>
      </c>
      <c r="W128" s="2"/>
      <c r="X128" s="2"/>
      <c r="Y128" s="2"/>
    </row>
    <row r="129" spans="1:25" x14ac:dyDescent="0.2">
      <c r="A129" s="3">
        <v>458</v>
      </c>
      <c r="B129" s="4" t="s">
        <v>932</v>
      </c>
      <c r="C129" s="3" t="s">
        <v>933</v>
      </c>
      <c r="D129" s="3" t="s">
        <v>5659</v>
      </c>
      <c r="E129" s="3" t="s">
        <v>934</v>
      </c>
      <c r="F129" s="3" t="s">
        <v>5660</v>
      </c>
      <c r="G129" s="3" t="s">
        <v>935</v>
      </c>
      <c r="H129" s="2"/>
      <c r="I129" s="2"/>
      <c r="J129" s="3" t="s">
        <v>393</v>
      </c>
      <c r="K129" s="3" t="s">
        <v>756</v>
      </c>
      <c r="L129" s="3" t="s">
        <v>756</v>
      </c>
      <c r="M129" s="2"/>
      <c r="N129" s="2"/>
      <c r="O129" s="3" t="s">
        <v>412</v>
      </c>
      <c r="P129" s="3" t="s">
        <v>936</v>
      </c>
      <c r="Q129" s="3" t="s">
        <v>5599</v>
      </c>
      <c r="R129" s="3" t="s">
        <v>396</v>
      </c>
      <c r="S129" s="3" t="s">
        <v>413</v>
      </c>
      <c r="T129" s="3" t="s">
        <v>937</v>
      </c>
      <c r="U129" s="3" t="s">
        <v>782</v>
      </c>
      <c r="V129" s="3" t="s">
        <v>836</v>
      </c>
      <c r="W129" s="2"/>
      <c r="X129" s="2"/>
      <c r="Y129" s="2"/>
    </row>
    <row r="130" spans="1:25" x14ac:dyDescent="0.2">
      <c r="A130" s="3">
        <v>459</v>
      </c>
      <c r="B130" s="4" t="s">
        <v>938</v>
      </c>
      <c r="C130" s="3" t="s">
        <v>939</v>
      </c>
      <c r="D130" s="3" t="s">
        <v>5662</v>
      </c>
      <c r="E130" s="3" t="s">
        <v>940</v>
      </c>
      <c r="F130" s="3" t="s">
        <v>5663</v>
      </c>
      <c r="G130" s="3" t="s">
        <v>751</v>
      </c>
      <c r="H130" s="2"/>
      <c r="I130" s="2"/>
      <c r="J130" s="3" t="s">
        <v>393</v>
      </c>
      <c r="K130" s="3" t="s">
        <v>756</v>
      </c>
      <c r="L130" s="3" t="s">
        <v>756</v>
      </c>
      <c r="M130" s="2"/>
      <c r="N130" s="2"/>
      <c r="O130" s="3" t="s">
        <v>412</v>
      </c>
      <c r="P130" s="3" t="s">
        <v>27</v>
      </c>
      <c r="Q130" s="3" t="s">
        <v>5079</v>
      </c>
      <c r="R130" s="3" t="s">
        <v>396</v>
      </c>
      <c r="S130" s="3" t="s">
        <v>413</v>
      </c>
      <c r="T130" s="3" t="s">
        <v>941</v>
      </c>
      <c r="U130" s="3" t="s">
        <v>782</v>
      </c>
      <c r="V130" s="3" t="s">
        <v>942</v>
      </c>
      <c r="W130" s="2"/>
      <c r="X130" s="2"/>
      <c r="Y130" s="2"/>
    </row>
    <row r="131" spans="1:25" x14ac:dyDescent="0.2">
      <c r="A131" s="3">
        <v>460</v>
      </c>
      <c r="B131" s="4" t="s">
        <v>943</v>
      </c>
      <c r="C131" s="3" t="s">
        <v>944</v>
      </c>
      <c r="D131" s="3" t="s">
        <v>5666</v>
      </c>
      <c r="E131" s="3" t="s">
        <v>945</v>
      </c>
      <c r="F131" s="3" t="s">
        <v>5667</v>
      </c>
      <c r="G131" s="3" t="s">
        <v>946</v>
      </c>
      <c r="H131" s="2"/>
      <c r="I131" s="2"/>
      <c r="J131" s="3" t="s">
        <v>393</v>
      </c>
      <c r="K131" s="3" t="s">
        <v>756</v>
      </c>
      <c r="L131" s="3" t="s">
        <v>756</v>
      </c>
      <c r="M131" s="2"/>
      <c r="N131" s="2"/>
      <c r="O131" s="3" t="s">
        <v>26</v>
      </c>
      <c r="P131" s="3" t="s">
        <v>27</v>
      </c>
      <c r="Q131" s="3" t="s">
        <v>5079</v>
      </c>
      <c r="R131" s="3" t="s">
        <v>396</v>
      </c>
      <c r="S131" s="3" t="s">
        <v>397</v>
      </c>
      <c r="T131" s="3" t="s">
        <v>947</v>
      </c>
      <c r="U131" s="3" t="s">
        <v>43</v>
      </c>
      <c r="V131" s="3" t="s">
        <v>27</v>
      </c>
      <c r="W131" s="2"/>
      <c r="X131" s="2"/>
      <c r="Y131" s="2"/>
    </row>
    <row r="132" spans="1:25" x14ac:dyDescent="0.2">
      <c r="A132" s="3">
        <v>461</v>
      </c>
      <c r="B132" s="4" t="s">
        <v>948</v>
      </c>
      <c r="C132" s="3" t="s">
        <v>949</v>
      </c>
      <c r="D132" s="3" t="s">
        <v>5669</v>
      </c>
      <c r="E132" s="3" t="s">
        <v>950</v>
      </c>
      <c r="F132" s="3" t="s">
        <v>5670</v>
      </c>
      <c r="G132" s="3" t="s">
        <v>778</v>
      </c>
      <c r="H132" s="2"/>
      <c r="I132" s="2"/>
      <c r="J132" s="3" t="s">
        <v>393</v>
      </c>
      <c r="K132" s="3" t="s">
        <v>756</v>
      </c>
      <c r="L132" s="3" t="s">
        <v>756</v>
      </c>
      <c r="M132" s="2"/>
      <c r="N132" s="2"/>
      <c r="O132" s="3" t="s">
        <v>26</v>
      </c>
      <c r="P132" s="3" t="s">
        <v>27</v>
      </c>
      <c r="Q132" s="3" t="s">
        <v>5079</v>
      </c>
      <c r="R132" s="3" t="s">
        <v>396</v>
      </c>
      <c r="S132" s="3" t="s">
        <v>413</v>
      </c>
      <c r="T132" s="3" t="s">
        <v>951</v>
      </c>
      <c r="U132" s="3" t="s">
        <v>43</v>
      </c>
      <c r="V132" s="3" t="s">
        <v>27</v>
      </c>
      <c r="W132" s="2"/>
      <c r="X132" s="2"/>
      <c r="Y132" s="2"/>
    </row>
    <row r="133" spans="1:25" x14ac:dyDescent="0.2">
      <c r="A133" s="3">
        <v>462</v>
      </c>
      <c r="B133" s="4" t="s">
        <v>952</v>
      </c>
      <c r="C133" s="3" t="s">
        <v>953</v>
      </c>
      <c r="D133" s="3" t="s">
        <v>5672</v>
      </c>
      <c r="E133" s="3" t="s">
        <v>954</v>
      </c>
      <c r="F133" s="3" t="s">
        <v>5673</v>
      </c>
      <c r="G133" s="3" t="s">
        <v>955</v>
      </c>
      <c r="H133" s="2"/>
      <c r="I133" s="2"/>
      <c r="J133" s="3" t="s">
        <v>393</v>
      </c>
      <c r="K133" s="3" t="s">
        <v>756</v>
      </c>
      <c r="L133" s="3" t="s">
        <v>756</v>
      </c>
      <c r="M133" s="2"/>
      <c r="N133" s="2"/>
      <c r="O133" s="3" t="s">
        <v>412</v>
      </c>
      <c r="P133" s="3" t="s">
        <v>27</v>
      </c>
      <c r="Q133" s="3" t="s">
        <v>5079</v>
      </c>
      <c r="R133" s="3" t="s">
        <v>396</v>
      </c>
      <c r="S133" s="3" t="s">
        <v>413</v>
      </c>
      <c r="T133" s="3" t="s">
        <v>956</v>
      </c>
      <c r="U133" s="3" t="s">
        <v>957</v>
      </c>
      <c r="V133" s="3" t="s">
        <v>958</v>
      </c>
      <c r="W133" s="2"/>
      <c r="X133" s="2"/>
      <c r="Y133" s="2"/>
    </row>
    <row r="134" spans="1:25" x14ac:dyDescent="0.2">
      <c r="A134" s="3">
        <v>463</v>
      </c>
      <c r="B134" s="4" t="s">
        <v>959</v>
      </c>
      <c r="C134" s="3" t="s">
        <v>960</v>
      </c>
      <c r="D134" s="3" t="s">
        <v>5677</v>
      </c>
      <c r="E134" s="3" t="s">
        <v>961</v>
      </c>
      <c r="F134" s="3" t="s">
        <v>5678</v>
      </c>
      <c r="G134" s="3" t="s">
        <v>745</v>
      </c>
      <c r="H134" s="2"/>
      <c r="I134" s="2"/>
      <c r="J134" s="3" t="s">
        <v>393</v>
      </c>
      <c r="K134" s="3" t="s">
        <v>659</v>
      </c>
      <c r="L134" s="3" t="s">
        <v>659</v>
      </c>
      <c r="M134" s="2"/>
      <c r="N134" s="2"/>
      <c r="O134" s="3" t="s">
        <v>426</v>
      </c>
      <c r="P134" s="3" t="s">
        <v>962</v>
      </c>
      <c r="Q134" s="3" t="s">
        <v>5679</v>
      </c>
      <c r="R134" s="3" t="s">
        <v>396</v>
      </c>
      <c r="S134" s="3" t="s">
        <v>413</v>
      </c>
      <c r="T134" s="3" t="s">
        <v>963</v>
      </c>
      <c r="U134" s="3" t="s">
        <v>43</v>
      </c>
      <c r="V134" s="3" t="s">
        <v>964</v>
      </c>
      <c r="W134" s="2"/>
      <c r="X134" s="2"/>
      <c r="Y134" s="2"/>
    </row>
    <row r="135" spans="1:25" x14ac:dyDescent="0.2">
      <c r="A135" s="3">
        <v>811</v>
      </c>
      <c r="B135" s="4" t="s">
        <v>965</v>
      </c>
      <c r="C135" s="3" t="s">
        <v>966</v>
      </c>
      <c r="D135" s="3" t="s">
        <v>5682</v>
      </c>
      <c r="E135" s="3" t="s">
        <v>967</v>
      </c>
      <c r="F135" s="3" t="s">
        <v>5683</v>
      </c>
      <c r="G135" s="3" t="s">
        <v>968</v>
      </c>
      <c r="H135" s="3" t="s">
        <v>968</v>
      </c>
      <c r="I135" s="3" t="s">
        <v>968</v>
      </c>
      <c r="J135" s="3" t="s">
        <v>393</v>
      </c>
      <c r="K135" s="3" t="s">
        <v>453</v>
      </c>
      <c r="L135" s="3" t="s">
        <v>453</v>
      </c>
      <c r="M135" s="2"/>
      <c r="N135" s="2"/>
      <c r="O135" s="3" t="s">
        <v>426</v>
      </c>
      <c r="P135" s="3" t="s">
        <v>439</v>
      </c>
      <c r="Q135" s="3" t="s">
        <v>5352</v>
      </c>
      <c r="R135" s="3" t="s">
        <v>396</v>
      </c>
      <c r="S135" s="3" t="s">
        <v>413</v>
      </c>
      <c r="T135" s="3" t="s">
        <v>969</v>
      </c>
      <c r="U135" s="3" t="s">
        <v>43</v>
      </c>
      <c r="V135" s="3" t="s">
        <v>439</v>
      </c>
      <c r="W135" s="2"/>
      <c r="X135" s="2"/>
      <c r="Y135" s="2"/>
    </row>
    <row r="136" spans="1:25" x14ac:dyDescent="0.2">
      <c r="A136" s="3">
        <v>423</v>
      </c>
      <c r="B136" s="4" t="s">
        <v>970</v>
      </c>
      <c r="C136" s="3" t="s">
        <v>971</v>
      </c>
      <c r="D136" s="3" t="s">
        <v>5685</v>
      </c>
      <c r="E136" s="3" t="s">
        <v>972</v>
      </c>
      <c r="F136" s="3" t="s">
        <v>5686</v>
      </c>
      <c r="G136" s="3" t="s">
        <v>973</v>
      </c>
      <c r="H136" s="2"/>
      <c r="I136" s="2"/>
      <c r="J136" s="3" t="s">
        <v>393</v>
      </c>
      <c r="K136" s="3" t="s">
        <v>974</v>
      </c>
      <c r="L136" s="3" t="s">
        <v>974</v>
      </c>
      <c r="M136" s="2"/>
      <c r="N136" s="2"/>
      <c r="O136" s="3" t="s">
        <v>26</v>
      </c>
      <c r="P136" s="3" t="s">
        <v>27</v>
      </c>
      <c r="Q136" s="3" t="s">
        <v>5079</v>
      </c>
      <c r="R136" s="3" t="s">
        <v>396</v>
      </c>
      <c r="S136" s="3" t="s">
        <v>413</v>
      </c>
      <c r="T136" s="3" t="s">
        <v>975</v>
      </c>
      <c r="U136" s="3" t="s">
        <v>43</v>
      </c>
      <c r="V136" s="3" t="s">
        <v>27</v>
      </c>
      <c r="W136" s="2"/>
      <c r="X136" s="2"/>
      <c r="Y136" s="2"/>
    </row>
    <row r="137" spans="1:25" x14ac:dyDescent="0.2">
      <c r="A137" s="3">
        <v>525</v>
      </c>
      <c r="B137" s="4" t="s">
        <v>976</v>
      </c>
      <c r="C137" s="3" t="s">
        <v>977</v>
      </c>
      <c r="D137" s="3" t="s">
        <v>5688</v>
      </c>
      <c r="E137" s="3" t="s">
        <v>978</v>
      </c>
      <c r="F137" s="3" t="s">
        <v>5689</v>
      </c>
      <c r="G137" s="3" t="s">
        <v>979</v>
      </c>
      <c r="H137" s="3" t="s">
        <v>980</v>
      </c>
      <c r="I137" s="3" t="s">
        <v>979</v>
      </c>
      <c r="J137" s="3" t="s">
        <v>393</v>
      </c>
      <c r="K137" s="3" t="s">
        <v>491</v>
      </c>
      <c r="L137" s="3" t="s">
        <v>491</v>
      </c>
      <c r="M137" s="2"/>
      <c r="N137" s="2"/>
      <c r="O137" s="3" t="s">
        <v>39</v>
      </c>
      <c r="P137" s="3" t="s">
        <v>981</v>
      </c>
      <c r="Q137" s="3" t="s">
        <v>5690</v>
      </c>
      <c r="R137" s="3" t="s">
        <v>396</v>
      </c>
      <c r="S137" s="3" t="s">
        <v>982</v>
      </c>
      <c r="T137" s="3" t="s">
        <v>983</v>
      </c>
      <c r="U137" s="2"/>
      <c r="V137" s="3" t="s">
        <v>984</v>
      </c>
      <c r="W137" s="2"/>
      <c r="X137" s="2"/>
      <c r="Y137" s="2"/>
    </row>
    <row r="138" spans="1:25" x14ac:dyDescent="0.2">
      <c r="A138" s="3">
        <v>526</v>
      </c>
      <c r="B138" s="4" t="s">
        <v>985</v>
      </c>
      <c r="C138" s="3" t="s">
        <v>986</v>
      </c>
      <c r="D138" s="3" t="s">
        <v>5694</v>
      </c>
      <c r="E138" s="3" t="s">
        <v>987</v>
      </c>
      <c r="F138" s="3" t="s">
        <v>5695</v>
      </c>
      <c r="G138" s="3" t="s">
        <v>988</v>
      </c>
      <c r="H138" s="2"/>
      <c r="I138" s="2"/>
      <c r="J138" s="3" t="s">
        <v>393</v>
      </c>
      <c r="K138" s="3" t="s">
        <v>491</v>
      </c>
      <c r="L138" s="3" t="s">
        <v>491</v>
      </c>
      <c r="M138" s="2"/>
      <c r="N138" s="2"/>
      <c r="O138" s="3" t="s">
        <v>26</v>
      </c>
      <c r="P138" s="3" t="s">
        <v>989</v>
      </c>
      <c r="Q138" s="3" t="s">
        <v>5079</v>
      </c>
      <c r="R138" s="3" t="s">
        <v>396</v>
      </c>
      <c r="S138" s="3" t="s">
        <v>982</v>
      </c>
      <c r="T138" s="3" t="s">
        <v>990</v>
      </c>
      <c r="U138" s="3" t="s">
        <v>43</v>
      </c>
      <c r="V138" s="3" t="s">
        <v>27</v>
      </c>
      <c r="W138" s="2"/>
      <c r="X138" s="2"/>
      <c r="Y138" s="2"/>
    </row>
    <row r="139" spans="1:25" x14ac:dyDescent="0.2">
      <c r="A139" s="3">
        <v>527</v>
      </c>
      <c r="B139" s="4" t="s">
        <v>991</v>
      </c>
      <c r="C139" s="3" t="s">
        <v>992</v>
      </c>
      <c r="D139" s="3" t="s">
        <v>5697</v>
      </c>
      <c r="E139" s="3" t="s">
        <v>993</v>
      </c>
      <c r="F139" s="3" t="s">
        <v>5698</v>
      </c>
      <c r="G139" s="3" t="s">
        <v>994</v>
      </c>
      <c r="H139" s="3" t="s">
        <v>994</v>
      </c>
      <c r="I139" s="3" t="s">
        <v>994</v>
      </c>
      <c r="J139" s="3" t="s">
        <v>393</v>
      </c>
      <c r="K139" s="3" t="s">
        <v>995</v>
      </c>
      <c r="L139" s="3" t="s">
        <v>5699</v>
      </c>
      <c r="M139" s="3" t="s">
        <v>996</v>
      </c>
      <c r="N139" s="6" t="s">
        <v>997</v>
      </c>
      <c r="O139" s="3" t="s">
        <v>39</v>
      </c>
      <c r="P139" s="2"/>
      <c r="Q139" s="3">
        <v>0</v>
      </c>
      <c r="R139" s="3" t="s">
        <v>396</v>
      </c>
      <c r="S139" s="3" t="s">
        <v>700</v>
      </c>
      <c r="T139" s="3" t="s">
        <v>998</v>
      </c>
      <c r="U139" s="2"/>
      <c r="V139" s="2"/>
      <c r="W139" s="2"/>
      <c r="X139" s="2"/>
      <c r="Y139" s="2"/>
    </row>
    <row r="140" spans="1:25" x14ac:dyDescent="0.2">
      <c r="A140" s="3">
        <v>528</v>
      </c>
      <c r="B140" s="4" t="s">
        <v>999</v>
      </c>
      <c r="C140" s="3" t="s">
        <v>1000</v>
      </c>
      <c r="D140" s="3" t="s">
        <v>5702</v>
      </c>
      <c r="E140" s="3" t="s">
        <v>1001</v>
      </c>
      <c r="F140" s="3" t="s">
        <v>5703</v>
      </c>
      <c r="G140" s="3" t="s">
        <v>1002</v>
      </c>
      <c r="H140" s="3" t="s">
        <v>1002</v>
      </c>
      <c r="I140" s="3" t="s">
        <v>1002</v>
      </c>
      <c r="J140" s="3" t="s">
        <v>393</v>
      </c>
      <c r="K140" s="3" t="s">
        <v>1003</v>
      </c>
      <c r="L140" s="3" t="s">
        <v>1003</v>
      </c>
      <c r="M140" s="2"/>
      <c r="N140" s="2"/>
      <c r="O140" s="3" t="s">
        <v>26</v>
      </c>
      <c r="P140" s="3" t="s">
        <v>1004</v>
      </c>
      <c r="Q140" s="3" t="s">
        <v>5704</v>
      </c>
      <c r="R140" s="3" t="s">
        <v>396</v>
      </c>
      <c r="S140" s="3" t="s">
        <v>455</v>
      </c>
      <c r="T140" s="3" t="s">
        <v>1005</v>
      </c>
      <c r="U140" s="3" t="s">
        <v>43</v>
      </c>
      <c r="V140" s="3" t="s">
        <v>1006</v>
      </c>
      <c r="W140" s="2"/>
      <c r="X140" s="2"/>
      <c r="Y140" s="2"/>
    </row>
    <row r="141" spans="1:25" x14ac:dyDescent="0.2">
      <c r="A141" s="3">
        <v>529</v>
      </c>
      <c r="B141" s="4" t="s">
        <v>1007</v>
      </c>
      <c r="C141" s="3" t="s">
        <v>1008</v>
      </c>
      <c r="D141" s="3" t="s">
        <v>5707</v>
      </c>
      <c r="E141" s="3" t="s">
        <v>1009</v>
      </c>
      <c r="F141" s="3" t="s">
        <v>5708</v>
      </c>
      <c r="G141" s="3" t="s">
        <v>1002</v>
      </c>
      <c r="H141" s="2"/>
      <c r="I141" s="2"/>
      <c r="J141" s="3" t="s">
        <v>393</v>
      </c>
      <c r="K141" s="3" t="s">
        <v>1010</v>
      </c>
      <c r="L141" s="3" t="s">
        <v>1010</v>
      </c>
      <c r="M141" s="2"/>
      <c r="N141" s="2"/>
      <c r="O141" s="3" t="s">
        <v>1011</v>
      </c>
      <c r="P141" s="3" t="s">
        <v>27</v>
      </c>
      <c r="Q141" s="3" t="s">
        <v>5079</v>
      </c>
      <c r="R141" s="3" t="s">
        <v>396</v>
      </c>
      <c r="S141" s="3" t="s">
        <v>982</v>
      </c>
      <c r="T141" s="3" t="s">
        <v>1012</v>
      </c>
      <c r="U141" s="3" t="s">
        <v>43</v>
      </c>
      <c r="V141" s="3" t="s">
        <v>1013</v>
      </c>
      <c r="W141" s="2"/>
      <c r="X141" s="2"/>
      <c r="Y141" s="2"/>
    </row>
    <row r="142" spans="1:25" x14ac:dyDescent="0.2">
      <c r="A142" s="3">
        <v>530</v>
      </c>
      <c r="B142" s="4" t="s">
        <v>1014</v>
      </c>
      <c r="C142" s="3" t="s">
        <v>1015</v>
      </c>
      <c r="D142" s="3" t="s">
        <v>5712</v>
      </c>
      <c r="E142" s="3" t="s">
        <v>1016</v>
      </c>
      <c r="F142" s="3" t="s">
        <v>5713</v>
      </c>
      <c r="G142" s="3" t="s">
        <v>1017</v>
      </c>
      <c r="H142" s="3" t="s">
        <v>1017</v>
      </c>
      <c r="I142" s="3" t="s">
        <v>1017</v>
      </c>
      <c r="J142" s="3" t="s">
        <v>393</v>
      </c>
      <c r="K142" s="3" t="s">
        <v>1018</v>
      </c>
      <c r="L142" s="3" t="s">
        <v>5714</v>
      </c>
      <c r="M142" s="2"/>
      <c r="N142" s="2"/>
      <c r="O142" s="3" t="s">
        <v>39</v>
      </c>
      <c r="P142" s="3" t="s">
        <v>1019</v>
      </c>
      <c r="Q142" s="3" t="s">
        <v>5715</v>
      </c>
      <c r="R142" s="3" t="s">
        <v>396</v>
      </c>
      <c r="S142" s="3" t="s">
        <v>982</v>
      </c>
      <c r="T142" s="3" t="s">
        <v>1020</v>
      </c>
      <c r="U142" s="3" t="s">
        <v>1021</v>
      </c>
      <c r="V142" s="3" t="s">
        <v>1022</v>
      </c>
      <c r="W142" s="2"/>
      <c r="X142" s="2"/>
      <c r="Y142" s="2"/>
    </row>
    <row r="143" spans="1:25" x14ac:dyDescent="0.2">
      <c r="A143" s="3">
        <v>533</v>
      </c>
      <c r="B143" s="4" t="s">
        <v>1023</v>
      </c>
      <c r="C143" s="3" t="s">
        <v>1024</v>
      </c>
      <c r="D143" s="3" t="s">
        <v>5718</v>
      </c>
      <c r="E143" s="3" t="s">
        <v>1025</v>
      </c>
      <c r="F143" s="3" t="s">
        <v>5719</v>
      </c>
      <c r="G143" s="3" t="s">
        <v>705</v>
      </c>
      <c r="H143" s="3" t="s">
        <v>705</v>
      </c>
      <c r="I143" s="3" t="s">
        <v>705</v>
      </c>
      <c r="J143" s="3" t="s">
        <v>393</v>
      </c>
      <c r="K143" s="3" t="s">
        <v>1026</v>
      </c>
      <c r="L143" s="3" t="s">
        <v>1026</v>
      </c>
      <c r="M143" s="3" t="s">
        <v>492</v>
      </c>
      <c r="N143" s="2"/>
      <c r="O143" s="3" t="s">
        <v>39</v>
      </c>
      <c r="P143" s="3" t="s">
        <v>60</v>
      </c>
      <c r="Q143" s="3" t="s">
        <v>5100</v>
      </c>
      <c r="R143" s="3" t="s">
        <v>396</v>
      </c>
      <c r="S143" s="3" t="s">
        <v>982</v>
      </c>
      <c r="T143" s="3" t="s">
        <v>1027</v>
      </c>
      <c r="U143" s="2"/>
      <c r="V143" s="3" t="s">
        <v>60</v>
      </c>
      <c r="W143" s="2"/>
      <c r="X143" s="2"/>
      <c r="Y143" s="2"/>
    </row>
    <row r="144" spans="1:25" x14ac:dyDescent="0.2">
      <c r="A144" s="3">
        <v>535</v>
      </c>
      <c r="B144" s="4" t="s">
        <v>1028</v>
      </c>
      <c r="C144" s="3" t="s">
        <v>1029</v>
      </c>
      <c r="D144" s="3" t="s">
        <v>5721</v>
      </c>
      <c r="E144" s="3" t="s">
        <v>1030</v>
      </c>
      <c r="F144" s="3" t="s">
        <v>5722</v>
      </c>
      <c r="G144" s="3" t="s">
        <v>1031</v>
      </c>
      <c r="H144" s="2"/>
      <c r="I144" s="2"/>
      <c r="J144" s="3" t="s">
        <v>393</v>
      </c>
      <c r="K144" s="3" t="s">
        <v>1032</v>
      </c>
      <c r="L144" s="3" t="s">
        <v>5723</v>
      </c>
      <c r="M144" s="2"/>
      <c r="N144" s="2"/>
      <c r="O144" s="3" t="s">
        <v>39</v>
      </c>
      <c r="P144" s="3" t="s">
        <v>27</v>
      </c>
      <c r="Q144" s="3" t="s">
        <v>5079</v>
      </c>
      <c r="R144" s="3" t="s">
        <v>396</v>
      </c>
      <c r="S144" s="3" t="s">
        <v>700</v>
      </c>
      <c r="T144" s="3" t="s">
        <v>1033</v>
      </c>
      <c r="U144" s="3" t="s">
        <v>43</v>
      </c>
      <c r="V144" s="3" t="s">
        <v>27</v>
      </c>
      <c r="W144" s="2"/>
      <c r="X144" s="2"/>
      <c r="Y144" s="2"/>
    </row>
    <row r="145" spans="1:25" x14ac:dyDescent="0.2">
      <c r="A145" s="3">
        <v>536</v>
      </c>
      <c r="B145" s="4" t="s">
        <v>1034</v>
      </c>
      <c r="C145" s="3" t="s">
        <v>1035</v>
      </c>
      <c r="D145" s="3" t="s">
        <v>5725</v>
      </c>
      <c r="E145" s="3" t="s">
        <v>1036</v>
      </c>
      <c r="F145" s="3" t="s">
        <v>5726</v>
      </c>
      <c r="G145" s="3" t="s">
        <v>1037</v>
      </c>
      <c r="H145" s="3" t="s">
        <v>788</v>
      </c>
      <c r="I145" s="3" t="s">
        <v>788</v>
      </c>
      <c r="J145" s="3" t="s">
        <v>393</v>
      </c>
      <c r="K145" s="3" t="s">
        <v>1038</v>
      </c>
      <c r="L145" s="3" t="s">
        <v>1038</v>
      </c>
      <c r="M145" s="2"/>
      <c r="N145" s="2"/>
      <c r="O145" s="3" t="s">
        <v>39</v>
      </c>
      <c r="P145" s="3" t="s">
        <v>60</v>
      </c>
      <c r="Q145" s="3" t="s">
        <v>5100</v>
      </c>
      <c r="R145" s="3" t="s">
        <v>396</v>
      </c>
      <c r="S145" s="3" t="s">
        <v>700</v>
      </c>
      <c r="T145" s="3" t="s">
        <v>1039</v>
      </c>
      <c r="U145" s="2"/>
      <c r="V145" s="3" t="s">
        <v>709</v>
      </c>
      <c r="W145" s="2"/>
      <c r="X145" s="2"/>
      <c r="Y145" s="2"/>
    </row>
    <row r="146" spans="1:25" x14ac:dyDescent="0.2">
      <c r="A146" s="3">
        <v>538</v>
      </c>
      <c r="B146" s="4" t="s">
        <v>1040</v>
      </c>
      <c r="C146" s="3" t="s">
        <v>1041</v>
      </c>
      <c r="D146" s="3" t="s">
        <v>5728</v>
      </c>
      <c r="E146" s="3" t="s">
        <v>1042</v>
      </c>
      <c r="F146" s="3" t="s">
        <v>5729</v>
      </c>
      <c r="G146" s="3" t="s">
        <v>1043</v>
      </c>
      <c r="H146" s="2"/>
      <c r="I146" s="2"/>
      <c r="J146" s="3" t="s">
        <v>393</v>
      </c>
      <c r="K146" s="3" t="s">
        <v>453</v>
      </c>
      <c r="L146" s="3" t="s">
        <v>453</v>
      </c>
      <c r="M146" s="2"/>
      <c r="N146" s="2"/>
      <c r="O146" s="3" t="s">
        <v>26</v>
      </c>
      <c r="P146" s="3" t="s">
        <v>811</v>
      </c>
      <c r="Q146" s="3" t="s">
        <v>5079</v>
      </c>
      <c r="R146" s="3" t="s">
        <v>396</v>
      </c>
      <c r="S146" s="3" t="s">
        <v>982</v>
      </c>
      <c r="T146" s="3" t="s">
        <v>1044</v>
      </c>
      <c r="U146" s="3" t="s">
        <v>43</v>
      </c>
      <c r="V146" s="3" t="s">
        <v>27</v>
      </c>
      <c r="W146" s="2"/>
      <c r="X146" s="2"/>
      <c r="Y146" s="2"/>
    </row>
    <row r="147" spans="1:25" x14ac:dyDescent="0.2">
      <c r="A147" s="3">
        <v>539</v>
      </c>
      <c r="B147" s="4" t="s">
        <v>1045</v>
      </c>
      <c r="C147" s="3" t="s">
        <v>1046</v>
      </c>
      <c r="D147" s="3" t="s">
        <v>5731</v>
      </c>
      <c r="E147" s="3" t="s">
        <v>1047</v>
      </c>
      <c r="F147" s="3" t="s">
        <v>5732</v>
      </c>
      <c r="G147" s="3" t="s">
        <v>452</v>
      </c>
      <c r="H147" s="2"/>
      <c r="I147" s="2"/>
      <c r="J147" s="3" t="s">
        <v>393</v>
      </c>
      <c r="K147" s="3" t="s">
        <v>453</v>
      </c>
      <c r="L147" s="3" t="s">
        <v>453</v>
      </c>
      <c r="M147" s="2"/>
      <c r="N147" s="2"/>
      <c r="O147" s="3" t="s">
        <v>1011</v>
      </c>
      <c r="P147" s="3" t="s">
        <v>811</v>
      </c>
      <c r="Q147" s="3" t="s">
        <v>5079</v>
      </c>
      <c r="R147" s="3" t="s">
        <v>396</v>
      </c>
      <c r="S147" s="3" t="s">
        <v>982</v>
      </c>
      <c r="T147" s="3" t="s">
        <v>1048</v>
      </c>
      <c r="U147" s="3" t="s">
        <v>43</v>
      </c>
      <c r="V147" s="3" t="s">
        <v>27</v>
      </c>
      <c r="W147" s="2"/>
      <c r="X147" s="2"/>
      <c r="Y147" s="2"/>
    </row>
    <row r="148" spans="1:25" x14ac:dyDescent="0.2">
      <c r="A148" s="3">
        <v>540</v>
      </c>
      <c r="B148" s="4" t="s">
        <v>1049</v>
      </c>
      <c r="C148" s="3" t="s">
        <v>1050</v>
      </c>
      <c r="D148" s="3" t="s">
        <v>5734</v>
      </c>
      <c r="E148" s="3" t="s">
        <v>1051</v>
      </c>
      <c r="F148" s="3" t="s">
        <v>5735</v>
      </c>
      <c r="G148" s="3" t="s">
        <v>1052</v>
      </c>
      <c r="H148" s="2"/>
      <c r="I148" s="2"/>
      <c r="J148" s="3" t="s">
        <v>393</v>
      </c>
      <c r="K148" s="3" t="s">
        <v>453</v>
      </c>
      <c r="L148" s="3" t="s">
        <v>453</v>
      </c>
      <c r="M148" s="2"/>
      <c r="N148" s="2"/>
      <c r="O148" s="3" t="s">
        <v>645</v>
      </c>
      <c r="P148" s="3" t="s">
        <v>811</v>
      </c>
      <c r="Q148" s="3" t="s">
        <v>5079</v>
      </c>
      <c r="R148" s="3" t="s">
        <v>396</v>
      </c>
      <c r="S148" s="3" t="s">
        <v>982</v>
      </c>
      <c r="T148" s="3" t="s">
        <v>1053</v>
      </c>
      <c r="U148" s="3" t="s">
        <v>43</v>
      </c>
      <c r="V148" s="3" t="s">
        <v>27</v>
      </c>
      <c r="W148" s="2"/>
      <c r="X148" s="2"/>
      <c r="Y148" s="2"/>
    </row>
    <row r="149" spans="1:25" x14ac:dyDescent="0.2">
      <c r="A149" s="3">
        <v>542</v>
      </c>
      <c r="B149" s="4" t="s">
        <v>1054</v>
      </c>
      <c r="C149" s="3" t="s">
        <v>1055</v>
      </c>
      <c r="D149" s="3" t="s">
        <v>5737</v>
      </c>
      <c r="E149" s="3" t="s">
        <v>1056</v>
      </c>
      <c r="F149" s="3" t="s">
        <v>5738</v>
      </c>
      <c r="G149" s="3" t="s">
        <v>1057</v>
      </c>
      <c r="H149" s="2"/>
      <c r="I149" s="2"/>
      <c r="J149" s="3" t="s">
        <v>393</v>
      </c>
      <c r="K149" s="3" t="s">
        <v>453</v>
      </c>
      <c r="L149" s="3" t="s">
        <v>453</v>
      </c>
      <c r="M149" s="2"/>
      <c r="N149" s="2"/>
      <c r="O149" s="3" t="s">
        <v>493</v>
      </c>
      <c r="P149" s="3" t="s">
        <v>395</v>
      </c>
      <c r="Q149" s="3" t="s">
        <v>5324</v>
      </c>
      <c r="R149" s="3" t="s">
        <v>396</v>
      </c>
      <c r="S149" s="3" t="s">
        <v>405</v>
      </c>
      <c r="T149" s="3" t="s">
        <v>1058</v>
      </c>
      <c r="U149" s="3" t="s">
        <v>43</v>
      </c>
      <c r="V149" s="3" t="s">
        <v>395</v>
      </c>
      <c r="W149" s="2"/>
      <c r="X149" s="2"/>
      <c r="Y149" s="2"/>
    </row>
    <row r="150" spans="1:25" x14ac:dyDescent="0.2">
      <c r="A150" s="3">
        <v>543</v>
      </c>
      <c r="B150" s="4" t="s">
        <v>1059</v>
      </c>
      <c r="C150" s="3" t="s">
        <v>1060</v>
      </c>
      <c r="D150" s="3" t="s">
        <v>5740</v>
      </c>
      <c r="E150" s="3" t="s">
        <v>1061</v>
      </c>
      <c r="F150" s="3" t="s">
        <v>5741</v>
      </c>
      <c r="G150" s="3" t="s">
        <v>1062</v>
      </c>
      <c r="H150" s="2"/>
      <c r="I150" s="2"/>
      <c r="J150" s="3" t="s">
        <v>393</v>
      </c>
      <c r="K150" s="3" t="s">
        <v>453</v>
      </c>
      <c r="L150" s="3" t="s">
        <v>453</v>
      </c>
      <c r="M150" s="2"/>
      <c r="N150" s="3" t="s">
        <v>1063</v>
      </c>
      <c r="O150" s="3" t="s">
        <v>493</v>
      </c>
      <c r="P150" s="3" t="s">
        <v>461</v>
      </c>
      <c r="Q150" s="3" t="s">
        <v>5367</v>
      </c>
      <c r="R150" s="3" t="s">
        <v>396</v>
      </c>
      <c r="S150" s="3" t="s">
        <v>405</v>
      </c>
      <c r="T150" s="3" t="s">
        <v>1064</v>
      </c>
      <c r="U150" s="3" t="s">
        <v>43</v>
      </c>
      <c r="V150" s="3" t="s">
        <v>1065</v>
      </c>
      <c r="W150" s="2"/>
      <c r="X150" s="2"/>
      <c r="Y150" s="2"/>
    </row>
    <row r="151" spans="1:25" x14ac:dyDescent="0.2">
      <c r="A151" s="3">
        <v>544</v>
      </c>
      <c r="B151" s="4" t="s">
        <v>1066</v>
      </c>
      <c r="C151" s="3" t="s">
        <v>1067</v>
      </c>
      <c r="D151" s="3" t="s">
        <v>5744</v>
      </c>
      <c r="E151" s="3" t="s">
        <v>1068</v>
      </c>
      <c r="F151" s="3" t="s">
        <v>5745</v>
      </c>
      <c r="G151" s="3" t="s">
        <v>1069</v>
      </c>
      <c r="H151" s="2"/>
      <c r="I151" s="2"/>
      <c r="J151" s="3" t="s">
        <v>393</v>
      </c>
      <c r="K151" s="3" t="s">
        <v>453</v>
      </c>
      <c r="L151" s="3" t="s">
        <v>453</v>
      </c>
      <c r="M151" s="2"/>
      <c r="N151" s="3" t="s">
        <v>1070</v>
      </c>
      <c r="O151" s="3" t="s">
        <v>26</v>
      </c>
      <c r="P151" s="3" t="s">
        <v>811</v>
      </c>
      <c r="Q151" s="3" t="s">
        <v>5079</v>
      </c>
      <c r="R151" s="3" t="s">
        <v>396</v>
      </c>
      <c r="S151" s="3" t="s">
        <v>700</v>
      </c>
      <c r="T151" s="3" t="s">
        <v>1071</v>
      </c>
      <c r="U151" s="3" t="s">
        <v>43</v>
      </c>
      <c r="V151" s="3" t="s">
        <v>27</v>
      </c>
      <c r="W151" s="2"/>
      <c r="X151" s="2"/>
      <c r="Y151" s="2"/>
    </row>
    <row r="152" spans="1:25" x14ac:dyDescent="0.2">
      <c r="A152" s="3">
        <v>547</v>
      </c>
      <c r="B152" s="4" t="s">
        <v>1072</v>
      </c>
      <c r="C152" s="3" t="s">
        <v>1073</v>
      </c>
      <c r="D152" s="3" t="s">
        <v>5747</v>
      </c>
      <c r="E152" s="3" t="s">
        <v>1074</v>
      </c>
      <c r="F152" s="3" t="s">
        <v>5748</v>
      </c>
      <c r="G152" s="3" t="s">
        <v>1075</v>
      </c>
      <c r="H152" s="2"/>
      <c r="I152" s="2"/>
      <c r="J152" s="3" t="s">
        <v>393</v>
      </c>
      <c r="K152" s="3" t="s">
        <v>453</v>
      </c>
      <c r="L152" s="3" t="s">
        <v>453</v>
      </c>
      <c r="M152" s="2"/>
      <c r="N152" s="3" t="s">
        <v>1076</v>
      </c>
      <c r="O152" s="3" t="s">
        <v>426</v>
      </c>
      <c r="P152" s="3" t="s">
        <v>811</v>
      </c>
      <c r="Q152" s="3" t="s">
        <v>5079</v>
      </c>
      <c r="R152" s="3" t="s">
        <v>396</v>
      </c>
      <c r="S152" s="3" t="s">
        <v>982</v>
      </c>
      <c r="T152" s="3" t="s">
        <v>1077</v>
      </c>
      <c r="U152" s="3" t="s">
        <v>43</v>
      </c>
      <c r="V152" s="3" t="s">
        <v>27</v>
      </c>
      <c r="W152" s="2"/>
      <c r="X152" s="2"/>
      <c r="Y152" s="2"/>
    </row>
    <row r="153" spans="1:25" x14ac:dyDescent="0.2">
      <c r="A153" s="3">
        <v>549</v>
      </c>
      <c r="B153" s="4" t="s">
        <v>1078</v>
      </c>
      <c r="C153" s="3" t="s">
        <v>1079</v>
      </c>
      <c r="D153" s="3" t="s">
        <v>5750</v>
      </c>
      <c r="E153" s="3" t="s">
        <v>1080</v>
      </c>
      <c r="F153" s="3" t="s">
        <v>5751</v>
      </c>
      <c r="G153" s="3" t="s">
        <v>1081</v>
      </c>
      <c r="H153" s="2"/>
      <c r="I153" s="2"/>
      <c r="J153" s="3" t="s">
        <v>393</v>
      </c>
      <c r="K153" s="3" t="s">
        <v>453</v>
      </c>
      <c r="L153" s="3" t="s">
        <v>453</v>
      </c>
      <c r="M153" s="2"/>
      <c r="N153" s="2"/>
      <c r="O153" s="3" t="s">
        <v>39</v>
      </c>
      <c r="P153" s="3" t="s">
        <v>71</v>
      </c>
      <c r="Q153" s="3" t="s">
        <v>5107</v>
      </c>
      <c r="R153" s="3" t="s">
        <v>396</v>
      </c>
      <c r="S153" s="3" t="s">
        <v>982</v>
      </c>
      <c r="T153" s="3" t="s">
        <v>1082</v>
      </c>
      <c r="U153" s="3" t="s">
        <v>43</v>
      </c>
      <c r="V153" s="3" t="s">
        <v>1083</v>
      </c>
      <c r="W153" s="2"/>
      <c r="X153" s="2"/>
      <c r="Y153" s="2"/>
    </row>
    <row r="154" spans="1:25" x14ac:dyDescent="0.2">
      <c r="A154" s="3">
        <v>551</v>
      </c>
      <c r="B154" s="4" t="s">
        <v>1084</v>
      </c>
      <c r="C154" s="3" t="s">
        <v>1085</v>
      </c>
      <c r="D154" s="3" t="s">
        <v>5754</v>
      </c>
      <c r="E154" s="3" t="s">
        <v>1086</v>
      </c>
      <c r="F154" s="3" t="s">
        <v>5755</v>
      </c>
      <c r="G154" s="3" t="s">
        <v>1087</v>
      </c>
      <c r="H154" s="2"/>
      <c r="I154" s="2"/>
      <c r="J154" s="3" t="s">
        <v>393</v>
      </c>
      <c r="K154" s="3" t="s">
        <v>453</v>
      </c>
      <c r="L154" s="3" t="s">
        <v>453</v>
      </c>
      <c r="M154" s="2"/>
      <c r="N154" s="3" t="s">
        <v>1088</v>
      </c>
      <c r="O154" s="3" t="s">
        <v>39</v>
      </c>
      <c r="P154" s="3" t="s">
        <v>395</v>
      </c>
      <c r="Q154" s="3" t="s">
        <v>5324</v>
      </c>
      <c r="R154" s="3" t="s">
        <v>396</v>
      </c>
      <c r="S154" s="3" t="s">
        <v>982</v>
      </c>
      <c r="T154" s="3" t="s">
        <v>1089</v>
      </c>
      <c r="U154" s="3" t="s">
        <v>43</v>
      </c>
      <c r="V154" s="3" t="s">
        <v>1090</v>
      </c>
      <c r="W154" s="2"/>
      <c r="X154" s="2"/>
      <c r="Y154" s="2"/>
    </row>
    <row r="155" spans="1:25" x14ac:dyDescent="0.2">
      <c r="A155" s="3">
        <v>552</v>
      </c>
      <c r="B155" s="4" t="s">
        <v>1091</v>
      </c>
      <c r="C155" s="3" t="s">
        <v>1092</v>
      </c>
      <c r="D155" s="3" t="s">
        <v>5758</v>
      </c>
      <c r="E155" s="3" t="s">
        <v>1093</v>
      </c>
      <c r="F155" s="3" t="s">
        <v>5759</v>
      </c>
      <c r="G155" s="3" t="s">
        <v>657</v>
      </c>
      <c r="H155" s="2"/>
      <c r="I155" s="2"/>
      <c r="J155" s="3" t="s">
        <v>393</v>
      </c>
      <c r="K155" s="3" t="s">
        <v>453</v>
      </c>
      <c r="L155" s="3" t="s">
        <v>453</v>
      </c>
      <c r="M155" s="2"/>
      <c r="N155" s="2"/>
      <c r="O155" s="3" t="s">
        <v>39</v>
      </c>
      <c r="P155" s="3" t="s">
        <v>811</v>
      </c>
      <c r="Q155" s="3" t="s">
        <v>5079</v>
      </c>
      <c r="R155" s="3" t="s">
        <v>396</v>
      </c>
      <c r="S155" s="3" t="s">
        <v>982</v>
      </c>
      <c r="T155" s="3" t="s">
        <v>1094</v>
      </c>
      <c r="U155" s="3" t="s">
        <v>43</v>
      </c>
      <c r="V155" s="3" t="s">
        <v>1083</v>
      </c>
      <c r="W155" s="2"/>
      <c r="X155" s="2"/>
      <c r="Y155" s="2"/>
    </row>
    <row r="156" spans="1:25" x14ac:dyDescent="0.2">
      <c r="A156" s="3">
        <v>553</v>
      </c>
      <c r="B156" s="4" t="s">
        <v>1095</v>
      </c>
      <c r="C156" s="3" t="s">
        <v>1096</v>
      </c>
      <c r="D156" s="3" t="s">
        <v>5761</v>
      </c>
      <c r="E156" s="3" t="s">
        <v>1097</v>
      </c>
      <c r="F156" s="3" t="s">
        <v>5762</v>
      </c>
      <c r="G156" s="3" t="s">
        <v>1098</v>
      </c>
      <c r="H156" s="2"/>
      <c r="I156" s="2"/>
      <c r="J156" s="3" t="s">
        <v>393</v>
      </c>
      <c r="K156" s="3" t="s">
        <v>453</v>
      </c>
      <c r="L156" s="3" t="s">
        <v>453</v>
      </c>
      <c r="M156" s="2"/>
      <c r="N156" s="2"/>
      <c r="O156" s="3" t="s">
        <v>39</v>
      </c>
      <c r="P156" s="3" t="s">
        <v>395</v>
      </c>
      <c r="Q156" s="3" t="s">
        <v>5324</v>
      </c>
      <c r="R156" s="3" t="s">
        <v>396</v>
      </c>
      <c r="S156" s="3" t="s">
        <v>982</v>
      </c>
      <c r="T156" s="3" t="s">
        <v>1099</v>
      </c>
      <c r="U156" s="3" t="s">
        <v>43</v>
      </c>
      <c r="V156" s="3" t="s">
        <v>395</v>
      </c>
      <c r="W156" s="2"/>
      <c r="X156" s="2"/>
      <c r="Y156" s="2"/>
    </row>
    <row r="157" spans="1:25" x14ac:dyDescent="0.2">
      <c r="A157" s="3">
        <v>554</v>
      </c>
      <c r="B157" s="4" t="s">
        <v>1100</v>
      </c>
      <c r="C157" s="3" t="s">
        <v>1101</v>
      </c>
      <c r="D157" s="3" t="s">
        <v>5764</v>
      </c>
      <c r="E157" s="3" t="s">
        <v>1102</v>
      </c>
      <c r="F157" s="3" t="s">
        <v>5765</v>
      </c>
      <c r="G157" s="3" t="s">
        <v>1098</v>
      </c>
      <c r="H157" s="2"/>
      <c r="I157" s="2"/>
      <c r="J157" s="3" t="s">
        <v>393</v>
      </c>
      <c r="K157" s="3" t="s">
        <v>453</v>
      </c>
      <c r="L157" s="3" t="s">
        <v>453</v>
      </c>
      <c r="M157" s="2"/>
      <c r="N157" s="3" t="s">
        <v>1103</v>
      </c>
      <c r="O157" s="3" t="s">
        <v>39</v>
      </c>
      <c r="P157" s="3" t="s">
        <v>811</v>
      </c>
      <c r="Q157" s="3" t="s">
        <v>5079</v>
      </c>
      <c r="R157" s="3" t="s">
        <v>396</v>
      </c>
      <c r="S157" s="3" t="s">
        <v>982</v>
      </c>
      <c r="T157" s="3" t="s">
        <v>1104</v>
      </c>
      <c r="U157" s="3" t="s">
        <v>43</v>
      </c>
      <c r="V157" s="3" t="s">
        <v>27</v>
      </c>
      <c r="W157" s="2"/>
      <c r="X157" s="2"/>
      <c r="Y157" s="2"/>
    </row>
    <row r="158" spans="1:25" x14ac:dyDescent="0.2">
      <c r="A158" s="3">
        <v>555</v>
      </c>
      <c r="B158" s="4" t="s">
        <v>1105</v>
      </c>
      <c r="C158" s="3" t="s">
        <v>1106</v>
      </c>
      <c r="D158" s="3" t="s">
        <v>5767</v>
      </c>
      <c r="E158" s="3" t="s">
        <v>1107</v>
      </c>
      <c r="F158" s="3" t="s">
        <v>5768</v>
      </c>
      <c r="G158" s="3" t="s">
        <v>833</v>
      </c>
      <c r="H158" s="2"/>
      <c r="I158" s="2"/>
      <c r="J158" s="3" t="s">
        <v>393</v>
      </c>
      <c r="K158" s="3" t="s">
        <v>453</v>
      </c>
      <c r="L158" s="3" t="s">
        <v>453</v>
      </c>
      <c r="M158" s="2"/>
      <c r="N158" s="3" t="s">
        <v>1108</v>
      </c>
      <c r="O158" s="3" t="s">
        <v>39</v>
      </c>
      <c r="P158" s="3" t="s">
        <v>811</v>
      </c>
      <c r="Q158" s="3" t="s">
        <v>5079</v>
      </c>
      <c r="R158" s="3" t="s">
        <v>396</v>
      </c>
      <c r="S158" s="3" t="s">
        <v>982</v>
      </c>
      <c r="T158" s="3" t="s">
        <v>1077</v>
      </c>
      <c r="U158" s="3" t="s">
        <v>43</v>
      </c>
      <c r="V158" s="3" t="s">
        <v>1109</v>
      </c>
      <c r="W158" s="2"/>
      <c r="X158" s="2"/>
      <c r="Y158" s="2"/>
    </row>
    <row r="159" spans="1:25" x14ac:dyDescent="0.2">
      <c r="A159" s="3">
        <v>556</v>
      </c>
      <c r="B159" s="4" t="s">
        <v>1110</v>
      </c>
      <c r="C159" s="3" t="s">
        <v>1111</v>
      </c>
      <c r="D159" s="3" t="s">
        <v>5770</v>
      </c>
      <c r="E159" s="3" t="s">
        <v>1112</v>
      </c>
      <c r="F159" s="3" t="s">
        <v>5771</v>
      </c>
      <c r="G159" s="3" t="s">
        <v>1113</v>
      </c>
      <c r="H159" s="2"/>
      <c r="I159" s="2"/>
      <c r="J159" s="3" t="s">
        <v>393</v>
      </c>
      <c r="K159" s="3" t="s">
        <v>453</v>
      </c>
      <c r="L159" s="3" t="s">
        <v>453</v>
      </c>
      <c r="M159" s="2"/>
      <c r="N159" s="3" t="s">
        <v>1114</v>
      </c>
      <c r="O159" s="3" t="s">
        <v>39</v>
      </c>
      <c r="P159" s="3" t="s">
        <v>811</v>
      </c>
      <c r="Q159" s="3" t="s">
        <v>5079</v>
      </c>
      <c r="R159" s="3" t="s">
        <v>396</v>
      </c>
      <c r="S159" s="3" t="s">
        <v>982</v>
      </c>
      <c r="T159" s="3" t="s">
        <v>1115</v>
      </c>
      <c r="U159" s="3" t="s">
        <v>43</v>
      </c>
      <c r="V159" s="3" t="s">
        <v>27</v>
      </c>
      <c r="W159" s="2"/>
      <c r="X159" s="2"/>
      <c r="Y159" s="2"/>
    </row>
    <row r="160" spans="1:25" x14ac:dyDescent="0.2">
      <c r="A160" s="3">
        <v>557</v>
      </c>
      <c r="B160" s="4" t="s">
        <v>1116</v>
      </c>
      <c r="C160" s="3" t="s">
        <v>1117</v>
      </c>
      <c r="D160" s="3" t="s">
        <v>5773</v>
      </c>
      <c r="E160" s="3" t="s">
        <v>1118</v>
      </c>
      <c r="F160" s="3" t="s">
        <v>5774</v>
      </c>
      <c r="G160" s="3" t="s">
        <v>467</v>
      </c>
      <c r="H160" s="2"/>
      <c r="I160" s="2"/>
      <c r="J160" s="3" t="s">
        <v>393</v>
      </c>
      <c r="K160" s="3" t="s">
        <v>453</v>
      </c>
      <c r="L160" s="3" t="s">
        <v>453</v>
      </c>
      <c r="M160" s="2"/>
      <c r="N160" s="2"/>
      <c r="O160" s="3" t="s">
        <v>26</v>
      </c>
      <c r="P160" s="3" t="s">
        <v>395</v>
      </c>
      <c r="Q160" s="3" t="s">
        <v>5324</v>
      </c>
      <c r="R160" s="3" t="s">
        <v>396</v>
      </c>
      <c r="S160" s="3" t="s">
        <v>700</v>
      </c>
      <c r="T160" s="3" t="s">
        <v>1119</v>
      </c>
      <c r="U160" s="3" t="s">
        <v>43</v>
      </c>
      <c r="V160" s="3" t="s">
        <v>1109</v>
      </c>
      <c r="W160" s="2"/>
      <c r="X160" s="2"/>
      <c r="Y160" s="2"/>
    </row>
    <row r="161" spans="1:25" x14ac:dyDescent="0.2">
      <c r="A161" s="3">
        <v>558</v>
      </c>
      <c r="B161" s="4" t="s">
        <v>1120</v>
      </c>
      <c r="C161" s="3" t="s">
        <v>1121</v>
      </c>
      <c r="D161" s="3" t="s">
        <v>5776</v>
      </c>
      <c r="E161" s="3" t="s">
        <v>1122</v>
      </c>
      <c r="F161" s="3" t="s">
        <v>5777</v>
      </c>
      <c r="G161" s="3" t="s">
        <v>908</v>
      </c>
      <c r="H161" s="2"/>
      <c r="I161" s="2"/>
      <c r="J161" s="3" t="s">
        <v>393</v>
      </c>
      <c r="K161" s="3" t="s">
        <v>453</v>
      </c>
      <c r="L161" s="3" t="s">
        <v>453</v>
      </c>
      <c r="M161" s="2"/>
      <c r="N161" s="2"/>
      <c r="O161" s="3" t="s">
        <v>26</v>
      </c>
      <c r="P161" s="3" t="s">
        <v>811</v>
      </c>
      <c r="Q161" s="3" t="s">
        <v>5079</v>
      </c>
      <c r="R161" s="3" t="s">
        <v>396</v>
      </c>
      <c r="S161" s="3" t="s">
        <v>982</v>
      </c>
      <c r="T161" s="3" t="s">
        <v>1123</v>
      </c>
      <c r="U161" s="3" t="s">
        <v>43</v>
      </c>
      <c r="V161" s="3" t="s">
        <v>27</v>
      </c>
      <c r="W161" s="2"/>
      <c r="X161" s="2"/>
      <c r="Y161" s="2"/>
    </row>
    <row r="162" spans="1:25" x14ac:dyDescent="0.2">
      <c r="A162" s="3">
        <v>559</v>
      </c>
      <c r="B162" s="4" t="s">
        <v>1124</v>
      </c>
      <c r="C162" s="3" t="s">
        <v>1125</v>
      </c>
      <c r="D162" s="3" t="s">
        <v>5779</v>
      </c>
      <c r="E162" s="3" t="s">
        <v>1126</v>
      </c>
      <c r="F162" s="3" t="s">
        <v>5780</v>
      </c>
      <c r="G162" s="3" t="s">
        <v>1127</v>
      </c>
      <c r="H162" s="2"/>
      <c r="I162" s="2"/>
      <c r="J162" s="3" t="s">
        <v>393</v>
      </c>
      <c r="K162" s="3" t="s">
        <v>453</v>
      </c>
      <c r="L162" s="3" t="s">
        <v>453</v>
      </c>
      <c r="M162" s="2"/>
      <c r="N162" s="2"/>
      <c r="O162" s="3" t="s">
        <v>493</v>
      </c>
      <c r="P162" s="3" t="s">
        <v>811</v>
      </c>
      <c r="Q162" s="3" t="s">
        <v>5079</v>
      </c>
      <c r="R162" s="3" t="s">
        <v>396</v>
      </c>
      <c r="S162" s="3" t="s">
        <v>982</v>
      </c>
      <c r="T162" s="3" t="s">
        <v>1077</v>
      </c>
      <c r="U162" s="3" t="s">
        <v>43</v>
      </c>
      <c r="V162" s="3" t="s">
        <v>27</v>
      </c>
      <c r="W162" s="2"/>
      <c r="X162" s="2"/>
      <c r="Y162" s="2"/>
    </row>
    <row r="163" spans="1:25" x14ac:dyDescent="0.2">
      <c r="A163" s="3">
        <v>560</v>
      </c>
      <c r="B163" s="4" t="s">
        <v>1128</v>
      </c>
      <c r="C163" s="3" t="s">
        <v>1129</v>
      </c>
      <c r="D163" s="3" t="s">
        <v>5781</v>
      </c>
      <c r="E163" s="3" t="s">
        <v>1130</v>
      </c>
      <c r="F163" s="3" t="s">
        <v>5782</v>
      </c>
      <c r="G163" s="3" t="s">
        <v>1127</v>
      </c>
      <c r="H163" s="2"/>
      <c r="I163" s="2"/>
      <c r="J163" s="3" t="s">
        <v>393</v>
      </c>
      <c r="K163" s="3" t="s">
        <v>453</v>
      </c>
      <c r="L163" s="3" t="s">
        <v>453</v>
      </c>
      <c r="M163" s="2"/>
      <c r="N163" s="2"/>
      <c r="O163" s="3" t="s">
        <v>426</v>
      </c>
      <c r="P163" s="3" t="s">
        <v>1131</v>
      </c>
      <c r="Q163" s="3" t="s">
        <v>5783</v>
      </c>
      <c r="R163" s="3" t="s">
        <v>396</v>
      </c>
      <c r="S163" s="3" t="s">
        <v>982</v>
      </c>
      <c r="T163" s="3" t="s">
        <v>1132</v>
      </c>
      <c r="U163" s="3" t="s">
        <v>43</v>
      </c>
      <c r="V163" s="3" t="s">
        <v>71</v>
      </c>
      <c r="W163" s="2"/>
      <c r="X163" s="2"/>
      <c r="Y163" s="2"/>
    </row>
    <row r="164" spans="1:25" x14ac:dyDescent="0.2">
      <c r="A164" s="3">
        <v>561</v>
      </c>
      <c r="B164" s="4" t="s">
        <v>1133</v>
      </c>
      <c r="C164" s="3" t="s">
        <v>1134</v>
      </c>
      <c r="D164" s="3" t="s">
        <v>5785</v>
      </c>
      <c r="E164" s="3" t="s">
        <v>1135</v>
      </c>
      <c r="F164" s="3" t="s">
        <v>5786</v>
      </c>
      <c r="G164" s="3" t="s">
        <v>1127</v>
      </c>
      <c r="H164" s="2"/>
      <c r="I164" s="2"/>
      <c r="J164" s="3" t="s">
        <v>393</v>
      </c>
      <c r="K164" s="3" t="s">
        <v>453</v>
      </c>
      <c r="L164" s="3" t="s">
        <v>453</v>
      </c>
      <c r="M164" s="2"/>
      <c r="N164" s="2"/>
      <c r="O164" s="3" t="s">
        <v>26</v>
      </c>
      <c r="P164" s="3" t="s">
        <v>27</v>
      </c>
      <c r="Q164" s="3" t="s">
        <v>5079</v>
      </c>
      <c r="R164" s="3" t="s">
        <v>396</v>
      </c>
      <c r="S164" s="3" t="s">
        <v>982</v>
      </c>
      <c r="T164" s="3" t="s">
        <v>1136</v>
      </c>
      <c r="U164" s="3" t="s">
        <v>43</v>
      </c>
      <c r="V164" s="3" t="s">
        <v>27</v>
      </c>
      <c r="W164" s="2"/>
      <c r="X164" s="2"/>
      <c r="Y164" s="2"/>
    </row>
    <row r="165" spans="1:25" x14ac:dyDescent="0.2">
      <c r="A165" s="3">
        <v>562</v>
      </c>
      <c r="B165" s="4" t="s">
        <v>1137</v>
      </c>
      <c r="C165" s="3" t="s">
        <v>1138</v>
      </c>
      <c r="D165" s="3" t="s">
        <v>5788</v>
      </c>
      <c r="E165" s="3" t="s">
        <v>1139</v>
      </c>
      <c r="F165" s="3" t="s">
        <v>5789</v>
      </c>
      <c r="G165" s="3" t="s">
        <v>1140</v>
      </c>
      <c r="H165" s="2"/>
      <c r="I165" s="2"/>
      <c r="J165" s="3" t="s">
        <v>393</v>
      </c>
      <c r="K165" s="3" t="s">
        <v>453</v>
      </c>
      <c r="L165" s="3" t="s">
        <v>453</v>
      </c>
      <c r="M165" s="2"/>
      <c r="N165" s="2"/>
      <c r="O165" s="3" t="s">
        <v>39</v>
      </c>
      <c r="P165" s="3" t="s">
        <v>395</v>
      </c>
      <c r="Q165" s="3" t="s">
        <v>5324</v>
      </c>
      <c r="R165" s="3" t="s">
        <v>396</v>
      </c>
      <c r="S165" s="3" t="s">
        <v>982</v>
      </c>
      <c r="T165" s="3" t="s">
        <v>1141</v>
      </c>
      <c r="U165" s="3" t="s">
        <v>43</v>
      </c>
      <c r="V165" s="3" t="s">
        <v>1109</v>
      </c>
      <c r="W165" s="2"/>
      <c r="X165" s="2"/>
      <c r="Y165" s="2"/>
    </row>
    <row r="166" spans="1:25" x14ac:dyDescent="0.2">
      <c r="A166" s="3">
        <v>564</v>
      </c>
      <c r="B166" s="4" t="s">
        <v>1142</v>
      </c>
      <c r="C166" s="3" t="s">
        <v>1143</v>
      </c>
      <c r="D166" s="3" t="s">
        <v>5791</v>
      </c>
      <c r="E166" s="3" t="s">
        <v>1144</v>
      </c>
      <c r="F166" s="3" t="s">
        <v>5792</v>
      </c>
      <c r="G166" s="3" t="s">
        <v>1145</v>
      </c>
      <c r="H166" s="2"/>
      <c r="I166" s="2"/>
      <c r="J166" s="3" t="s">
        <v>393</v>
      </c>
      <c r="K166" s="3" t="s">
        <v>453</v>
      </c>
      <c r="L166" s="3" t="s">
        <v>453</v>
      </c>
      <c r="M166" s="2"/>
      <c r="N166" s="2"/>
      <c r="O166" s="3" t="s">
        <v>39</v>
      </c>
      <c r="P166" s="3" t="s">
        <v>811</v>
      </c>
      <c r="Q166" s="3" t="s">
        <v>5079</v>
      </c>
      <c r="R166" s="3" t="s">
        <v>396</v>
      </c>
      <c r="S166" s="3" t="s">
        <v>982</v>
      </c>
      <c r="T166" s="3" t="s">
        <v>1146</v>
      </c>
      <c r="U166" s="3" t="s">
        <v>43</v>
      </c>
      <c r="V166" s="3" t="s">
        <v>27</v>
      </c>
      <c r="W166" s="2"/>
      <c r="X166" s="2"/>
      <c r="Y166" s="2"/>
    </row>
    <row r="167" spans="1:25" x14ac:dyDescent="0.2">
      <c r="A167" s="3">
        <v>565</v>
      </c>
      <c r="B167" s="4" t="s">
        <v>1147</v>
      </c>
      <c r="C167" s="3" t="s">
        <v>1148</v>
      </c>
      <c r="D167" s="3" t="s">
        <v>5794</v>
      </c>
      <c r="E167" s="3" t="s">
        <v>1149</v>
      </c>
      <c r="F167" s="3" t="s">
        <v>5795</v>
      </c>
      <c r="G167" s="3" t="s">
        <v>1150</v>
      </c>
      <c r="H167" s="2"/>
      <c r="I167" s="2"/>
      <c r="J167" s="3" t="s">
        <v>393</v>
      </c>
      <c r="K167" s="3" t="s">
        <v>453</v>
      </c>
      <c r="L167" s="3" t="s">
        <v>453</v>
      </c>
      <c r="M167" s="2"/>
      <c r="N167" s="2"/>
      <c r="O167" s="3" t="s">
        <v>26</v>
      </c>
      <c r="P167" s="3" t="s">
        <v>395</v>
      </c>
      <c r="Q167" s="3" t="s">
        <v>5324</v>
      </c>
      <c r="R167" s="3" t="s">
        <v>396</v>
      </c>
      <c r="S167" s="3" t="s">
        <v>982</v>
      </c>
      <c r="T167" s="3" t="s">
        <v>1151</v>
      </c>
      <c r="U167" s="3" t="s">
        <v>43</v>
      </c>
      <c r="V167" s="3" t="s">
        <v>1109</v>
      </c>
      <c r="W167" s="2"/>
      <c r="X167" s="2"/>
      <c r="Y167" s="2"/>
    </row>
    <row r="168" spans="1:25" x14ac:dyDescent="0.2">
      <c r="A168" s="3">
        <v>1021</v>
      </c>
      <c r="B168" s="4" t="s">
        <v>1152</v>
      </c>
      <c r="C168" s="3" t="s">
        <v>1153</v>
      </c>
      <c r="D168" s="3" t="s">
        <v>5797</v>
      </c>
      <c r="E168" s="3" t="s">
        <v>1154</v>
      </c>
      <c r="F168" s="3" t="s">
        <v>5798</v>
      </c>
      <c r="G168" s="3" t="s">
        <v>1155</v>
      </c>
      <c r="H168" s="2"/>
      <c r="I168" s="2"/>
      <c r="J168" s="3" t="s">
        <v>393</v>
      </c>
      <c r="K168" s="3" t="s">
        <v>1156</v>
      </c>
      <c r="L168" s="3" t="s">
        <v>1156</v>
      </c>
      <c r="M168" s="2"/>
      <c r="N168" s="4" t="s">
        <v>1157</v>
      </c>
      <c r="O168" s="3" t="s">
        <v>26</v>
      </c>
      <c r="P168" s="3" t="s">
        <v>60</v>
      </c>
      <c r="Q168" s="3" t="s">
        <v>5100</v>
      </c>
      <c r="R168" s="3" t="s">
        <v>396</v>
      </c>
      <c r="S168" s="3" t="s">
        <v>405</v>
      </c>
      <c r="T168" s="3" t="s">
        <v>1158</v>
      </c>
      <c r="U168" s="3" t="s">
        <v>1159</v>
      </c>
      <c r="V168" s="3" t="s">
        <v>60</v>
      </c>
      <c r="W168" s="3" t="s">
        <v>1160</v>
      </c>
      <c r="X168" s="2"/>
      <c r="Y168" s="2"/>
    </row>
    <row r="169" spans="1:25" x14ac:dyDescent="0.2">
      <c r="A169" s="3">
        <v>2114</v>
      </c>
      <c r="B169" s="6" t="s">
        <v>1161</v>
      </c>
      <c r="C169" s="3" t="s">
        <v>1162</v>
      </c>
      <c r="D169" s="3" t="s">
        <v>5802</v>
      </c>
      <c r="E169" s="3" t="s">
        <v>1163</v>
      </c>
      <c r="F169" s="3" t="s">
        <v>5803</v>
      </c>
      <c r="G169" s="3" t="s">
        <v>216</v>
      </c>
      <c r="H169" s="3" t="s">
        <v>216</v>
      </c>
      <c r="I169" s="3" t="s">
        <v>216</v>
      </c>
      <c r="J169" s="3" t="s">
        <v>393</v>
      </c>
      <c r="K169" s="3" t="s">
        <v>1164</v>
      </c>
      <c r="L169" s="3" t="s">
        <v>1164</v>
      </c>
      <c r="M169" s="2"/>
      <c r="N169" s="6" t="s">
        <v>1165</v>
      </c>
      <c r="O169" s="3" t="s">
        <v>26</v>
      </c>
      <c r="P169" s="3" t="s">
        <v>105</v>
      </c>
      <c r="Q169" s="3" t="s">
        <v>5128</v>
      </c>
      <c r="R169" s="3" t="s">
        <v>396</v>
      </c>
      <c r="S169" s="3" t="s">
        <v>397</v>
      </c>
      <c r="T169" s="3" t="s">
        <v>1166</v>
      </c>
      <c r="U169" s="3" t="s">
        <v>43</v>
      </c>
      <c r="V169" s="3" t="s">
        <v>613</v>
      </c>
      <c r="W169" s="2"/>
      <c r="X169" s="2"/>
      <c r="Y169" s="2"/>
    </row>
    <row r="170" spans="1:25" x14ac:dyDescent="0.2">
      <c r="A170" s="3">
        <v>2115</v>
      </c>
      <c r="B170" s="4" t="s">
        <v>1167</v>
      </c>
      <c r="C170" s="3" t="s">
        <v>1168</v>
      </c>
      <c r="D170" s="3" t="s">
        <v>5805</v>
      </c>
      <c r="E170" s="3" t="s">
        <v>1169</v>
      </c>
      <c r="F170" s="3" t="s">
        <v>5806</v>
      </c>
      <c r="G170" s="3" t="s">
        <v>199</v>
      </c>
      <c r="H170" s="3" t="s">
        <v>650</v>
      </c>
      <c r="I170" s="3" t="s">
        <v>199</v>
      </c>
      <c r="J170" s="3" t="s">
        <v>393</v>
      </c>
      <c r="K170" s="3" t="s">
        <v>1164</v>
      </c>
      <c r="L170" s="3" t="s">
        <v>1164</v>
      </c>
      <c r="M170" s="2"/>
      <c r="N170" s="6" t="s">
        <v>1170</v>
      </c>
      <c r="O170" s="3" t="s">
        <v>412</v>
      </c>
      <c r="P170" s="3" t="s">
        <v>105</v>
      </c>
      <c r="Q170" s="3" t="s">
        <v>5128</v>
      </c>
      <c r="R170" s="3" t="s">
        <v>396</v>
      </c>
      <c r="S170" s="3" t="s">
        <v>455</v>
      </c>
      <c r="T170" s="3" t="s">
        <v>1171</v>
      </c>
      <c r="U170" s="3" t="s">
        <v>43</v>
      </c>
      <c r="V170" s="3" t="s">
        <v>1172</v>
      </c>
      <c r="W170" s="2"/>
      <c r="X170" s="2"/>
      <c r="Y170" s="2"/>
    </row>
    <row r="171" spans="1:25" x14ac:dyDescent="0.2">
      <c r="A171" s="3">
        <v>2117</v>
      </c>
      <c r="B171" s="6" t="s">
        <v>1173</v>
      </c>
      <c r="C171" s="3" t="s">
        <v>1174</v>
      </c>
      <c r="D171" s="3" t="s">
        <v>5808</v>
      </c>
      <c r="E171" s="3" t="s">
        <v>1175</v>
      </c>
      <c r="F171" s="3" t="s">
        <v>5809</v>
      </c>
      <c r="G171" s="3" t="s">
        <v>1176</v>
      </c>
      <c r="H171" s="3" t="s">
        <v>1176</v>
      </c>
      <c r="I171" s="3" t="s">
        <v>1176</v>
      </c>
      <c r="J171" s="3" t="s">
        <v>393</v>
      </c>
      <c r="K171" s="3" t="s">
        <v>1164</v>
      </c>
      <c r="L171" s="3" t="s">
        <v>1164</v>
      </c>
      <c r="M171" s="2"/>
      <c r="N171" s="6" t="s">
        <v>1177</v>
      </c>
      <c r="O171" s="3" t="s">
        <v>412</v>
      </c>
      <c r="P171" s="3" t="s">
        <v>1178</v>
      </c>
      <c r="Q171" s="3" t="s">
        <v>5810</v>
      </c>
      <c r="R171" s="3" t="s">
        <v>396</v>
      </c>
      <c r="S171" s="3" t="s">
        <v>397</v>
      </c>
      <c r="T171" s="3" t="s">
        <v>1179</v>
      </c>
      <c r="U171" s="3" t="s">
        <v>43</v>
      </c>
      <c r="V171" s="3" t="s">
        <v>1180</v>
      </c>
      <c r="W171" s="2"/>
      <c r="X171" s="2"/>
      <c r="Y171" s="2"/>
    </row>
    <row r="172" spans="1:25" x14ac:dyDescent="0.2">
      <c r="A172" s="3">
        <v>2118</v>
      </c>
      <c r="B172" s="4" t="s">
        <v>1181</v>
      </c>
      <c r="C172" s="3" t="s">
        <v>1182</v>
      </c>
      <c r="D172" s="3" t="s">
        <v>5813</v>
      </c>
      <c r="E172" s="3" t="s">
        <v>1183</v>
      </c>
      <c r="F172" s="3" t="s">
        <v>5814</v>
      </c>
      <c r="G172" s="3" t="s">
        <v>1184</v>
      </c>
      <c r="H172" s="3" t="s">
        <v>1184</v>
      </c>
      <c r="I172" s="3" t="s">
        <v>1184</v>
      </c>
      <c r="J172" s="3" t="s">
        <v>393</v>
      </c>
      <c r="K172" s="3" t="s">
        <v>1164</v>
      </c>
      <c r="L172" s="3" t="s">
        <v>1164</v>
      </c>
      <c r="M172" s="2"/>
      <c r="N172" s="6" t="s">
        <v>1185</v>
      </c>
      <c r="O172" s="3" t="s">
        <v>1011</v>
      </c>
      <c r="P172" s="3" t="s">
        <v>71</v>
      </c>
      <c r="Q172" s="3" t="s">
        <v>5107</v>
      </c>
      <c r="R172" s="3" t="s">
        <v>396</v>
      </c>
      <c r="S172" s="3" t="s">
        <v>1186</v>
      </c>
      <c r="T172" s="3" t="s">
        <v>1187</v>
      </c>
      <c r="U172" s="3" t="s">
        <v>43</v>
      </c>
      <c r="V172" s="3" t="s">
        <v>71</v>
      </c>
      <c r="W172" s="2"/>
      <c r="X172" s="2"/>
      <c r="Y172" s="2"/>
    </row>
    <row r="173" spans="1:25" x14ac:dyDescent="0.2">
      <c r="A173" s="3">
        <v>9</v>
      </c>
      <c r="B173" s="4" t="s">
        <v>1188</v>
      </c>
      <c r="C173" s="3" t="s">
        <v>1189</v>
      </c>
      <c r="D173" s="3" t="s">
        <v>5817</v>
      </c>
      <c r="E173" s="3" t="s">
        <v>1190</v>
      </c>
      <c r="F173" s="3" t="s">
        <v>5818</v>
      </c>
      <c r="G173" s="3" t="s">
        <v>1191</v>
      </c>
      <c r="H173" s="3" t="s">
        <v>1192</v>
      </c>
      <c r="I173" s="3" t="s">
        <v>1192</v>
      </c>
      <c r="J173" s="3" t="s">
        <v>1193</v>
      </c>
      <c r="K173" s="3" t="s">
        <v>1193</v>
      </c>
      <c r="L173" s="3" t="s">
        <v>5820</v>
      </c>
      <c r="M173" s="2"/>
      <c r="N173" s="2"/>
      <c r="O173" s="3" t="s">
        <v>39</v>
      </c>
      <c r="P173" s="2"/>
      <c r="Q173" s="3">
        <v>0</v>
      </c>
      <c r="R173" s="3" t="s">
        <v>72</v>
      </c>
      <c r="S173" s="3" t="s">
        <v>397</v>
      </c>
      <c r="T173" s="3" t="s">
        <v>1194</v>
      </c>
      <c r="U173" s="2"/>
      <c r="V173" s="2"/>
      <c r="W173" s="2"/>
      <c r="X173" s="2"/>
      <c r="Y173" s="2"/>
    </row>
    <row r="174" spans="1:25" x14ac:dyDescent="0.2">
      <c r="A174" s="3">
        <v>2</v>
      </c>
      <c r="B174" s="4" t="s">
        <v>1195</v>
      </c>
      <c r="C174" s="3" t="s">
        <v>1196</v>
      </c>
      <c r="D174" s="3" t="s">
        <v>5822</v>
      </c>
      <c r="E174" s="3" t="s">
        <v>1197</v>
      </c>
      <c r="F174" s="3" t="s">
        <v>5823</v>
      </c>
      <c r="G174" s="3" t="s">
        <v>1198</v>
      </c>
      <c r="H174" s="2"/>
      <c r="I174" s="2"/>
      <c r="J174" s="3" t="s">
        <v>1199</v>
      </c>
      <c r="K174" s="3" t="s">
        <v>1200</v>
      </c>
      <c r="L174" s="3" t="s">
        <v>5825</v>
      </c>
      <c r="M174" s="2"/>
      <c r="N174" s="2"/>
      <c r="O174" s="3" t="s">
        <v>39</v>
      </c>
      <c r="P174" s="3" t="s">
        <v>60</v>
      </c>
      <c r="Q174" s="3" t="s">
        <v>5100</v>
      </c>
      <c r="R174" s="3" t="s">
        <v>72</v>
      </c>
      <c r="S174" s="3" t="s">
        <v>29</v>
      </c>
      <c r="T174" s="3" t="s">
        <v>1201</v>
      </c>
      <c r="U174" s="3" t="s">
        <v>1202</v>
      </c>
      <c r="V174" s="3" t="s">
        <v>60</v>
      </c>
      <c r="W174" s="2"/>
      <c r="X174" s="2"/>
      <c r="Y174" s="2"/>
    </row>
    <row r="175" spans="1:25" x14ac:dyDescent="0.2">
      <c r="A175" s="3">
        <v>7</v>
      </c>
      <c r="B175" s="4" t="s">
        <v>1203</v>
      </c>
      <c r="C175" s="3" t="s">
        <v>1204</v>
      </c>
      <c r="D175" s="3" t="s">
        <v>5827</v>
      </c>
      <c r="E175" s="3" t="s">
        <v>1205</v>
      </c>
      <c r="F175" s="3" t="s">
        <v>5828</v>
      </c>
      <c r="G175" s="3" t="s">
        <v>1206</v>
      </c>
      <c r="H175" s="2"/>
      <c r="I175" s="2"/>
      <c r="J175" s="3" t="s">
        <v>258</v>
      </c>
      <c r="K175" s="3" t="s">
        <v>1207</v>
      </c>
      <c r="L175" s="3" t="s">
        <v>5829</v>
      </c>
      <c r="M175" s="2"/>
      <c r="N175" s="2"/>
      <c r="O175" s="3" t="s">
        <v>39</v>
      </c>
      <c r="P175" s="3" t="s">
        <v>60</v>
      </c>
      <c r="Q175" s="3" t="s">
        <v>5100</v>
      </c>
      <c r="R175" s="3" t="s">
        <v>72</v>
      </c>
      <c r="S175" s="3" t="s">
        <v>413</v>
      </c>
      <c r="T175" s="3" t="s">
        <v>1201</v>
      </c>
      <c r="U175" s="3" t="s">
        <v>253</v>
      </c>
      <c r="V175" s="3" t="s">
        <v>60</v>
      </c>
      <c r="W175" s="3" t="s">
        <v>1208</v>
      </c>
      <c r="X175" s="2"/>
      <c r="Y175" s="2"/>
    </row>
    <row r="176" spans="1:25" x14ac:dyDescent="0.2">
      <c r="A176" s="3">
        <v>94</v>
      </c>
      <c r="B176" s="4" t="s">
        <v>1209</v>
      </c>
      <c r="C176" s="3" t="s">
        <v>1210</v>
      </c>
      <c r="D176" s="3" t="s">
        <v>5831</v>
      </c>
      <c r="E176" s="3" t="s">
        <v>1211</v>
      </c>
      <c r="F176" s="3" t="s">
        <v>5832</v>
      </c>
      <c r="G176" s="3" t="s">
        <v>1212</v>
      </c>
      <c r="H176" s="2"/>
      <c r="I176" s="2"/>
      <c r="J176" s="3" t="s">
        <v>1213</v>
      </c>
      <c r="K176" s="3" t="s">
        <v>1214</v>
      </c>
      <c r="L176" s="3" t="s">
        <v>5833</v>
      </c>
      <c r="M176" s="2"/>
      <c r="N176" s="2"/>
      <c r="O176" s="3" t="s">
        <v>26</v>
      </c>
      <c r="P176" s="3" t="s">
        <v>212</v>
      </c>
      <c r="Q176" s="3" t="s">
        <v>5193</v>
      </c>
      <c r="R176" s="3" t="s">
        <v>1215</v>
      </c>
      <c r="S176" s="3" t="s">
        <v>413</v>
      </c>
      <c r="T176" s="3" t="s">
        <v>1216</v>
      </c>
      <c r="U176" s="3" t="s">
        <v>1217</v>
      </c>
      <c r="V176" s="3" t="s">
        <v>1218</v>
      </c>
      <c r="W176" s="2"/>
      <c r="X176" s="2"/>
      <c r="Y176" s="2"/>
    </row>
    <row r="177" spans="1:25" x14ac:dyDescent="0.2">
      <c r="A177" s="3">
        <v>91</v>
      </c>
      <c r="B177" s="4" t="s">
        <v>1219</v>
      </c>
      <c r="C177" s="3" t="s">
        <v>1220</v>
      </c>
      <c r="D177" s="3" t="s">
        <v>5837</v>
      </c>
      <c r="E177" s="3" t="s">
        <v>1221</v>
      </c>
      <c r="F177" s="3" t="s">
        <v>5838</v>
      </c>
      <c r="G177" s="3" t="s">
        <v>1222</v>
      </c>
      <c r="H177" s="2"/>
      <c r="I177" s="2"/>
      <c r="J177" s="3" t="s">
        <v>1223</v>
      </c>
      <c r="K177" s="3" t="s">
        <v>1224</v>
      </c>
      <c r="L177" s="3" t="s">
        <v>5839</v>
      </c>
      <c r="M177" s="2"/>
      <c r="N177" s="2"/>
      <c r="O177" s="3" t="s">
        <v>26</v>
      </c>
      <c r="P177" s="3" t="s">
        <v>439</v>
      </c>
      <c r="Q177" s="3" t="s">
        <v>5352</v>
      </c>
      <c r="R177" s="3" t="s">
        <v>1225</v>
      </c>
      <c r="S177" s="3" t="s">
        <v>982</v>
      </c>
      <c r="T177" s="3" t="s">
        <v>1226</v>
      </c>
      <c r="U177" s="3" t="s">
        <v>1227</v>
      </c>
      <c r="V177" s="3" t="s">
        <v>1228</v>
      </c>
      <c r="W177" s="2"/>
      <c r="X177" s="2"/>
      <c r="Y177" s="2"/>
    </row>
    <row r="178" spans="1:25" x14ac:dyDescent="0.2">
      <c r="A178" s="3">
        <v>812</v>
      </c>
      <c r="B178" s="4" t="s">
        <v>1229</v>
      </c>
      <c r="C178" s="3" t="s">
        <v>1230</v>
      </c>
      <c r="D178" s="3" t="s">
        <v>5844</v>
      </c>
      <c r="E178" s="3" t="s">
        <v>1231</v>
      </c>
      <c r="F178" s="3" t="s">
        <v>5845</v>
      </c>
      <c r="G178" s="7">
        <v>45442</v>
      </c>
      <c r="H178" s="7">
        <v>45442</v>
      </c>
      <c r="I178" s="7">
        <v>45442</v>
      </c>
      <c r="J178" s="3" t="s">
        <v>393</v>
      </c>
      <c r="K178" s="3" t="s">
        <v>453</v>
      </c>
      <c r="L178" s="3" t="s">
        <v>453</v>
      </c>
      <c r="M178" s="2"/>
      <c r="N178" s="2"/>
      <c r="O178" s="3" t="s">
        <v>26</v>
      </c>
      <c r="P178" s="3" t="s">
        <v>439</v>
      </c>
      <c r="Q178" s="3" t="s">
        <v>5352</v>
      </c>
      <c r="R178" s="3" t="s">
        <v>396</v>
      </c>
      <c r="S178" s="3" t="s">
        <v>455</v>
      </c>
      <c r="T178" s="3" t="s">
        <v>1232</v>
      </c>
      <c r="U178" s="3" t="s">
        <v>43</v>
      </c>
      <c r="V178" s="3" t="s">
        <v>439</v>
      </c>
      <c r="W178" s="2"/>
      <c r="X178" s="2"/>
      <c r="Y178" s="2"/>
    </row>
    <row r="179" spans="1:25" x14ac:dyDescent="0.2">
      <c r="A179" s="3">
        <v>813</v>
      </c>
      <c r="B179" s="4" t="s">
        <v>1233</v>
      </c>
      <c r="C179" s="3" t="s">
        <v>1234</v>
      </c>
      <c r="D179" s="3" t="s">
        <v>5847</v>
      </c>
      <c r="E179" s="3" t="s">
        <v>1235</v>
      </c>
      <c r="F179" s="3" t="s">
        <v>5848</v>
      </c>
      <c r="G179" s="7">
        <v>45443</v>
      </c>
      <c r="H179" s="7">
        <v>45352</v>
      </c>
      <c r="I179" s="7">
        <v>45382</v>
      </c>
      <c r="J179" s="3" t="s">
        <v>393</v>
      </c>
      <c r="K179" s="3" t="s">
        <v>453</v>
      </c>
      <c r="L179" s="3" t="s">
        <v>453</v>
      </c>
      <c r="M179" s="2"/>
      <c r="N179" s="2"/>
      <c r="O179" s="3" t="s">
        <v>26</v>
      </c>
      <c r="P179" s="3" t="s">
        <v>71</v>
      </c>
      <c r="Q179" s="3" t="s">
        <v>5107</v>
      </c>
      <c r="R179" s="3" t="s">
        <v>396</v>
      </c>
      <c r="S179" s="3" t="s">
        <v>455</v>
      </c>
      <c r="T179" s="3" t="s">
        <v>1236</v>
      </c>
      <c r="U179" s="3" t="s">
        <v>43</v>
      </c>
      <c r="V179" s="3" t="s">
        <v>71</v>
      </c>
      <c r="W179" s="2"/>
      <c r="X179" s="2"/>
      <c r="Y179" s="2"/>
    </row>
    <row r="180" spans="1:25" x14ac:dyDescent="0.2">
      <c r="A180" s="3">
        <v>814</v>
      </c>
      <c r="B180" s="4" t="s">
        <v>1237</v>
      </c>
      <c r="C180" s="3" t="s">
        <v>1238</v>
      </c>
      <c r="D180" s="3" t="s">
        <v>5850</v>
      </c>
      <c r="E180" s="3" t="s">
        <v>1239</v>
      </c>
      <c r="F180" s="3" t="s">
        <v>5851</v>
      </c>
      <c r="G180" s="7">
        <v>45444</v>
      </c>
      <c r="H180" s="3" t="s">
        <v>1069</v>
      </c>
      <c r="I180" s="3" t="s">
        <v>1069</v>
      </c>
      <c r="J180" s="3" t="s">
        <v>393</v>
      </c>
      <c r="K180" s="3" t="s">
        <v>453</v>
      </c>
      <c r="L180" s="3" t="s">
        <v>453</v>
      </c>
      <c r="M180" s="2"/>
      <c r="N180" s="2"/>
      <c r="O180" s="3" t="s">
        <v>26</v>
      </c>
      <c r="P180" s="3" t="s">
        <v>71</v>
      </c>
      <c r="Q180" s="3" t="s">
        <v>5107</v>
      </c>
      <c r="R180" s="3" t="s">
        <v>396</v>
      </c>
      <c r="S180" s="3" t="s">
        <v>455</v>
      </c>
      <c r="T180" s="3" t="s">
        <v>1240</v>
      </c>
      <c r="U180" s="3" t="s">
        <v>43</v>
      </c>
      <c r="V180" s="3" t="s">
        <v>71</v>
      </c>
      <c r="W180" s="2"/>
      <c r="X180" s="2"/>
      <c r="Y180" s="2"/>
    </row>
    <row r="181" spans="1:25" x14ac:dyDescent="0.2">
      <c r="A181" s="3">
        <v>815</v>
      </c>
      <c r="B181" s="4" t="s">
        <v>1241</v>
      </c>
      <c r="C181" s="3" t="s">
        <v>1242</v>
      </c>
      <c r="D181" s="3" t="s">
        <v>5853</v>
      </c>
      <c r="E181" s="3" t="s">
        <v>1243</v>
      </c>
      <c r="F181" s="3" t="s">
        <v>5854</v>
      </c>
      <c r="G181" s="7">
        <v>45444</v>
      </c>
      <c r="H181" s="2"/>
      <c r="I181" s="2"/>
      <c r="J181" s="3" t="s">
        <v>393</v>
      </c>
      <c r="K181" s="3" t="s">
        <v>453</v>
      </c>
      <c r="L181" s="3" t="s">
        <v>453</v>
      </c>
      <c r="M181" s="2"/>
      <c r="N181" s="2"/>
      <c r="O181" s="3" t="s">
        <v>26</v>
      </c>
      <c r="P181" s="3" t="s">
        <v>71</v>
      </c>
      <c r="Q181" s="3" t="s">
        <v>5107</v>
      </c>
      <c r="R181" s="3" t="s">
        <v>396</v>
      </c>
      <c r="S181" s="3" t="s">
        <v>455</v>
      </c>
      <c r="T181" s="3" t="s">
        <v>1240</v>
      </c>
      <c r="U181" s="3" t="s">
        <v>43</v>
      </c>
      <c r="V181" s="3" t="s">
        <v>71</v>
      </c>
      <c r="W181" s="2"/>
      <c r="X181" s="2"/>
      <c r="Y181" s="2"/>
    </row>
    <row r="182" spans="1:25" x14ac:dyDescent="0.2">
      <c r="A182" s="3">
        <v>816</v>
      </c>
      <c r="B182" s="4" t="s">
        <v>1244</v>
      </c>
      <c r="C182" s="3" t="s">
        <v>1245</v>
      </c>
      <c r="D182" s="3" t="s">
        <v>5855</v>
      </c>
      <c r="E182" s="3" t="s">
        <v>1246</v>
      </c>
      <c r="F182" s="3" t="s">
        <v>5856</v>
      </c>
      <c r="G182" s="3" t="s">
        <v>1247</v>
      </c>
      <c r="H182" s="2"/>
      <c r="I182" s="2"/>
      <c r="J182" s="3" t="s">
        <v>393</v>
      </c>
      <c r="K182" s="3" t="s">
        <v>453</v>
      </c>
      <c r="L182" s="3" t="s">
        <v>453</v>
      </c>
      <c r="M182" s="2"/>
      <c r="N182" s="2"/>
      <c r="O182" s="3" t="s">
        <v>26</v>
      </c>
      <c r="P182" s="3" t="s">
        <v>27</v>
      </c>
      <c r="Q182" s="3" t="s">
        <v>5079</v>
      </c>
      <c r="R182" s="3" t="s">
        <v>396</v>
      </c>
      <c r="S182" s="3" t="s">
        <v>397</v>
      </c>
      <c r="T182" s="3" t="s">
        <v>1248</v>
      </c>
      <c r="U182" s="3" t="s">
        <v>43</v>
      </c>
      <c r="V182" s="3" t="s">
        <v>27</v>
      </c>
      <c r="W182" s="2"/>
      <c r="X182" s="2"/>
      <c r="Y182" s="2"/>
    </row>
    <row r="183" spans="1:25" x14ac:dyDescent="0.2">
      <c r="A183" s="3">
        <v>466</v>
      </c>
      <c r="B183" s="4" t="s">
        <v>1249</v>
      </c>
      <c r="C183" s="3" t="s">
        <v>1250</v>
      </c>
      <c r="D183" s="3" t="s">
        <v>5858</v>
      </c>
      <c r="E183" s="3" t="s">
        <v>1251</v>
      </c>
      <c r="F183" s="3" t="s">
        <v>5859</v>
      </c>
      <c r="G183" s="3" t="s">
        <v>1252</v>
      </c>
      <c r="H183" s="2"/>
      <c r="I183" s="2"/>
      <c r="J183" s="3" t="s">
        <v>393</v>
      </c>
      <c r="K183" s="3" t="s">
        <v>659</v>
      </c>
      <c r="L183" s="3" t="s">
        <v>659</v>
      </c>
      <c r="M183" s="2"/>
      <c r="N183" s="2"/>
      <c r="O183" s="3" t="s">
        <v>26</v>
      </c>
      <c r="P183" s="3" t="s">
        <v>27</v>
      </c>
      <c r="Q183" s="3" t="s">
        <v>5079</v>
      </c>
      <c r="R183" s="3" t="s">
        <v>396</v>
      </c>
      <c r="S183" s="3" t="s">
        <v>397</v>
      </c>
      <c r="T183" s="3" t="s">
        <v>1253</v>
      </c>
      <c r="U183" s="3" t="s">
        <v>43</v>
      </c>
      <c r="V183" s="3" t="s">
        <v>27</v>
      </c>
      <c r="W183" s="2"/>
      <c r="X183" s="2"/>
      <c r="Y183" s="2"/>
    </row>
    <row r="184" spans="1:25" x14ac:dyDescent="0.2">
      <c r="A184" s="3">
        <v>2216</v>
      </c>
      <c r="B184" s="4" t="s">
        <v>1254</v>
      </c>
      <c r="C184" s="3" t="s">
        <v>1255</v>
      </c>
      <c r="D184" s="3" t="s">
        <v>5861</v>
      </c>
      <c r="E184" s="3" t="s">
        <v>1256</v>
      </c>
      <c r="F184" s="3" t="s">
        <v>5862</v>
      </c>
      <c r="G184" s="3" t="s">
        <v>1257</v>
      </c>
      <c r="H184" s="3" t="s">
        <v>1257</v>
      </c>
      <c r="I184" s="3" t="s">
        <v>1257</v>
      </c>
      <c r="J184" s="3" t="s">
        <v>393</v>
      </c>
      <c r="K184" s="3" t="s">
        <v>1258</v>
      </c>
      <c r="L184" s="3" t="s">
        <v>1258</v>
      </c>
      <c r="M184" s="2"/>
      <c r="N184" s="2"/>
      <c r="O184" s="3" t="s">
        <v>26</v>
      </c>
      <c r="P184" s="3" t="s">
        <v>71</v>
      </c>
      <c r="Q184" s="3" t="s">
        <v>5107</v>
      </c>
      <c r="R184" s="3" t="s">
        <v>396</v>
      </c>
      <c r="S184" s="3" t="s">
        <v>405</v>
      </c>
      <c r="T184" s="3" t="s">
        <v>1259</v>
      </c>
      <c r="U184" s="3" t="s">
        <v>43</v>
      </c>
      <c r="V184" s="3" t="s">
        <v>71</v>
      </c>
      <c r="W184" s="2"/>
      <c r="X184" s="2"/>
      <c r="Y184" s="2"/>
    </row>
    <row r="185" spans="1:25" x14ac:dyDescent="0.2">
      <c r="A185" s="3">
        <v>2217</v>
      </c>
      <c r="B185" s="4" t="s">
        <v>1260</v>
      </c>
      <c r="C185" s="3" t="s">
        <v>1261</v>
      </c>
      <c r="D185" s="3" t="s">
        <v>5864</v>
      </c>
      <c r="E185" s="3" t="s">
        <v>1262</v>
      </c>
      <c r="F185" s="3" t="s">
        <v>5865</v>
      </c>
      <c r="G185" s="3" t="s">
        <v>1257</v>
      </c>
      <c r="H185" s="3" t="s">
        <v>1257</v>
      </c>
      <c r="I185" s="3" t="s">
        <v>1257</v>
      </c>
      <c r="J185" s="3" t="s">
        <v>393</v>
      </c>
      <c r="K185" s="3" t="s">
        <v>1258</v>
      </c>
      <c r="L185" s="3" t="s">
        <v>1258</v>
      </c>
      <c r="M185" s="2"/>
      <c r="N185" s="2"/>
      <c r="O185" s="3" t="s">
        <v>1011</v>
      </c>
      <c r="P185" s="3" t="s">
        <v>27</v>
      </c>
      <c r="Q185" s="3" t="s">
        <v>5079</v>
      </c>
      <c r="R185" s="3" t="s">
        <v>396</v>
      </c>
      <c r="S185" s="3" t="s">
        <v>405</v>
      </c>
      <c r="T185" s="3" t="s">
        <v>1263</v>
      </c>
      <c r="U185" s="3" t="s">
        <v>43</v>
      </c>
      <c r="V185" s="3" t="s">
        <v>27</v>
      </c>
      <c r="W185" s="2"/>
      <c r="X185" s="2"/>
      <c r="Y185" s="2"/>
    </row>
    <row r="186" spans="1:25" x14ac:dyDescent="0.2">
      <c r="A186" s="3">
        <v>566</v>
      </c>
      <c r="B186" s="4" t="s">
        <v>1264</v>
      </c>
      <c r="C186" s="3" t="s">
        <v>1265</v>
      </c>
      <c r="D186" s="3" t="s">
        <v>5867</v>
      </c>
      <c r="E186" s="3" t="s">
        <v>1266</v>
      </c>
      <c r="F186" s="3" t="s">
        <v>5868</v>
      </c>
      <c r="G186" s="3" t="s">
        <v>1267</v>
      </c>
      <c r="H186" s="3" t="s">
        <v>1268</v>
      </c>
      <c r="I186" s="3" t="s">
        <v>1267</v>
      </c>
      <c r="J186" s="3" t="s">
        <v>393</v>
      </c>
      <c r="K186" s="3" t="s">
        <v>453</v>
      </c>
      <c r="L186" s="3" t="s">
        <v>453</v>
      </c>
      <c r="M186" s="2"/>
      <c r="N186" s="6" t="s">
        <v>1269</v>
      </c>
      <c r="O186" s="3" t="s">
        <v>645</v>
      </c>
      <c r="P186" s="3" t="s">
        <v>27</v>
      </c>
      <c r="Q186" s="3" t="s">
        <v>5079</v>
      </c>
      <c r="R186" s="3" t="s">
        <v>396</v>
      </c>
      <c r="S186" s="3" t="s">
        <v>982</v>
      </c>
      <c r="T186" s="3" t="s">
        <v>1270</v>
      </c>
      <c r="U186" s="3" t="s">
        <v>782</v>
      </c>
      <c r="V186" s="3" t="s">
        <v>1271</v>
      </c>
      <c r="W186" s="2"/>
      <c r="X186" s="2"/>
      <c r="Y186" s="2"/>
    </row>
    <row r="187" spans="1:25" x14ac:dyDescent="0.2">
      <c r="A187" s="3">
        <v>567</v>
      </c>
      <c r="B187" s="4" t="s">
        <v>1272</v>
      </c>
      <c r="C187" s="3" t="s">
        <v>1273</v>
      </c>
      <c r="D187" s="3" t="s">
        <v>5871</v>
      </c>
      <c r="E187" s="3" t="s">
        <v>1274</v>
      </c>
      <c r="F187" s="3" t="s">
        <v>5872</v>
      </c>
      <c r="G187" s="3" t="s">
        <v>1275</v>
      </c>
      <c r="H187" s="2"/>
      <c r="I187" s="2"/>
      <c r="J187" s="3" t="s">
        <v>393</v>
      </c>
      <c r="K187" s="3" t="s">
        <v>453</v>
      </c>
      <c r="L187" s="3" t="s">
        <v>453</v>
      </c>
      <c r="M187" s="2"/>
      <c r="N187" s="2"/>
      <c r="O187" s="3" t="s">
        <v>26</v>
      </c>
      <c r="P187" s="3" t="s">
        <v>27</v>
      </c>
      <c r="Q187" s="3" t="s">
        <v>5079</v>
      </c>
      <c r="R187" s="3" t="s">
        <v>396</v>
      </c>
      <c r="S187" s="3" t="s">
        <v>700</v>
      </c>
      <c r="T187" s="3" t="s">
        <v>1276</v>
      </c>
      <c r="U187" s="3" t="s">
        <v>43</v>
      </c>
      <c r="V187" s="3" t="s">
        <v>1083</v>
      </c>
      <c r="W187" s="2"/>
      <c r="X187" s="2"/>
      <c r="Y187" s="2"/>
    </row>
    <row r="188" spans="1:25" x14ac:dyDescent="0.2">
      <c r="A188" s="3">
        <v>568</v>
      </c>
      <c r="B188" s="4" t="s">
        <v>1277</v>
      </c>
      <c r="C188" s="3" t="s">
        <v>1278</v>
      </c>
      <c r="D188" s="3" t="s">
        <v>5874</v>
      </c>
      <c r="E188" s="3" t="s">
        <v>1279</v>
      </c>
      <c r="F188" s="3" t="s">
        <v>5875</v>
      </c>
      <c r="G188" s="3" t="s">
        <v>1275</v>
      </c>
      <c r="H188" s="3" t="s">
        <v>788</v>
      </c>
      <c r="I188" s="3" t="s">
        <v>1280</v>
      </c>
      <c r="J188" s="3" t="s">
        <v>393</v>
      </c>
      <c r="K188" s="3" t="s">
        <v>453</v>
      </c>
      <c r="L188" s="3" t="s">
        <v>453</v>
      </c>
      <c r="M188" s="2"/>
      <c r="N188" s="2"/>
      <c r="O188" s="3" t="s">
        <v>39</v>
      </c>
      <c r="P188" s="3" t="s">
        <v>27</v>
      </c>
      <c r="Q188" s="3" t="s">
        <v>5079</v>
      </c>
      <c r="R188" s="3" t="s">
        <v>396</v>
      </c>
      <c r="S188" s="3" t="s">
        <v>982</v>
      </c>
      <c r="T188" s="3" t="s">
        <v>1281</v>
      </c>
      <c r="U188" s="3" t="s">
        <v>43</v>
      </c>
      <c r="V188" s="3" t="s">
        <v>1083</v>
      </c>
      <c r="W188" s="2"/>
      <c r="X188" s="2"/>
      <c r="Y188" s="2"/>
    </row>
    <row r="189" spans="1:25" x14ac:dyDescent="0.2">
      <c r="A189" s="3">
        <v>569</v>
      </c>
      <c r="B189" s="4" t="s">
        <v>1282</v>
      </c>
      <c r="C189" s="3" t="s">
        <v>1283</v>
      </c>
      <c r="D189" s="3" t="s">
        <v>5877</v>
      </c>
      <c r="E189" s="3" t="s">
        <v>1284</v>
      </c>
      <c r="F189" s="3" t="s">
        <v>5878</v>
      </c>
      <c r="G189" s="3" t="s">
        <v>1275</v>
      </c>
      <c r="H189" s="3" t="s">
        <v>840</v>
      </c>
      <c r="I189" s="3" t="s">
        <v>1285</v>
      </c>
      <c r="J189" s="3" t="s">
        <v>393</v>
      </c>
      <c r="K189" s="3" t="s">
        <v>453</v>
      </c>
      <c r="L189" s="3" t="s">
        <v>453</v>
      </c>
      <c r="M189" s="2"/>
      <c r="N189" s="2"/>
      <c r="O189" s="3" t="s">
        <v>26</v>
      </c>
      <c r="P189" s="3" t="s">
        <v>27</v>
      </c>
      <c r="Q189" s="3" t="s">
        <v>5079</v>
      </c>
      <c r="R189" s="3" t="s">
        <v>396</v>
      </c>
      <c r="S189" s="3" t="s">
        <v>982</v>
      </c>
      <c r="T189" s="3" t="s">
        <v>1286</v>
      </c>
      <c r="U189" s="3" t="s">
        <v>43</v>
      </c>
      <c r="V189" s="3" t="s">
        <v>1287</v>
      </c>
      <c r="W189" s="2"/>
      <c r="X189" s="2"/>
      <c r="Y189" s="2"/>
    </row>
    <row r="190" spans="1:25" x14ac:dyDescent="0.2">
      <c r="A190" s="3">
        <v>571</v>
      </c>
      <c r="B190" s="4" t="s">
        <v>1288</v>
      </c>
      <c r="C190" s="3" t="s">
        <v>1289</v>
      </c>
      <c r="D190" s="3" t="s">
        <v>5881</v>
      </c>
      <c r="E190" s="3" t="s">
        <v>1290</v>
      </c>
      <c r="F190" s="3" t="s">
        <v>5882</v>
      </c>
      <c r="G190" s="3" t="s">
        <v>1291</v>
      </c>
      <c r="H190" s="2"/>
      <c r="I190" s="3" t="s">
        <v>1292</v>
      </c>
      <c r="J190" s="3" t="s">
        <v>393</v>
      </c>
      <c r="K190" s="3" t="s">
        <v>453</v>
      </c>
      <c r="L190" s="3" t="s">
        <v>453</v>
      </c>
      <c r="M190" s="2"/>
      <c r="N190" s="2"/>
      <c r="O190" s="3" t="s">
        <v>26</v>
      </c>
      <c r="P190" s="3" t="s">
        <v>395</v>
      </c>
      <c r="Q190" s="3" t="s">
        <v>5324</v>
      </c>
      <c r="R190" s="3" t="s">
        <v>396</v>
      </c>
      <c r="S190" s="3" t="s">
        <v>700</v>
      </c>
      <c r="T190" s="3" t="s">
        <v>1293</v>
      </c>
      <c r="U190" s="3" t="s">
        <v>43</v>
      </c>
      <c r="V190" s="3" t="s">
        <v>395</v>
      </c>
      <c r="W190" s="2"/>
      <c r="X190" s="2"/>
      <c r="Y190" s="2"/>
    </row>
    <row r="191" spans="1:25" x14ac:dyDescent="0.2">
      <c r="A191" s="3">
        <v>2180</v>
      </c>
      <c r="B191" s="4" t="s">
        <v>1294</v>
      </c>
      <c r="C191" s="3" t="s">
        <v>1295</v>
      </c>
      <c r="D191" s="3" t="s">
        <v>5884</v>
      </c>
      <c r="E191" s="3" t="s">
        <v>1296</v>
      </c>
      <c r="F191" s="3" t="s">
        <v>5885</v>
      </c>
      <c r="G191" s="7">
        <v>45620</v>
      </c>
      <c r="H191" s="7">
        <v>45620</v>
      </c>
      <c r="I191" s="7">
        <v>45620</v>
      </c>
      <c r="J191" s="3" t="s">
        <v>393</v>
      </c>
      <c r="K191" s="3" t="s">
        <v>1297</v>
      </c>
      <c r="L191" s="3" t="s">
        <v>1297</v>
      </c>
      <c r="M191" s="2"/>
      <c r="N191" s="2"/>
      <c r="O191" s="3" t="s">
        <v>412</v>
      </c>
      <c r="P191" s="3" t="s">
        <v>51</v>
      </c>
      <c r="Q191" s="3" t="s">
        <v>5095</v>
      </c>
      <c r="R191" s="3" t="s">
        <v>396</v>
      </c>
      <c r="S191" s="3" t="s">
        <v>405</v>
      </c>
      <c r="T191" s="3" t="s">
        <v>1298</v>
      </c>
      <c r="U191" s="3" t="s">
        <v>43</v>
      </c>
      <c r="V191" s="3" t="s">
        <v>51</v>
      </c>
      <c r="W191" s="3" t="s">
        <v>630</v>
      </c>
      <c r="X191" s="2"/>
      <c r="Y191" s="2"/>
    </row>
    <row r="192" spans="1:25" x14ac:dyDescent="0.2">
      <c r="A192" s="3">
        <v>2181</v>
      </c>
      <c r="B192" s="4" t="s">
        <v>1299</v>
      </c>
      <c r="C192" s="3" t="s">
        <v>1300</v>
      </c>
      <c r="D192" s="3" t="s">
        <v>5887</v>
      </c>
      <c r="E192" s="3" t="s">
        <v>1301</v>
      </c>
      <c r="F192" s="3" t="s">
        <v>5888</v>
      </c>
      <c r="G192" s="7">
        <v>45620</v>
      </c>
      <c r="H192" s="7">
        <v>45620</v>
      </c>
      <c r="I192" s="7">
        <v>45620</v>
      </c>
      <c r="J192" s="3" t="s">
        <v>393</v>
      </c>
      <c r="K192" s="3" t="s">
        <v>1297</v>
      </c>
      <c r="L192" s="3" t="s">
        <v>1297</v>
      </c>
      <c r="M192" s="2"/>
      <c r="N192" s="2"/>
      <c r="O192" s="3" t="s">
        <v>412</v>
      </c>
      <c r="P192" s="3" t="s">
        <v>51</v>
      </c>
      <c r="Q192" s="3" t="s">
        <v>5095</v>
      </c>
      <c r="R192" s="3" t="s">
        <v>396</v>
      </c>
      <c r="S192" s="3" t="s">
        <v>405</v>
      </c>
      <c r="T192" s="3" t="s">
        <v>1302</v>
      </c>
      <c r="U192" s="3" t="s">
        <v>43</v>
      </c>
      <c r="V192" s="3" t="s">
        <v>51</v>
      </c>
      <c r="W192" s="3" t="s">
        <v>630</v>
      </c>
      <c r="X192" s="2"/>
      <c r="Y192" s="2"/>
    </row>
    <row r="193" spans="1:25" x14ac:dyDescent="0.2">
      <c r="A193" s="3">
        <v>2182</v>
      </c>
      <c r="B193" s="4" t="s">
        <v>1303</v>
      </c>
      <c r="C193" s="3" t="s">
        <v>1304</v>
      </c>
      <c r="D193" s="3" t="s">
        <v>5890</v>
      </c>
      <c r="E193" s="3" t="s">
        <v>1305</v>
      </c>
      <c r="F193" s="3" t="s">
        <v>5891</v>
      </c>
      <c r="G193" s="7">
        <v>45620</v>
      </c>
      <c r="H193" s="7">
        <v>45620</v>
      </c>
      <c r="I193" s="7">
        <v>45620</v>
      </c>
      <c r="J193" s="3" t="s">
        <v>393</v>
      </c>
      <c r="K193" s="3" t="s">
        <v>1297</v>
      </c>
      <c r="L193" s="3" t="s">
        <v>1297</v>
      </c>
      <c r="M193" s="2"/>
      <c r="N193" s="2"/>
      <c r="O193" s="3" t="s">
        <v>26</v>
      </c>
      <c r="P193" s="3" t="s">
        <v>51</v>
      </c>
      <c r="Q193" s="3" t="s">
        <v>5095</v>
      </c>
      <c r="R193" s="3" t="s">
        <v>396</v>
      </c>
      <c r="S193" s="3" t="s">
        <v>405</v>
      </c>
      <c r="T193" s="3" t="s">
        <v>1306</v>
      </c>
      <c r="U193" s="3" t="s">
        <v>420</v>
      </c>
      <c r="V193" s="3" t="s">
        <v>51</v>
      </c>
      <c r="W193" s="3" t="s">
        <v>630</v>
      </c>
      <c r="X193" s="2"/>
      <c r="Y193" s="2"/>
    </row>
    <row r="194" spans="1:25" x14ac:dyDescent="0.2">
      <c r="A194" s="3">
        <v>2184</v>
      </c>
      <c r="B194" s="4" t="s">
        <v>1307</v>
      </c>
      <c r="C194" s="3" t="s">
        <v>1308</v>
      </c>
      <c r="D194" s="3" t="s">
        <v>5893</v>
      </c>
      <c r="E194" s="3" t="s">
        <v>1309</v>
      </c>
      <c r="F194" s="3" t="s">
        <v>5894</v>
      </c>
      <c r="G194" s="7">
        <v>45624</v>
      </c>
      <c r="H194" s="7">
        <v>45625</v>
      </c>
      <c r="I194" s="7">
        <v>45626</v>
      </c>
      <c r="J194" s="3" t="s">
        <v>393</v>
      </c>
      <c r="K194" s="3" t="s">
        <v>1297</v>
      </c>
      <c r="L194" s="3" t="s">
        <v>1297</v>
      </c>
      <c r="M194" s="2"/>
      <c r="N194" s="2"/>
      <c r="O194" s="3" t="s">
        <v>412</v>
      </c>
      <c r="P194" s="3" t="s">
        <v>51</v>
      </c>
      <c r="Q194" s="3" t="s">
        <v>5095</v>
      </c>
      <c r="R194" s="3" t="s">
        <v>396</v>
      </c>
      <c r="S194" s="3" t="s">
        <v>405</v>
      </c>
      <c r="T194" s="3" t="s">
        <v>1310</v>
      </c>
      <c r="U194" s="3" t="s">
        <v>43</v>
      </c>
      <c r="V194" s="3" t="s">
        <v>51</v>
      </c>
      <c r="W194" s="2"/>
      <c r="X194" s="2"/>
      <c r="Y194" s="2"/>
    </row>
    <row r="195" spans="1:25" x14ac:dyDescent="0.2">
      <c r="A195" s="3">
        <v>2187</v>
      </c>
      <c r="B195" s="4" t="s">
        <v>1311</v>
      </c>
      <c r="C195" s="3" t="s">
        <v>1312</v>
      </c>
      <c r="D195" s="3" t="s">
        <v>5896</v>
      </c>
      <c r="E195" s="3" t="s">
        <v>1313</v>
      </c>
      <c r="F195" s="3" t="s">
        <v>5897</v>
      </c>
      <c r="G195" s="3" t="s">
        <v>1314</v>
      </c>
      <c r="H195" s="3" t="s">
        <v>1314</v>
      </c>
      <c r="I195" s="2"/>
      <c r="J195" s="3" t="s">
        <v>393</v>
      </c>
      <c r="K195" s="3" t="s">
        <v>1315</v>
      </c>
      <c r="L195" s="3" t="s">
        <v>1315</v>
      </c>
      <c r="M195" s="3" t="s">
        <v>1316</v>
      </c>
      <c r="N195" s="2"/>
      <c r="O195" s="3" t="s">
        <v>26</v>
      </c>
      <c r="P195" s="3" t="s">
        <v>212</v>
      </c>
      <c r="Q195" s="3" t="s">
        <v>5193</v>
      </c>
      <c r="R195" s="3" t="s">
        <v>396</v>
      </c>
      <c r="S195" s="3" t="s">
        <v>982</v>
      </c>
      <c r="T195" s="3" t="s">
        <v>1317</v>
      </c>
      <c r="U195" s="3" t="s">
        <v>1318</v>
      </c>
      <c r="V195" s="3" t="s">
        <v>212</v>
      </c>
      <c r="W195" s="3" t="s">
        <v>1319</v>
      </c>
      <c r="X195" s="2"/>
      <c r="Y195" s="2"/>
    </row>
    <row r="196" spans="1:25" x14ac:dyDescent="0.2">
      <c r="A196" s="3">
        <v>2189</v>
      </c>
      <c r="B196" s="4" t="s">
        <v>1320</v>
      </c>
      <c r="C196" s="3" t="s">
        <v>1321</v>
      </c>
      <c r="D196" s="3" t="s">
        <v>5901</v>
      </c>
      <c r="E196" s="3" t="s">
        <v>1322</v>
      </c>
      <c r="F196" s="3" t="s">
        <v>5902</v>
      </c>
      <c r="G196" s="3" t="s">
        <v>1323</v>
      </c>
      <c r="H196" s="3" t="s">
        <v>1323</v>
      </c>
      <c r="I196" s="3" t="s">
        <v>1323</v>
      </c>
      <c r="J196" s="3" t="s">
        <v>393</v>
      </c>
      <c r="K196" s="3" t="s">
        <v>1315</v>
      </c>
      <c r="L196" s="3" t="s">
        <v>1315</v>
      </c>
      <c r="M196" s="3" t="s">
        <v>1324</v>
      </c>
      <c r="N196" s="2"/>
      <c r="O196" s="3" t="s">
        <v>26</v>
      </c>
      <c r="P196" s="3" t="s">
        <v>1325</v>
      </c>
      <c r="Q196" s="3" t="s">
        <v>5903</v>
      </c>
      <c r="R196" s="3" t="s">
        <v>396</v>
      </c>
      <c r="S196" s="3" t="s">
        <v>405</v>
      </c>
      <c r="T196" s="3" t="s">
        <v>1326</v>
      </c>
      <c r="U196" s="3" t="s">
        <v>1327</v>
      </c>
      <c r="V196" s="3" t="s">
        <v>1328</v>
      </c>
      <c r="W196" s="2"/>
      <c r="X196" s="2"/>
      <c r="Y196" s="2"/>
    </row>
    <row r="197" spans="1:25" x14ac:dyDescent="0.2">
      <c r="A197" s="3">
        <v>2190</v>
      </c>
      <c r="B197" s="4" t="s">
        <v>1329</v>
      </c>
      <c r="C197" s="3" t="s">
        <v>1330</v>
      </c>
      <c r="D197" s="3" t="s">
        <v>5906</v>
      </c>
      <c r="E197" s="3" t="s">
        <v>1331</v>
      </c>
      <c r="F197" s="3" t="s">
        <v>5907</v>
      </c>
      <c r="G197" s="3" t="s">
        <v>125</v>
      </c>
      <c r="H197" s="3" t="s">
        <v>1332</v>
      </c>
      <c r="I197" s="3" t="s">
        <v>125</v>
      </c>
      <c r="J197" s="3" t="s">
        <v>393</v>
      </c>
      <c r="K197" s="3" t="s">
        <v>1315</v>
      </c>
      <c r="L197" s="3" t="s">
        <v>1315</v>
      </c>
      <c r="M197" s="2"/>
      <c r="N197" s="2"/>
      <c r="O197" s="3" t="s">
        <v>26</v>
      </c>
      <c r="P197" s="3" t="s">
        <v>51</v>
      </c>
      <c r="Q197" s="3" t="s">
        <v>5095</v>
      </c>
      <c r="R197" s="3" t="s">
        <v>396</v>
      </c>
      <c r="S197" s="3" t="s">
        <v>413</v>
      </c>
      <c r="T197" s="3" t="s">
        <v>1333</v>
      </c>
      <c r="U197" s="3" t="s">
        <v>1334</v>
      </c>
      <c r="V197" s="3" t="s">
        <v>1335</v>
      </c>
      <c r="W197" s="3" t="s">
        <v>630</v>
      </c>
      <c r="X197" s="2"/>
      <c r="Y197" s="2"/>
    </row>
    <row r="198" spans="1:25" x14ac:dyDescent="0.2">
      <c r="A198" s="3">
        <v>2191</v>
      </c>
      <c r="B198" s="6" t="s">
        <v>1336</v>
      </c>
      <c r="C198" s="3" t="s">
        <v>1305</v>
      </c>
      <c r="D198" s="3" t="s">
        <v>5911</v>
      </c>
      <c r="E198" s="3" t="s">
        <v>1337</v>
      </c>
      <c r="F198" s="3" t="s">
        <v>5912</v>
      </c>
      <c r="G198" s="3" t="s">
        <v>873</v>
      </c>
      <c r="H198" s="3" t="s">
        <v>1338</v>
      </c>
      <c r="I198" s="3" t="s">
        <v>873</v>
      </c>
      <c r="J198" s="3" t="s">
        <v>393</v>
      </c>
      <c r="K198" s="3" t="s">
        <v>1315</v>
      </c>
      <c r="L198" s="3" t="s">
        <v>1315</v>
      </c>
      <c r="M198" s="3" t="s">
        <v>1339</v>
      </c>
      <c r="N198" s="2"/>
      <c r="O198" s="3" t="s">
        <v>26</v>
      </c>
      <c r="P198" s="3" t="s">
        <v>212</v>
      </c>
      <c r="Q198" s="3" t="s">
        <v>5193</v>
      </c>
      <c r="R198" s="3" t="s">
        <v>396</v>
      </c>
      <c r="S198" s="3" t="s">
        <v>405</v>
      </c>
      <c r="T198" s="3" t="s">
        <v>1340</v>
      </c>
      <c r="U198" s="3" t="s">
        <v>715</v>
      </c>
      <c r="V198" s="3" t="s">
        <v>1341</v>
      </c>
      <c r="W198" s="3" t="s">
        <v>1342</v>
      </c>
      <c r="X198" s="2"/>
      <c r="Y198" s="2"/>
    </row>
    <row r="199" spans="1:25" x14ac:dyDescent="0.2">
      <c r="A199" s="3">
        <v>2192</v>
      </c>
      <c r="B199" s="4" t="s">
        <v>1343</v>
      </c>
      <c r="C199" s="3" t="s">
        <v>1344</v>
      </c>
      <c r="D199" s="3" t="s">
        <v>5916</v>
      </c>
      <c r="E199" s="3" t="s">
        <v>1345</v>
      </c>
      <c r="F199" s="3" t="s">
        <v>5917</v>
      </c>
      <c r="G199" s="3" t="s">
        <v>200</v>
      </c>
      <c r="H199" s="3" t="s">
        <v>200</v>
      </c>
      <c r="I199" s="3" t="s">
        <v>200</v>
      </c>
      <c r="J199" s="3" t="s">
        <v>393</v>
      </c>
      <c r="K199" s="3" t="s">
        <v>1315</v>
      </c>
      <c r="L199" s="3" t="s">
        <v>1315</v>
      </c>
      <c r="M199" s="3" t="s">
        <v>1339</v>
      </c>
      <c r="N199" s="2"/>
      <c r="O199" s="3" t="s">
        <v>26</v>
      </c>
      <c r="P199" s="3" t="s">
        <v>27</v>
      </c>
      <c r="Q199" s="3" t="s">
        <v>5079</v>
      </c>
      <c r="R199" s="3" t="s">
        <v>396</v>
      </c>
      <c r="S199" s="3" t="s">
        <v>405</v>
      </c>
      <c r="T199" s="3" t="s">
        <v>1346</v>
      </c>
      <c r="U199" s="3" t="s">
        <v>1347</v>
      </c>
      <c r="V199" s="3" t="s">
        <v>27</v>
      </c>
      <c r="W199" s="3" t="s">
        <v>1348</v>
      </c>
      <c r="X199" s="2"/>
      <c r="Y199" s="2"/>
    </row>
    <row r="200" spans="1:25" x14ac:dyDescent="0.2">
      <c r="A200" s="3">
        <v>2193</v>
      </c>
      <c r="B200" s="4" t="s">
        <v>1349</v>
      </c>
      <c r="C200" s="3" t="s">
        <v>1350</v>
      </c>
      <c r="D200" s="3" t="s">
        <v>5921</v>
      </c>
      <c r="E200" s="3" t="s">
        <v>1351</v>
      </c>
      <c r="F200" s="3" t="s">
        <v>5922</v>
      </c>
      <c r="G200" s="3" t="s">
        <v>1352</v>
      </c>
      <c r="H200" s="2"/>
      <c r="I200" s="2"/>
      <c r="J200" s="3" t="s">
        <v>393</v>
      </c>
      <c r="K200" s="3" t="s">
        <v>1315</v>
      </c>
      <c r="L200" s="3" t="s">
        <v>1315</v>
      </c>
      <c r="M200" s="3" t="s">
        <v>1353</v>
      </c>
      <c r="N200" s="2"/>
      <c r="O200" s="3" t="s">
        <v>426</v>
      </c>
      <c r="P200" s="3" t="s">
        <v>212</v>
      </c>
      <c r="Q200" s="3" t="s">
        <v>5193</v>
      </c>
      <c r="R200" s="3" t="s">
        <v>396</v>
      </c>
      <c r="S200" s="3" t="s">
        <v>405</v>
      </c>
      <c r="T200" s="3" t="s">
        <v>1354</v>
      </c>
      <c r="U200" s="3" t="s">
        <v>1355</v>
      </c>
      <c r="V200" s="3" t="s">
        <v>1341</v>
      </c>
      <c r="W200" s="3" t="s">
        <v>1356</v>
      </c>
      <c r="X200" s="2"/>
      <c r="Y200" s="2"/>
    </row>
    <row r="201" spans="1:25" x14ac:dyDescent="0.2">
      <c r="A201" s="3">
        <v>2198</v>
      </c>
      <c r="B201" s="4" t="s">
        <v>1357</v>
      </c>
      <c r="C201" s="3" t="s">
        <v>1358</v>
      </c>
      <c r="D201" s="3" t="s">
        <v>5926</v>
      </c>
      <c r="E201" s="3" t="s">
        <v>1359</v>
      </c>
      <c r="F201" s="3" t="s">
        <v>5927</v>
      </c>
      <c r="G201" s="3" t="s">
        <v>1314</v>
      </c>
      <c r="H201" s="3" t="s">
        <v>1314</v>
      </c>
      <c r="I201" s="3" t="s">
        <v>1314</v>
      </c>
      <c r="J201" s="3" t="s">
        <v>393</v>
      </c>
      <c r="K201" s="3" t="s">
        <v>1360</v>
      </c>
      <c r="L201" s="3" t="s">
        <v>1360</v>
      </c>
      <c r="M201" s="2"/>
      <c r="N201" s="2"/>
      <c r="O201" s="3" t="s">
        <v>26</v>
      </c>
      <c r="P201" s="3" t="s">
        <v>51</v>
      </c>
      <c r="Q201" s="3" t="s">
        <v>5095</v>
      </c>
      <c r="R201" s="3" t="s">
        <v>396</v>
      </c>
      <c r="S201" s="3" t="s">
        <v>397</v>
      </c>
      <c r="T201" s="3" t="s">
        <v>1361</v>
      </c>
      <c r="U201" s="3" t="s">
        <v>43</v>
      </c>
      <c r="V201" s="3" t="s">
        <v>653</v>
      </c>
      <c r="W201" s="2"/>
      <c r="X201" s="2"/>
      <c r="Y201" s="2"/>
    </row>
    <row r="202" spans="1:25" x14ac:dyDescent="0.2">
      <c r="A202" s="3">
        <v>2199</v>
      </c>
      <c r="B202" s="4" t="s">
        <v>1362</v>
      </c>
      <c r="C202" s="3" t="s">
        <v>1363</v>
      </c>
      <c r="D202" s="3" t="s">
        <v>5929</v>
      </c>
      <c r="E202" s="3" t="s">
        <v>1364</v>
      </c>
      <c r="F202" s="3" t="s">
        <v>5930</v>
      </c>
      <c r="G202" s="3" t="s">
        <v>1365</v>
      </c>
      <c r="H202" s="3" t="s">
        <v>1365</v>
      </c>
      <c r="I202" s="3" t="s">
        <v>1366</v>
      </c>
      <c r="J202" s="3" t="s">
        <v>393</v>
      </c>
      <c r="K202" s="3" t="s">
        <v>1367</v>
      </c>
      <c r="L202" s="3" t="s">
        <v>1367</v>
      </c>
      <c r="M202" s="2"/>
      <c r="N202" s="2"/>
      <c r="O202" s="3" t="s">
        <v>26</v>
      </c>
      <c r="P202" s="3" t="s">
        <v>461</v>
      </c>
      <c r="Q202" s="3" t="s">
        <v>5367</v>
      </c>
      <c r="R202" s="3" t="s">
        <v>396</v>
      </c>
      <c r="S202" s="3" t="s">
        <v>413</v>
      </c>
      <c r="T202" s="3" t="s">
        <v>1368</v>
      </c>
      <c r="U202" s="3" t="s">
        <v>420</v>
      </c>
      <c r="V202" s="3" t="s">
        <v>1369</v>
      </c>
      <c r="W202" s="2"/>
      <c r="X202" s="2"/>
      <c r="Y202" s="2"/>
    </row>
    <row r="203" spans="1:25" x14ac:dyDescent="0.2">
      <c r="A203" s="3">
        <v>2200</v>
      </c>
      <c r="B203" s="4" t="s">
        <v>1370</v>
      </c>
      <c r="C203" s="3" t="s">
        <v>1371</v>
      </c>
      <c r="D203" s="3" t="s">
        <v>5933</v>
      </c>
      <c r="E203" s="3" t="s">
        <v>1372</v>
      </c>
      <c r="F203" s="3" t="s">
        <v>5934</v>
      </c>
      <c r="G203" s="3" t="s">
        <v>22</v>
      </c>
      <c r="H203" s="2"/>
      <c r="I203" s="2"/>
      <c r="J203" s="3" t="s">
        <v>393</v>
      </c>
      <c r="K203" s="3" t="s">
        <v>1258</v>
      </c>
      <c r="L203" s="3" t="s">
        <v>1258</v>
      </c>
      <c r="M203" s="2"/>
      <c r="N203" s="2"/>
      <c r="O203" s="3" t="s">
        <v>26</v>
      </c>
      <c r="P203" s="3" t="s">
        <v>212</v>
      </c>
      <c r="Q203" s="3" t="s">
        <v>5193</v>
      </c>
      <c r="R203" s="3" t="s">
        <v>396</v>
      </c>
      <c r="S203" s="3" t="s">
        <v>29</v>
      </c>
      <c r="T203" s="3" t="s">
        <v>1373</v>
      </c>
      <c r="U203" s="3" t="s">
        <v>1374</v>
      </c>
      <c r="V203" s="3" t="s">
        <v>212</v>
      </c>
      <c r="W203" s="2"/>
      <c r="X203" s="2"/>
      <c r="Y203" s="2"/>
    </row>
    <row r="204" spans="1:25" x14ac:dyDescent="0.2">
      <c r="A204" s="3">
        <v>2201</v>
      </c>
      <c r="B204" s="4" t="s">
        <v>1375</v>
      </c>
      <c r="C204" s="3" t="s">
        <v>1376</v>
      </c>
      <c r="D204" s="3" t="s">
        <v>5937</v>
      </c>
      <c r="E204" s="3" t="s">
        <v>1377</v>
      </c>
      <c r="F204" s="3" t="s">
        <v>5938</v>
      </c>
      <c r="G204" s="3" t="s">
        <v>608</v>
      </c>
      <c r="H204" s="3" t="s">
        <v>608</v>
      </c>
      <c r="I204" s="3" t="s">
        <v>608</v>
      </c>
      <c r="J204" s="3" t="s">
        <v>393</v>
      </c>
      <c r="K204" s="3" t="s">
        <v>1258</v>
      </c>
      <c r="L204" s="3" t="s">
        <v>1258</v>
      </c>
      <c r="M204" s="2"/>
      <c r="N204" s="2"/>
      <c r="O204" s="3" t="s">
        <v>1011</v>
      </c>
      <c r="P204" s="3" t="s">
        <v>1378</v>
      </c>
      <c r="Q204" s="3" t="s">
        <v>5939</v>
      </c>
      <c r="R204" s="3" t="s">
        <v>396</v>
      </c>
      <c r="S204" s="3" t="s">
        <v>405</v>
      </c>
      <c r="T204" s="3" t="s">
        <v>1379</v>
      </c>
      <c r="U204" s="3" t="s">
        <v>43</v>
      </c>
      <c r="V204" s="3" t="s">
        <v>1380</v>
      </c>
      <c r="W204" s="2"/>
      <c r="X204" s="2"/>
      <c r="Y204" s="2"/>
    </row>
    <row r="205" spans="1:25" x14ac:dyDescent="0.2">
      <c r="A205" s="3">
        <v>2204</v>
      </c>
      <c r="B205" s="4" t="s">
        <v>1381</v>
      </c>
      <c r="C205" s="3" t="s">
        <v>1382</v>
      </c>
      <c r="D205" s="3" t="s">
        <v>5941</v>
      </c>
      <c r="E205" s="3" t="s">
        <v>1383</v>
      </c>
      <c r="F205" s="3" t="s">
        <v>5942</v>
      </c>
      <c r="G205" s="3" t="s">
        <v>624</v>
      </c>
      <c r="H205" s="3" t="s">
        <v>624</v>
      </c>
      <c r="I205" s="3" t="s">
        <v>624</v>
      </c>
      <c r="J205" s="3" t="s">
        <v>393</v>
      </c>
      <c r="K205" s="3" t="s">
        <v>1258</v>
      </c>
      <c r="L205" s="3" t="s">
        <v>1258</v>
      </c>
      <c r="M205" s="2"/>
      <c r="N205" s="2"/>
      <c r="O205" s="3" t="s">
        <v>645</v>
      </c>
      <c r="P205" s="3" t="s">
        <v>51</v>
      </c>
      <c r="Q205" s="3" t="s">
        <v>5095</v>
      </c>
      <c r="R205" s="3" t="s">
        <v>396</v>
      </c>
      <c r="S205" s="3" t="s">
        <v>29</v>
      </c>
      <c r="T205" s="3" t="s">
        <v>1384</v>
      </c>
      <c r="U205" s="3" t="s">
        <v>43</v>
      </c>
      <c r="V205" s="3" t="s">
        <v>51</v>
      </c>
      <c r="W205" s="2"/>
      <c r="X205" s="2"/>
      <c r="Y205" s="2"/>
    </row>
    <row r="206" spans="1:25" x14ac:dyDescent="0.2">
      <c r="A206" s="3">
        <v>2205</v>
      </c>
      <c r="B206" s="4" t="s">
        <v>1385</v>
      </c>
      <c r="C206" s="3" t="s">
        <v>1386</v>
      </c>
      <c r="D206" s="3" t="s">
        <v>5944</v>
      </c>
      <c r="E206" s="3" t="s">
        <v>1387</v>
      </c>
      <c r="F206" s="3" t="s">
        <v>5945</v>
      </c>
      <c r="G206" s="3" t="s">
        <v>101</v>
      </c>
      <c r="H206" s="3" t="s">
        <v>1338</v>
      </c>
      <c r="I206" s="3" t="s">
        <v>101</v>
      </c>
      <c r="J206" s="3" t="s">
        <v>393</v>
      </c>
      <c r="K206" s="3" t="s">
        <v>1258</v>
      </c>
      <c r="L206" s="3" t="s">
        <v>1258</v>
      </c>
      <c r="M206" s="2"/>
      <c r="N206" s="2"/>
      <c r="O206" s="3" t="s">
        <v>26</v>
      </c>
      <c r="P206" s="3" t="s">
        <v>212</v>
      </c>
      <c r="Q206" s="3" t="s">
        <v>5193</v>
      </c>
      <c r="R206" s="3" t="s">
        <v>396</v>
      </c>
      <c r="S206" s="3" t="s">
        <v>29</v>
      </c>
      <c r="T206" s="3" t="s">
        <v>1388</v>
      </c>
      <c r="U206" s="3" t="s">
        <v>420</v>
      </c>
      <c r="V206" s="3" t="s">
        <v>212</v>
      </c>
      <c r="W206" s="2"/>
      <c r="X206" s="2"/>
      <c r="Y206" s="2"/>
    </row>
    <row r="207" spans="1:25" x14ac:dyDescent="0.2">
      <c r="A207" s="3">
        <v>2206</v>
      </c>
      <c r="B207" s="4" t="s">
        <v>1389</v>
      </c>
      <c r="C207" s="3" t="s">
        <v>1390</v>
      </c>
      <c r="D207" s="3" t="s">
        <v>5947</v>
      </c>
      <c r="E207" s="3" t="s">
        <v>1391</v>
      </c>
      <c r="F207" s="3" t="s">
        <v>5948</v>
      </c>
      <c r="G207" s="3" t="s">
        <v>124</v>
      </c>
      <c r="H207" s="2"/>
      <c r="I207" s="2"/>
      <c r="J207" s="3" t="s">
        <v>393</v>
      </c>
      <c r="K207" s="3" t="s">
        <v>1258</v>
      </c>
      <c r="L207" s="3" t="s">
        <v>1258</v>
      </c>
      <c r="M207" s="2"/>
      <c r="N207" s="2"/>
      <c r="O207" s="3" t="s">
        <v>26</v>
      </c>
      <c r="P207" s="3" t="s">
        <v>212</v>
      </c>
      <c r="Q207" s="3" t="s">
        <v>5193</v>
      </c>
      <c r="R207" s="3" t="s">
        <v>396</v>
      </c>
      <c r="S207" s="3" t="s">
        <v>397</v>
      </c>
      <c r="T207" s="3" t="s">
        <v>1392</v>
      </c>
      <c r="U207" s="3" t="s">
        <v>1393</v>
      </c>
      <c r="V207" s="3" t="s">
        <v>212</v>
      </c>
      <c r="W207" s="2"/>
      <c r="X207" s="2"/>
      <c r="Y207" s="2"/>
    </row>
    <row r="208" spans="1:25" x14ac:dyDescent="0.2">
      <c r="A208" s="3">
        <v>2208</v>
      </c>
      <c r="B208" s="4" t="s">
        <v>1394</v>
      </c>
      <c r="C208" s="3" t="s">
        <v>1395</v>
      </c>
      <c r="D208" s="3" t="s">
        <v>5951</v>
      </c>
      <c r="E208" s="3" t="s">
        <v>1396</v>
      </c>
      <c r="F208" s="3" t="s">
        <v>5952</v>
      </c>
      <c r="G208" s="3" t="s">
        <v>873</v>
      </c>
      <c r="H208" s="3" t="s">
        <v>873</v>
      </c>
      <c r="I208" s="3" t="s">
        <v>873</v>
      </c>
      <c r="J208" s="3" t="s">
        <v>393</v>
      </c>
      <c r="K208" s="3" t="s">
        <v>1258</v>
      </c>
      <c r="L208" s="3" t="s">
        <v>1258</v>
      </c>
      <c r="M208" s="2"/>
      <c r="N208" s="2"/>
      <c r="O208" s="3" t="s">
        <v>1011</v>
      </c>
      <c r="P208" s="3" t="s">
        <v>212</v>
      </c>
      <c r="Q208" s="3" t="s">
        <v>5193</v>
      </c>
      <c r="R208" s="3" t="s">
        <v>396</v>
      </c>
      <c r="S208" s="3" t="s">
        <v>413</v>
      </c>
      <c r="T208" s="3" t="s">
        <v>1397</v>
      </c>
      <c r="U208" s="3" t="s">
        <v>43</v>
      </c>
      <c r="V208" s="3" t="s">
        <v>1341</v>
      </c>
      <c r="W208" s="2"/>
      <c r="X208" s="2"/>
      <c r="Y208" s="2"/>
    </row>
    <row r="209" spans="1:25" x14ac:dyDescent="0.2">
      <c r="A209" s="3">
        <v>2209</v>
      </c>
      <c r="B209" s="4" t="s">
        <v>1398</v>
      </c>
      <c r="C209" s="3" t="s">
        <v>1399</v>
      </c>
      <c r="D209" s="3" t="s">
        <v>5954</v>
      </c>
      <c r="E209" s="3" t="s">
        <v>1400</v>
      </c>
      <c r="F209" s="3" t="s">
        <v>5955</v>
      </c>
      <c r="G209" s="3" t="s">
        <v>873</v>
      </c>
      <c r="H209" s="3" t="s">
        <v>873</v>
      </c>
      <c r="I209" s="3" t="s">
        <v>873</v>
      </c>
      <c r="J209" s="3" t="s">
        <v>393</v>
      </c>
      <c r="K209" s="3" t="s">
        <v>1258</v>
      </c>
      <c r="L209" s="3" t="s">
        <v>1258</v>
      </c>
      <c r="M209" s="2"/>
      <c r="N209" s="2"/>
      <c r="O209" s="3" t="s">
        <v>1011</v>
      </c>
      <c r="P209" s="3" t="s">
        <v>1401</v>
      </c>
      <c r="Q209" s="3" t="s">
        <v>5193</v>
      </c>
      <c r="R209" s="3" t="s">
        <v>396</v>
      </c>
      <c r="S209" s="3" t="s">
        <v>413</v>
      </c>
      <c r="T209" s="3" t="s">
        <v>1402</v>
      </c>
      <c r="U209" s="3" t="s">
        <v>43</v>
      </c>
      <c r="V209" s="3" t="s">
        <v>212</v>
      </c>
      <c r="W209" s="2"/>
      <c r="X209" s="2"/>
      <c r="Y209" s="2"/>
    </row>
    <row r="210" spans="1:25" x14ac:dyDescent="0.2">
      <c r="A210" s="3">
        <v>2210</v>
      </c>
      <c r="B210" s="4" t="s">
        <v>1403</v>
      </c>
      <c r="C210" s="3" t="s">
        <v>1404</v>
      </c>
      <c r="D210" s="3" t="s">
        <v>5957</v>
      </c>
      <c r="E210" s="3" t="s">
        <v>1405</v>
      </c>
      <c r="F210" s="3" t="s">
        <v>5958</v>
      </c>
      <c r="G210" s="3" t="s">
        <v>873</v>
      </c>
      <c r="H210" s="3" t="s">
        <v>873</v>
      </c>
      <c r="I210" s="3" t="s">
        <v>873</v>
      </c>
      <c r="J210" s="3" t="s">
        <v>393</v>
      </c>
      <c r="K210" s="3" t="s">
        <v>1258</v>
      </c>
      <c r="L210" s="3" t="s">
        <v>1258</v>
      </c>
      <c r="M210" s="2"/>
      <c r="N210" s="2"/>
      <c r="O210" s="3" t="s">
        <v>26</v>
      </c>
      <c r="P210" s="3" t="s">
        <v>212</v>
      </c>
      <c r="Q210" s="3" t="s">
        <v>5193</v>
      </c>
      <c r="R210" s="3" t="s">
        <v>396</v>
      </c>
      <c r="S210" s="3" t="s">
        <v>29</v>
      </c>
      <c r="T210" s="3" t="s">
        <v>1406</v>
      </c>
      <c r="U210" s="3" t="s">
        <v>43</v>
      </c>
      <c r="V210" s="3" t="s">
        <v>1341</v>
      </c>
      <c r="W210" s="2"/>
      <c r="X210" s="2"/>
      <c r="Y210" s="2"/>
    </row>
    <row r="211" spans="1:25" x14ac:dyDescent="0.2">
      <c r="A211" s="3">
        <v>2212</v>
      </c>
      <c r="B211" s="4" t="s">
        <v>1407</v>
      </c>
      <c r="C211" s="3" t="s">
        <v>1408</v>
      </c>
      <c r="D211" s="3" t="s">
        <v>5960</v>
      </c>
      <c r="E211" s="3" t="s">
        <v>1409</v>
      </c>
      <c r="F211" s="3" t="s">
        <v>5961</v>
      </c>
      <c r="G211" s="3" t="s">
        <v>1410</v>
      </c>
      <c r="H211" s="3" t="s">
        <v>1410</v>
      </c>
      <c r="I211" s="3" t="s">
        <v>1410</v>
      </c>
      <c r="J211" s="3" t="s">
        <v>393</v>
      </c>
      <c r="K211" s="3" t="s">
        <v>1258</v>
      </c>
      <c r="L211" s="3" t="s">
        <v>1258</v>
      </c>
      <c r="M211" s="2"/>
      <c r="N211" s="2"/>
      <c r="O211" s="3" t="s">
        <v>26</v>
      </c>
      <c r="P211" s="3" t="s">
        <v>212</v>
      </c>
      <c r="Q211" s="3" t="s">
        <v>5193</v>
      </c>
      <c r="R211" s="3" t="s">
        <v>396</v>
      </c>
      <c r="S211" s="3" t="s">
        <v>413</v>
      </c>
      <c r="T211" s="3" t="s">
        <v>1411</v>
      </c>
      <c r="U211" s="3" t="s">
        <v>43</v>
      </c>
      <c r="V211" s="3" t="s">
        <v>1341</v>
      </c>
      <c r="W211" s="2"/>
      <c r="X211" s="2"/>
      <c r="Y211" s="2"/>
    </row>
    <row r="212" spans="1:25" x14ac:dyDescent="0.2">
      <c r="A212" s="3">
        <v>2213</v>
      </c>
      <c r="B212" s="4" t="s">
        <v>1412</v>
      </c>
      <c r="C212" s="3" t="s">
        <v>1413</v>
      </c>
      <c r="D212" s="3" t="s">
        <v>5963</v>
      </c>
      <c r="E212" s="3" t="s">
        <v>1414</v>
      </c>
      <c r="F212" s="3" t="s">
        <v>5964</v>
      </c>
      <c r="G212" s="3" t="s">
        <v>1415</v>
      </c>
      <c r="H212" s="3" t="s">
        <v>1415</v>
      </c>
      <c r="I212" s="3" t="s">
        <v>1415</v>
      </c>
      <c r="J212" s="3" t="s">
        <v>393</v>
      </c>
      <c r="K212" s="3" t="s">
        <v>1258</v>
      </c>
      <c r="L212" s="3" t="s">
        <v>1258</v>
      </c>
      <c r="M212" s="2"/>
      <c r="N212" s="2"/>
      <c r="O212" s="3" t="s">
        <v>26</v>
      </c>
      <c r="P212" s="3" t="s">
        <v>1416</v>
      </c>
      <c r="Q212" s="3" t="s">
        <v>5965</v>
      </c>
      <c r="R212" s="3" t="s">
        <v>396</v>
      </c>
      <c r="S212" s="3" t="s">
        <v>29</v>
      </c>
      <c r="T212" s="3" t="s">
        <v>1417</v>
      </c>
      <c r="U212" s="3" t="s">
        <v>43</v>
      </c>
      <c r="V212" s="3" t="s">
        <v>1418</v>
      </c>
      <c r="W212" s="2"/>
      <c r="X212" s="2"/>
      <c r="Y212" s="2"/>
    </row>
    <row r="213" spans="1:25" x14ac:dyDescent="0.2">
      <c r="A213" s="3">
        <v>1026</v>
      </c>
      <c r="B213" s="4" t="s">
        <v>1419</v>
      </c>
      <c r="C213" s="3" t="s">
        <v>1420</v>
      </c>
      <c r="D213" s="3" t="s">
        <v>5968</v>
      </c>
      <c r="E213" s="3" t="s">
        <v>1421</v>
      </c>
      <c r="F213" s="3" t="s">
        <v>5969</v>
      </c>
      <c r="G213" s="3" t="s">
        <v>1352</v>
      </c>
      <c r="H213" s="2"/>
      <c r="I213" s="2"/>
      <c r="J213" s="3" t="s">
        <v>393</v>
      </c>
      <c r="K213" s="3" t="s">
        <v>1422</v>
      </c>
      <c r="L213" s="3" t="s">
        <v>1422</v>
      </c>
      <c r="M213" s="2"/>
      <c r="N213" s="2"/>
      <c r="O213" s="3" t="s">
        <v>26</v>
      </c>
      <c r="P213" s="3" t="s">
        <v>27</v>
      </c>
      <c r="Q213" s="3" t="s">
        <v>5079</v>
      </c>
      <c r="R213" s="3" t="s">
        <v>396</v>
      </c>
      <c r="S213" s="3" t="s">
        <v>29</v>
      </c>
      <c r="T213" s="3" t="s">
        <v>1423</v>
      </c>
      <c r="U213" s="3" t="s">
        <v>1424</v>
      </c>
      <c r="V213" s="3" t="s">
        <v>27</v>
      </c>
      <c r="W213" s="2"/>
      <c r="X213" s="2"/>
      <c r="Y213" s="2"/>
    </row>
    <row r="214" spans="1:25" x14ac:dyDescent="0.2">
      <c r="A214" s="3">
        <v>1027</v>
      </c>
      <c r="B214" s="4" t="s">
        <v>1425</v>
      </c>
      <c r="C214" s="3" t="s">
        <v>1426</v>
      </c>
      <c r="D214" s="3" t="s">
        <v>5972</v>
      </c>
      <c r="E214" s="3" t="s">
        <v>1427</v>
      </c>
      <c r="F214" s="3" t="s">
        <v>5973</v>
      </c>
      <c r="G214" s="3" t="s">
        <v>1428</v>
      </c>
      <c r="H214" s="2"/>
      <c r="I214" s="2"/>
      <c r="J214" s="3" t="s">
        <v>393</v>
      </c>
      <c r="K214" s="3" t="s">
        <v>1429</v>
      </c>
      <c r="L214" s="3" t="s">
        <v>1429</v>
      </c>
      <c r="M214" s="2"/>
      <c r="N214" s="2"/>
      <c r="O214" s="3" t="s">
        <v>26</v>
      </c>
      <c r="P214" s="3" t="s">
        <v>27</v>
      </c>
      <c r="Q214" s="3" t="s">
        <v>5079</v>
      </c>
      <c r="R214" s="3" t="s">
        <v>396</v>
      </c>
      <c r="S214" s="3" t="s">
        <v>397</v>
      </c>
      <c r="T214" s="3" t="s">
        <v>1430</v>
      </c>
      <c r="U214" s="3" t="s">
        <v>275</v>
      </c>
      <c r="V214" s="3" t="s">
        <v>1341</v>
      </c>
      <c r="W214" s="2"/>
      <c r="X214" s="2"/>
      <c r="Y214" s="2"/>
    </row>
    <row r="215" spans="1:25" x14ac:dyDescent="0.2">
      <c r="A215" s="3">
        <v>1032</v>
      </c>
      <c r="B215" s="4" t="s">
        <v>1431</v>
      </c>
      <c r="C215" s="3" t="s">
        <v>1432</v>
      </c>
      <c r="D215" s="3" t="s">
        <v>5975</v>
      </c>
      <c r="E215" s="3" t="s">
        <v>1433</v>
      </c>
      <c r="F215" s="3" t="s">
        <v>5976</v>
      </c>
      <c r="G215" s="3" t="s">
        <v>893</v>
      </c>
      <c r="H215" s="2"/>
      <c r="I215" s="2"/>
      <c r="J215" s="3" t="s">
        <v>393</v>
      </c>
      <c r="K215" s="3" t="s">
        <v>1434</v>
      </c>
      <c r="L215" s="3" t="s">
        <v>1434</v>
      </c>
      <c r="M215" s="2"/>
      <c r="N215" s="4" t="s">
        <v>1435</v>
      </c>
      <c r="O215" s="3" t="s">
        <v>26</v>
      </c>
      <c r="P215" s="2"/>
      <c r="Q215" s="3">
        <v>0</v>
      </c>
      <c r="R215" s="3" t="s">
        <v>396</v>
      </c>
      <c r="S215" s="3" t="s">
        <v>397</v>
      </c>
      <c r="T215" s="3" t="s">
        <v>1436</v>
      </c>
      <c r="U215" s="3" t="s">
        <v>897</v>
      </c>
      <c r="V215" s="2"/>
      <c r="W215" s="3" t="s">
        <v>219</v>
      </c>
      <c r="X215" s="2"/>
      <c r="Y215" s="2"/>
    </row>
    <row r="216" spans="1:25" x14ac:dyDescent="0.2">
      <c r="A216" s="3">
        <v>1034</v>
      </c>
      <c r="B216" s="4" t="s">
        <v>1437</v>
      </c>
      <c r="C216" s="3" t="s">
        <v>1438</v>
      </c>
      <c r="D216" s="3" t="s">
        <v>5978</v>
      </c>
      <c r="E216" s="3" t="s">
        <v>1439</v>
      </c>
      <c r="F216" s="3" t="s">
        <v>5979</v>
      </c>
      <c r="G216" s="3" t="s">
        <v>1440</v>
      </c>
      <c r="H216" s="2"/>
      <c r="I216" s="2"/>
      <c r="J216" s="3" t="s">
        <v>393</v>
      </c>
      <c r="K216" s="3" t="s">
        <v>1441</v>
      </c>
      <c r="L216" s="3" t="s">
        <v>5980</v>
      </c>
      <c r="M216" s="3" t="s">
        <v>374</v>
      </c>
      <c r="N216" s="2"/>
      <c r="O216" s="3" t="s">
        <v>39</v>
      </c>
      <c r="P216" s="2"/>
      <c r="Q216" s="3">
        <v>0</v>
      </c>
      <c r="R216" s="3" t="s">
        <v>396</v>
      </c>
      <c r="S216" s="3" t="s">
        <v>455</v>
      </c>
      <c r="T216" s="3" t="s">
        <v>1442</v>
      </c>
      <c r="U216" s="2"/>
      <c r="V216" s="2"/>
      <c r="W216" s="2"/>
      <c r="X216" s="2"/>
      <c r="Y216" s="2"/>
    </row>
    <row r="217" spans="1:25" x14ac:dyDescent="0.2">
      <c r="A217" s="3">
        <v>1035</v>
      </c>
      <c r="B217" s="4" t="s">
        <v>1443</v>
      </c>
      <c r="C217" s="3" t="s">
        <v>1444</v>
      </c>
      <c r="D217" s="3" t="s">
        <v>5982</v>
      </c>
      <c r="E217" s="3" t="s">
        <v>1445</v>
      </c>
      <c r="F217" s="3" t="s">
        <v>5983</v>
      </c>
      <c r="G217" s="3" t="s">
        <v>199</v>
      </c>
      <c r="H217" s="2"/>
      <c r="I217" s="2"/>
      <c r="J217" s="3" t="s">
        <v>393</v>
      </c>
      <c r="K217" s="3" t="s">
        <v>1446</v>
      </c>
      <c r="L217" s="3" t="s">
        <v>5984</v>
      </c>
      <c r="M217" s="2"/>
      <c r="N217" s="2"/>
      <c r="O217" s="3" t="s">
        <v>26</v>
      </c>
      <c r="P217" s="2"/>
      <c r="Q217" s="3">
        <v>0</v>
      </c>
      <c r="R217" s="3" t="s">
        <v>396</v>
      </c>
      <c r="S217" s="3" t="s">
        <v>29</v>
      </c>
      <c r="T217" s="3" t="s">
        <v>1447</v>
      </c>
      <c r="U217" s="3" t="s">
        <v>897</v>
      </c>
      <c r="V217" s="2"/>
      <c r="W217" s="3" t="s">
        <v>1160</v>
      </c>
      <c r="X217" s="2"/>
      <c r="Y217" s="2"/>
    </row>
    <row r="218" spans="1:25" x14ac:dyDescent="0.2">
      <c r="A218" s="3">
        <v>1129</v>
      </c>
      <c r="B218" s="4" t="s">
        <v>1448</v>
      </c>
      <c r="C218" s="3" t="s">
        <v>1449</v>
      </c>
      <c r="D218" s="3" t="s">
        <v>5986</v>
      </c>
      <c r="E218" s="3" t="s">
        <v>1450</v>
      </c>
      <c r="F218" s="3" t="s">
        <v>5987</v>
      </c>
      <c r="G218" s="3" t="s">
        <v>927</v>
      </c>
      <c r="H218" s="2"/>
      <c r="I218" s="2"/>
      <c r="J218" s="3" t="s">
        <v>258</v>
      </c>
      <c r="K218" s="3" t="s">
        <v>1451</v>
      </c>
      <c r="L218" s="3" t="s">
        <v>5988</v>
      </c>
      <c r="M218" s="2"/>
      <c r="N218" s="2"/>
      <c r="O218" s="3" t="s">
        <v>39</v>
      </c>
      <c r="P218" s="3" t="s">
        <v>1452</v>
      </c>
      <c r="Q218" s="3" t="s">
        <v>5989</v>
      </c>
      <c r="R218" s="3" t="s">
        <v>1215</v>
      </c>
      <c r="S218" s="3" t="s">
        <v>29</v>
      </c>
      <c r="T218" s="3" t="s">
        <v>1453</v>
      </c>
      <c r="U218" s="3" t="s">
        <v>43</v>
      </c>
      <c r="V218" s="3" t="s">
        <v>245</v>
      </c>
      <c r="W218" s="2"/>
      <c r="X218" s="2"/>
      <c r="Y218" s="2"/>
    </row>
    <row r="219" spans="1:25" x14ac:dyDescent="0.2">
      <c r="A219" s="3">
        <v>1746</v>
      </c>
      <c r="B219" s="4" t="s">
        <v>1454</v>
      </c>
      <c r="C219" s="3" t="s">
        <v>1455</v>
      </c>
      <c r="D219" s="3" t="s">
        <v>5991</v>
      </c>
      <c r="E219" s="3" t="s">
        <v>1456</v>
      </c>
      <c r="F219" s="3" t="s">
        <v>5992</v>
      </c>
      <c r="G219" s="3" t="s">
        <v>1457</v>
      </c>
      <c r="H219" s="7">
        <v>45446</v>
      </c>
      <c r="I219" s="2"/>
      <c r="J219" s="3" t="s">
        <v>135</v>
      </c>
      <c r="K219" s="3" t="s">
        <v>1458</v>
      </c>
      <c r="L219" s="3" t="s">
        <v>5993</v>
      </c>
      <c r="M219" s="2"/>
      <c r="N219" s="2"/>
      <c r="O219" s="3" t="s">
        <v>26</v>
      </c>
      <c r="P219" s="2"/>
      <c r="Q219" s="3">
        <v>0</v>
      </c>
      <c r="R219" s="3" t="s">
        <v>1215</v>
      </c>
      <c r="S219" s="3" t="s">
        <v>29</v>
      </c>
      <c r="T219" s="3" t="s">
        <v>61</v>
      </c>
      <c r="U219" s="3" t="s">
        <v>1374</v>
      </c>
      <c r="V219" s="3" t="s">
        <v>1459</v>
      </c>
      <c r="W219" s="3" t="s">
        <v>1460</v>
      </c>
      <c r="X219" s="2"/>
      <c r="Y219" s="2"/>
    </row>
    <row r="220" spans="1:25" x14ac:dyDescent="0.2">
      <c r="A220" s="3">
        <v>2223</v>
      </c>
      <c r="B220" s="6" t="s">
        <v>1461</v>
      </c>
      <c r="C220" s="3" t="s">
        <v>1462</v>
      </c>
      <c r="D220" s="3" t="s">
        <v>5996</v>
      </c>
      <c r="E220" s="3" t="s">
        <v>1463</v>
      </c>
      <c r="F220" s="3" t="s">
        <v>5997</v>
      </c>
      <c r="G220" s="3" t="s">
        <v>650</v>
      </c>
      <c r="H220" s="2"/>
      <c r="I220" s="2"/>
      <c r="J220" s="3" t="s">
        <v>393</v>
      </c>
      <c r="K220" s="3" t="s">
        <v>1258</v>
      </c>
      <c r="L220" s="3" t="s">
        <v>1258</v>
      </c>
      <c r="M220" s="2"/>
      <c r="N220" s="2"/>
      <c r="O220" s="3" t="s">
        <v>26</v>
      </c>
      <c r="P220" s="3" t="s">
        <v>212</v>
      </c>
      <c r="Q220" s="3" t="s">
        <v>5193</v>
      </c>
      <c r="R220" s="3" t="s">
        <v>396</v>
      </c>
      <c r="S220" s="3" t="s">
        <v>29</v>
      </c>
      <c r="T220" s="3" t="s">
        <v>1464</v>
      </c>
      <c r="U220" s="3" t="s">
        <v>43</v>
      </c>
      <c r="V220" s="3" t="s">
        <v>212</v>
      </c>
      <c r="W220" s="2"/>
      <c r="X220" s="2"/>
      <c r="Y220" s="2"/>
    </row>
    <row r="221" spans="1:25" x14ac:dyDescent="0.2">
      <c r="A221" s="3">
        <v>2225</v>
      </c>
      <c r="B221" s="4" t="s">
        <v>1465</v>
      </c>
      <c r="C221" s="3" t="s">
        <v>1466</v>
      </c>
      <c r="D221" s="3" t="s">
        <v>5999</v>
      </c>
      <c r="E221" s="3" t="s">
        <v>1467</v>
      </c>
      <c r="F221" s="3" t="s">
        <v>6000</v>
      </c>
      <c r="G221" s="3" t="s">
        <v>650</v>
      </c>
      <c r="H221" s="2"/>
      <c r="I221" s="2"/>
      <c r="J221" s="3" t="s">
        <v>393</v>
      </c>
      <c r="K221" s="3" t="s">
        <v>1258</v>
      </c>
      <c r="L221" s="3" t="s">
        <v>1258</v>
      </c>
      <c r="M221" s="3" t="s">
        <v>1324</v>
      </c>
      <c r="N221" s="2"/>
      <c r="O221" s="3" t="s">
        <v>26</v>
      </c>
      <c r="P221" s="3" t="s">
        <v>27</v>
      </c>
      <c r="Q221" s="3" t="s">
        <v>5079</v>
      </c>
      <c r="R221" s="3" t="s">
        <v>396</v>
      </c>
      <c r="S221" s="3" t="s">
        <v>413</v>
      </c>
      <c r="T221" s="3" t="s">
        <v>1468</v>
      </c>
      <c r="U221" s="3" t="s">
        <v>43</v>
      </c>
      <c r="V221" s="3" t="s">
        <v>27</v>
      </c>
      <c r="W221" s="2"/>
      <c r="X221" s="2"/>
      <c r="Y221" s="2"/>
    </row>
    <row r="222" spans="1:25" x14ac:dyDescent="0.2">
      <c r="A222" s="3">
        <v>2227</v>
      </c>
      <c r="B222" s="4" t="s">
        <v>1469</v>
      </c>
      <c r="C222" s="3" t="s">
        <v>1470</v>
      </c>
      <c r="D222" s="3" t="s">
        <v>6002</v>
      </c>
      <c r="E222" s="3" t="s">
        <v>1471</v>
      </c>
      <c r="F222" s="3" t="s">
        <v>6003</v>
      </c>
      <c r="G222" s="3" t="s">
        <v>1472</v>
      </c>
      <c r="H222" s="2"/>
      <c r="I222" s="2"/>
      <c r="J222" s="3" t="s">
        <v>393</v>
      </c>
      <c r="K222" s="3" t="s">
        <v>1258</v>
      </c>
      <c r="L222" s="3" t="s">
        <v>1258</v>
      </c>
      <c r="M222" s="2"/>
      <c r="N222" s="2"/>
      <c r="O222" s="3" t="s">
        <v>26</v>
      </c>
      <c r="P222" s="3" t="s">
        <v>212</v>
      </c>
      <c r="Q222" s="3" t="s">
        <v>5193</v>
      </c>
      <c r="R222" s="3" t="s">
        <v>396</v>
      </c>
      <c r="S222" s="3" t="s">
        <v>29</v>
      </c>
      <c r="T222" s="3" t="s">
        <v>1473</v>
      </c>
      <c r="U222" s="3" t="s">
        <v>43</v>
      </c>
      <c r="V222" s="3" t="s">
        <v>212</v>
      </c>
      <c r="W222" s="2"/>
      <c r="X222" s="2"/>
      <c r="Y222" s="2"/>
    </row>
    <row r="223" spans="1:25" x14ac:dyDescent="0.2">
      <c r="A223" s="3">
        <v>818</v>
      </c>
      <c r="B223" s="4" t="s">
        <v>1474</v>
      </c>
      <c r="C223" s="3" t="s">
        <v>1475</v>
      </c>
      <c r="D223" s="3" t="s">
        <v>6005</v>
      </c>
      <c r="E223" s="3" t="s">
        <v>1476</v>
      </c>
      <c r="F223" s="3" t="s">
        <v>6006</v>
      </c>
      <c r="G223" s="3" t="s">
        <v>1477</v>
      </c>
      <c r="H223" s="2"/>
      <c r="I223" s="2"/>
      <c r="J223" s="3" t="s">
        <v>393</v>
      </c>
      <c r="K223" s="3" t="s">
        <v>453</v>
      </c>
      <c r="L223" s="3" t="s">
        <v>453</v>
      </c>
      <c r="M223" s="2"/>
      <c r="N223" s="2"/>
      <c r="O223" s="3" t="s">
        <v>26</v>
      </c>
      <c r="P223" s="3" t="s">
        <v>439</v>
      </c>
      <c r="Q223" s="3" t="s">
        <v>5352</v>
      </c>
      <c r="R223" s="3" t="s">
        <v>396</v>
      </c>
      <c r="S223" s="3" t="s">
        <v>413</v>
      </c>
      <c r="T223" s="3" t="s">
        <v>1478</v>
      </c>
      <c r="U223" s="3" t="s">
        <v>43</v>
      </c>
      <c r="V223" s="3" t="s">
        <v>439</v>
      </c>
      <c r="W223" s="2"/>
      <c r="X223" s="2"/>
      <c r="Y223" s="2"/>
    </row>
    <row r="224" spans="1:25" x14ac:dyDescent="0.2">
      <c r="A224" s="3">
        <v>819</v>
      </c>
      <c r="B224" s="4" t="s">
        <v>1479</v>
      </c>
      <c r="C224" s="3" t="s">
        <v>1480</v>
      </c>
      <c r="D224" s="3" t="s">
        <v>6008</v>
      </c>
      <c r="E224" s="3" t="s">
        <v>1481</v>
      </c>
      <c r="F224" s="3" t="s">
        <v>6009</v>
      </c>
      <c r="G224" s="3" t="s">
        <v>1477</v>
      </c>
      <c r="H224" s="2"/>
      <c r="I224" s="2"/>
      <c r="J224" s="3" t="s">
        <v>393</v>
      </c>
      <c r="K224" s="3" t="s">
        <v>453</v>
      </c>
      <c r="L224" s="3" t="s">
        <v>453</v>
      </c>
      <c r="M224" s="2"/>
      <c r="N224" s="2"/>
      <c r="O224" s="3" t="s">
        <v>426</v>
      </c>
      <c r="P224" s="3" t="s">
        <v>1482</v>
      </c>
      <c r="Q224" s="3" t="s">
        <v>5394</v>
      </c>
      <c r="R224" s="3" t="s">
        <v>396</v>
      </c>
      <c r="S224" s="3" t="s">
        <v>405</v>
      </c>
      <c r="T224" s="3" t="s">
        <v>1483</v>
      </c>
      <c r="U224" s="3" t="s">
        <v>43</v>
      </c>
      <c r="V224" s="3" t="s">
        <v>502</v>
      </c>
      <c r="W224" s="2"/>
      <c r="X224" s="2"/>
      <c r="Y224" s="2"/>
    </row>
    <row r="225" spans="1:25" x14ac:dyDescent="0.2">
      <c r="A225" s="3">
        <v>820</v>
      </c>
      <c r="B225" s="4" t="s">
        <v>1484</v>
      </c>
      <c r="C225" s="3" t="s">
        <v>1485</v>
      </c>
      <c r="D225" s="3" t="s">
        <v>6011</v>
      </c>
      <c r="E225" s="3" t="s">
        <v>1486</v>
      </c>
      <c r="F225" s="3" t="s">
        <v>6012</v>
      </c>
      <c r="G225" s="3" t="s">
        <v>410</v>
      </c>
      <c r="H225" s="2"/>
      <c r="I225" s="2"/>
      <c r="J225" s="3" t="s">
        <v>393</v>
      </c>
      <c r="K225" s="3" t="s">
        <v>453</v>
      </c>
      <c r="L225" s="3" t="s">
        <v>453</v>
      </c>
      <c r="M225" s="2"/>
      <c r="N225" s="2"/>
      <c r="O225" s="3" t="s">
        <v>426</v>
      </c>
      <c r="P225" s="3" t="s">
        <v>1487</v>
      </c>
      <c r="Q225" s="3" t="s">
        <v>6013</v>
      </c>
      <c r="R225" s="3" t="s">
        <v>396</v>
      </c>
      <c r="S225" s="3" t="s">
        <v>455</v>
      </c>
      <c r="T225" s="3" t="s">
        <v>1488</v>
      </c>
      <c r="U225" s="3" t="s">
        <v>43</v>
      </c>
      <c r="V225" s="3" t="s">
        <v>1489</v>
      </c>
      <c r="W225" s="2"/>
      <c r="X225" s="2"/>
      <c r="Y225" s="2"/>
    </row>
    <row r="226" spans="1:25" x14ac:dyDescent="0.2">
      <c r="A226" s="3">
        <v>821</v>
      </c>
      <c r="B226" s="4" t="s">
        <v>1490</v>
      </c>
      <c r="C226" s="3" t="s">
        <v>1491</v>
      </c>
      <c r="D226" s="3" t="s">
        <v>6016</v>
      </c>
      <c r="E226" s="3" t="s">
        <v>1492</v>
      </c>
      <c r="F226" s="3" t="s">
        <v>6017</v>
      </c>
      <c r="G226" s="3" t="s">
        <v>410</v>
      </c>
      <c r="H226" s="2"/>
      <c r="I226" s="2"/>
      <c r="J226" s="3" t="s">
        <v>393</v>
      </c>
      <c r="K226" s="3" t="s">
        <v>453</v>
      </c>
      <c r="L226" s="3" t="s">
        <v>453</v>
      </c>
      <c r="M226" s="2"/>
      <c r="N226" s="2"/>
      <c r="O226" s="3" t="s">
        <v>26</v>
      </c>
      <c r="P226" s="3" t="s">
        <v>439</v>
      </c>
      <c r="Q226" s="3" t="s">
        <v>5352</v>
      </c>
      <c r="R226" s="3" t="s">
        <v>396</v>
      </c>
      <c r="S226" s="3" t="s">
        <v>413</v>
      </c>
      <c r="T226" s="3" t="s">
        <v>1493</v>
      </c>
      <c r="U226" s="3" t="s">
        <v>43</v>
      </c>
      <c r="V226" s="3" t="s">
        <v>1494</v>
      </c>
      <c r="W226" s="2"/>
      <c r="X226" s="2"/>
      <c r="Y226" s="2"/>
    </row>
    <row r="227" spans="1:25" x14ac:dyDescent="0.2">
      <c r="A227" s="3">
        <v>824</v>
      </c>
      <c r="B227" s="4" t="s">
        <v>1495</v>
      </c>
      <c r="C227" s="3" t="s">
        <v>1496</v>
      </c>
      <c r="D227" s="3" t="s">
        <v>6020</v>
      </c>
      <c r="E227" s="3" t="s">
        <v>1497</v>
      </c>
      <c r="F227" s="3" t="s">
        <v>6021</v>
      </c>
      <c r="G227" s="3" t="s">
        <v>1498</v>
      </c>
      <c r="H227" s="3" t="s">
        <v>513</v>
      </c>
      <c r="I227" s="2"/>
      <c r="J227" s="3" t="s">
        <v>393</v>
      </c>
      <c r="K227" s="3" t="s">
        <v>453</v>
      </c>
      <c r="L227" s="3" t="s">
        <v>453</v>
      </c>
      <c r="M227" s="2"/>
      <c r="N227" s="2"/>
      <c r="O227" s="3" t="s">
        <v>426</v>
      </c>
      <c r="P227" s="3" t="s">
        <v>27</v>
      </c>
      <c r="Q227" s="3" t="s">
        <v>5079</v>
      </c>
      <c r="R227" s="3" t="s">
        <v>396</v>
      </c>
      <c r="S227" s="3" t="s">
        <v>397</v>
      </c>
      <c r="T227" s="3" t="s">
        <v>1499</v>
      </c>
      <c r="U227" s="3" t="s">
        <v>43</v>
      </c>
      <c r="V227" s="3" t="s">
        <v>27</v>
      </c>
      <c r="W227" s="2"/>
      <c r="X227" s="2"/>
      <c r="Y227" s="2"/>
    </row>
    <row r="228" spans="1:25" x14ac:dyDescent="0.2">
      <c r="A228" s="3">
        <v>825</v>
      </c>
      <c r="B228" s="4" t="s">
        <v>1500</v>
      </c>
      <c r="C228" s="3" t="s">
        <v>1501</v>
      </c>
      <c r="D228" s="3" t="s">
        <v>6023</v>
      </c>
      <c r="E228" s="3" t="s">
        <v>1502</v>
      </c>
      <c r="F228" s="3" t="s">
        <v>6024</v>
      </c>
      <c r="G228" s="3" t="s">
        <v>858</v>
      </c>
      <c r="H228" s="2"/>
      <c r="I228" s="2"/>
      <c r="J228" s="3" t="s">
        <v>393</v>
      </c>
      <c r="K228" s="3" t="s">
        <v>453</v>
      </c>
      <c r="L228" s="3" t="s">
        <v>453</v>
      </c>
      <c r="M228" s="2"/>
      <c r="N228" s="2"/>
      <c r="O228" s="3" t="s">
        <v>26</v>
      </c>
      <c r="P228" s="3" t="s">
        <v>71</v>
      </c>
      <c r="Q228" s="3" t="s">
        <v>5107</v>
      </c>
      <c r="R228" s="3" t="s">
        <v>396</v>
      </c>
      <c r="S228" s="3" t="s">
        <v>397</v>
      </c>
      <c r="T228" s="3" t="s">
        <v>1503</v>
      </c>
      <c r="U228" s="3" t="s">
        <v>43</v>
      </c>
      <c r="V228" s="3" t="s">
        <v>1083</v>
      </c>
      <c r="W228" s="2"/>
      <c r="X228" s="2"/>
      <c r="Y228" s="2"/>
    </row>
    <row r="229" spans="1:25" x14ac:dyDescent="0.2">
      <c r="A229" s="3">
        <v>826</v>
      </c>
      <c r="B229" s="4" t="s">
        <v>1504</v>
      </c>
      <c r="C229" s="3" t="s">
        <v>1505</v>
      </c>
      <c r="D229" s="3" t="s">
        <v>6026</v>
      </c>
      <c r="E229" s="3" t="s">
        <v>1506</v>
      </c>
      <c r="F229" s="3" t="s">
        <v>6027</v>
      </c>
      <c r="G229" s="3" t="s">
        <v>1507</v>
      </c>
      <c r="H229" s="2"/>
      <c r="I229" s="2"/>
      <c r="J229" s="3" t="s">
        <v>393</v>
      </c>
      <c r="K229" s="3" t="s">
        <v>453</v>
      </c>
      <c r="L229" s="3" t="s">
        <v>453</v>
      </c>
      <c r="M229" s="2"/>
      <c r="N229" s="2"/>
      <c r="O229" s="3" t="s">
        <v>26</v>
      </c>
      <c r="P229" s="3" t="s">
        <v>439</v>
      </c>
      <c r="Q229" s="3" t="s">
        <v>5352</v>
      </c>
      <c r="R229" s="3" t="s">
        <v>396</v>
      </c>
      <c r="S229" s="3" t="s">
        <v>413</v>
      </c>
      <c r="T229" s="3" t="s">
        <v>1508</v>
      </c>
      <c r="U229" s="3" t="s">
        <v>43</v>
      </c>
      <c r="V229" s="3" t="s">
        <v>439</v>
      </c>
      <c r="W229" s="2"/>
      <c r="X229" s="2"/>
      <c r="Y229" s="2"/>
    </row>
    <row r="230" spans="1:25" x14ac:dyDescent="0.2">
      <c r="A230" s="3">
        <v>827</v>
      </c>
      <c r="B230" s="4" t="s">
        <v>1509</v>
      </c>
      <c r="C230" s="3" t="s">
        <v>1510</v>
      </c>
      <c r="D230" s="3" t="s">
        <v>6029</v>
      </c>
      <c r="E230" s="3" t="s">
        <v>1511</v>
      </c>
      <c r="F230" s="3" t="s">
        <v>6030</v>
      </c>
      <c r="G230" s="3" t="s">
        <v>1512</v>
      </c>
      <c r="H230" s="2"/>
      <c r="I230" s="2"/>
      <c r="J230" s="3" t="s">
        <v>393</v>
      </c>
      <c r="K230" s="3" t="s">
        <v>453</v>
      </c>
      <c r="L230" s="3" t="s">
        <v>453</v>
      </c>
      <c r="M230" s="2"/>
      <c r="N230" s="2"/>
      <c r="O230" s="3" t="s">
        <v>26</v>
      </c>
      <c r="P230" s="3" t="s">
        <v>439</v>
      </c>
      <c r="Q230" s="3" t="s">
        <v>5352</v>
      </c>
      <c r="R230" s="3" t="s">
        <v>396</v>
      </c>
      <c r="S230" s="3" t="s">
        <v>455</v>
      </c>
      <c r="T230" s="3" t="s">
        <v>1513</v>
      </c>
      <c r="U230" s="3" t="s">
        <v>43</v>
      </c>
      <c r="V230" s="3" t="s">
        <v>439</v>
      </c>
      <c r="W230" s="2"/>
      <c r="X230" s="2"/>
      <c r="Y230" s="2"/>
    </row>
    <row r="231" spans="1:25" x14ac:dyDescent="0.2">
      <c r="A231" s="3">
        <v>828</v>
      </c>
      <c r="B231" s="4" t="s">
        <v>1514</v>
      </c>
      <c r="C231" s="3" t="s">
        <v>1515</v>
      </c>
      <c r="D231" s="3" t="s">
        <v>6032</v>
      </c>
      <c r="E231" s="3" t="s">
        <v>1516</v>
      </c>
      <c r="F231" s="3" t="s">
        <v>6033</v>
      </c>
      <c r="G231" s="3" t="s">
        <v>1512</v>
      </c>
      <c r="H231" s="2"/>
      <c r="I231" s="2"/>
      <c r="J231" s="3" t="s">
        <v>393</v>
      </c>
      <c r="K231" s="3" t="s">
        <v>453</v>
      </c>
      <c r="L231" s="3" t="s">
        <v>453</v>
      </c>
      <c r="M231" s="2"/>
      <c r="N231" s="2"/>
      <c r="O231" s="3" t="s">
        <v>426</v>
      </c>
      <c r="P231" s="3" t="s">
        <v>439</v>
      </c>
      <c r="Q231" s="3" t="s">
        <v>5352</v>
      </c>
      <c r="R231" s="3" t="s">
        <v>396</v>
      </c>
      <c r="S231" s="3" t="s">
        <v>455</v>
      </c>
      <c r="T231" s="3" t="s">
        <v>1517</v>
      </c>
      <c r="U231" s="3" t="s">
        <v>43</v>
      </c>
      <c r="V231" s="3" t="s">
        <v>439</v>
      </c>
      <c r="W231" s="2"/>
      <c r="X231" s="2"/>
      <c r="Y231" s="2"/>
    </row>
    <row r="232" spans="1:25" x14ac:dyDescent="0.2">
      <c r="A232" s="3">
        <v>829</v>
      </c>
      <c r="B232" s="4" t="s">
        <v>1518</v>
      </c>
      <c r="C232" s="3" t="s">
        <v>1519</v>
      </c>
      <c r="D232" s="3" t="s">
        <v>6035</v>
      </c>
      <c r="E232" s="3" t="s">
        <v>1520</v>
      </c>
      <c r="F232" s="3" t="s">
        <v>6036</v>
      </c>
      <c r="G232" s="3" t="s">
        <v>1521</v>
      </c>
      <c r="H232" s="2"/>
      <c r="I232" s="2"/>
      <c r="J232" s="3" t="s">
        <v>393</v>
      </c>
      <c r="K232" s="3" t="s">
        <v>453</v>
      </c>
      <c r="L232" s="3" t="s">
        <v>453</v>
      </c>
      <c r="M232" s="2"/>
      <c r="N232" s="2"/>
      <c r="O232" s="3" t="s">
        <v>426</v>
      </c>
      <c r="P232" s="3" t="s">
        <v>27</v>
      </c>
      <c r="Q232" s="3" t="s">
        <v>5079</v>
      </c>
      <c r="R232" s="3" t="s">
        <v>396</v>
      </c>
      <c r="S232" s="3" t="s">
        <v>455</v>
      </c>
      <c r="T232" s="3" t="s">
        <v>1522</v>
      </c>
      <c r="U232" s="3" t="s">
        <v>43</v>
      </c>
      <c r="V232" s="3" t="s">
        <v>27</v>
      </c>
      <c r="W232" s="2"/>
      <c r="X232" s="2"/>
      <c r="Y232" s="2"/>
    </row>
    <row r="233" spans="1:25" x14ac:dyDescent="0.2">
      <c r="A233" s="3">
        <v>663</v>
      </c>
      <c r="B233" s="4" t="s">
        <v>1523</v>
      </c>
      <c r="C233" s="3" t="s">
        <v>1524</v>
      </c>
      <c r="D233" s="3" t="s">
        <v>6038</v>
      </c>
      <c r="E233" s="3" t="s">
        <v>1525</v>
      </c>
      <c r="F233" s="3" t="s">
        <v>6039</v>
      </c>
      <c r="G233" s="3" t="s">
        <v>846</v>
      </c>
      <c r="H233" s="2"/>
      <c r="I233" s="2"/>
      <c r="J233" s="3" t="s">
        <v>393</v>
      </c>
      <c r="K233" s="3" t="s">
        <v>453</v>
      </c>
      <c r="L233" s="3" t="s">
        <v>453</v>
      </c>
      <c r="M233" s="2"/>
      <c r="N233" s="2"/>
      <c r="O233" s="3" t="s">
        <v>426</v>
      </c>
      <c r="P233" s="3" t="s">
        <v>395</v>
      </c>
      <c r="Q233" s="3" t="s">
        <v>5324</v>
      </c>
      <c r="R233" s="3" t="s">
        <v>396</v>
      </c>
      <c r="S233" s="3" t="s">
        <v>982</v>
      </c>
      <c r="T233" s="3" t="s">
        <v>1526</v>
      </c>
      <c r="U233" s="3" t="s">
        <v>43</v>
      </c>
      <c r="V233" s="3" t="s">
        <v>395</v>
      </c>
      <c r="W233" s="2"/>
      <c r="X233" s="2"/>
      <c r="Y233" s="2"/>
    </row>
    <row r="234" spans="1:25" x14ac:dyDescent="0.2">
      <c r="A234" s="3">
        <v>664</v>
      </c>
      <c r="B234" s="4" t="s">
        <v>1527</v>
      </c>
      <c r="C234" s="3" t="s">
        <v>1528</v>
      </c>
      <c r="D234" s="3" t="s">
        <v>6041</v>
      </c>
      <c r="E234" s="3" t="s">
        <v>1529</v>
      </c>
      <c r="F234" s="3" t="s">
        <v>6042</v>
      </c>
      <c r="G234" s="3" t="s">
        <v>846</v>
      </c>
      <c r="H234" s="2"/>
      <c r="I234" s="2"/>
      <c r="J234" s="3" t="s">
        <v>393</v>
      </c>
      <c r="K234" s="3" t="s">
        <v>453</v>
      </c>
      <c r="L234" s="3" t="s">
        <v>453</v>
      </c>
      <c r="M234" s="2"/>
      <c r="N234" s="2"/>
      <c r="O234" s="3" t="s">
        <v>426</v>
      </c>
      <c r="P234" s="3" t="s">
        <v>1530</v>
      </c>
      <c r="Q234" s="3" t="s">
        <v>6043</v>
      </c>
      <c r="R234" s="3" t="s">
        <v>396</v>
      </c>
      <c r="S234" s="3" t="s">
        <v>982</v>
      </c>
      <c r="T234" s="3" t="s">
        <v>1531</v>
      </c>
      <c r="U234" s="2"/>
      <c r="V234" s="3" t="s">
        <v>60</v>
      </c>
      <c r="W234" s="2"/>
      <c r="X234" s="2"/>
      <c r="Y234" s="2"/>
    </row>
    <row r="235" spans="1:25" x14ac:dyDescent="0.2">
      <c r="A235" s="3">
        <v>665</v>
      </c>
      <c r="B235" s="4" t="s">
        <v>1532</v>
      </c>
      <c r="C235" s="3" t="s">
        <v>1533</v>
      </c>
      <c r="D235" s="3" t="s">
        <v>6045</v>
      </c>
      <c r="E235" s="3" t="s">
        <v>1534</v>
      </c>
      <c r="F235" s="3" t="s">
        <v>6046</v>
      </c>
      <c r="G235" s="3" t="s">
        <v>846</v>
      </c>
      <c r="H235" s="2"/>
      <c r="I235" s="2"/>
      <c r="J235" s="3" t="s">
        <v>393</v>
      </c>
      <c r="K235" s="3" t="s">
        <v>453</v>
      </c>
      <c r="L235" s="3" t="s">
        <v>453</v>
      </c>
      <c r="M235" s="2"/>
      <c r="N235" s="2"/>
      <c r="O235" s="3" t="s">
        <v>426</v>
      </c>
      <c r="P235" s="3" t="s">
        <v>27</v>
      </c>
      <c r="Q235" s="3" t="s">
        <v>5079</v>
      </c>
      <c r="R235" s="3" t="s">
        <v>396</v>
      </c>
      <c r="S235" s="3" t="s">
        <v>1535</v>
      </c>
      <c r="T235" s="3" t="s">
        <v>1536</v>
      </c>
      <c r="U235" s="3" t="s">
        <v>43</v>
      </c>
      <c r="V235" s="3" t="s">
        <v>1537</v>
      </c>
      <c r="W235" s="2"/>
      <c r="X235" s="2"/>
      <c r="Y235" s="2"/>
    </row>
    <row r="236" spans="1:25" x14ac:dyDescent="0.2">
      <c r="A236" s="3">
        <v>765</v>
      </c>
      <c r="B236" s="4" t="s">
        <v>1538</v>
      </c>
      <c r="C236" s="3" t="s">
        <v>1539</v>
      </c>
      <c r="D236" s="3" t="s">
        <v>6050</v>
      </c>
      <c r="E236" s="3" t="s">
        <v>1540</v>
      </c>
      <c r="F236" s="3" t="s">
        <v>6051</v>
      </c>
      <c r="G236" s="3" t="s">
        <v>988</v>
      </c>
      <c r="H236" s="2"/>
      <c r="I236" s="2"/>
      <c r="J236" s="3" t="s">
        <v>393</v>
      </c>
      <c r="K236" s="3" t="s">
        <v>880</v>
      </c>
      <c r="L236" s="3" t="s">
        <v>5629</v>
      </c>
      <c r="M236" s="2"/>
      <c r="N236" s="2"/>
      <c r="O236" s="3" t="s">
        <v>39</v>
      </c>
      <c r="P236" s="3" t="s">
        <v>60</v>
      </c>
      <c r="Q236" s="3" t="s">
        <v>5100</v>
      </c>
      <c r="R236" s="3" t="s">
        <v>396</v>
      </c>
      <c r="S236" s="3" t="s">
        <v>29</v>
      </c>
      <c r="T236" s="3" t="s">
        <v>1541</v>
      </c>
      <c r="U236" s="2"/>
      <c r="V236" s="3" t="s">
        <v>60</v>
      </c>
      <c r="W236" s="2"/>
      <c r="X236" s="2"/>
      <c r="Y236" s="2"/>
    </row>
    <row r="237" spans="1:25" x14ac:dyDescent="0.2">
      <c r="A237" s="3">
        <v>767</v>
      </c>
      <c r="B237" s="4" t="s">
        <v>1542</v>
      </c>
      <c r="C237" s="3" t="s">
        <v>1543</v>
      </c>
      <c r="D237" s="3" t="s">
        <v>6053</v>
      </c>
      <c r="E237" s="3" t="s">
        <v>1544</v>
      </c>
      <c r="F237" s="3" t="s">
        <v>6054</v>
      </c>
      <c r="G237" s="3" t="s">
        <v>451</v>
      </c>
      <c r="H237" s="3" t="s">
        <v>1545</v>
      </c>
      <c r="I237" s="3" t="s">
        <v>77</v>
      </c>
      <c r="J237" s="3" t="s">
        <v>393</v>
      </c>
      <c r="K237" s="3" t="s">
        <v>1360</v>
      </c>
      <c r="L237" s="3" t="s">
        <v>1360</v>
      </c>
      <c r="M237" s="2"/>
      <c r="N237" s="4" t="s">
        <v>1546</v>
      </c>
      <c r="O237" s="3" t="s">
        <v>26</v>
      </c>
      <c r="P237" s="3" t="s">
        <v>60</v>
      </c>
      <c r="Q237" s="3" t="s">
        <v>5100</v>
      </c>
      <c r="R237" s="3" t="s">
        <v>396</v>
      </c>
      <c r="S237" s="3" t="s">
        <v>700</v>
      </c>
      <c r="T237" s="3" t="s">
        <v>1547</v>
      </c>
      <c r="U237" s="3" t="s">
        <v>1548</v>
      </c>
      <c r="V237" s="3" t="s">
        <v>60</v>
      </c>
      <c r="W237" s="2"/>
      <c r="X237" s="2"/>
      <c r="Y237" s="2"/>
    </row>
    <row r="238" spans="1:25" x14ac:dyDescent="0.2">
      <c r="A238" s="3">
        <v>769</v>
      </c>
      <c r="B238" s="4" t="s">
        <v>1549</v>
      </c>
      <c r="C238" s="3" t="s">
        <v>1550</v>
      </c>
      <c r="D238" s="3" t="s">
        <v>6057</v>
      </c>
      <c r="E238" s="3" t="s">
        <v>1551</v>
      </c>
      <c r="F238" s="3" t="s">
        <v>6058</v>
      </c>
      <c r="G238" s="3" t="s">
        <v>437</v>
      </c>
      <c r="H238" s="3" t="s">
        <v>1552</v>
      </c>
      <c r="I238" s="3" t="s">
        <v>1552</v>
      </c>
      <c r="J238" s="3" t="s">
        <v>393</v>
      </c>
      <c r="K238" s="3" t="s">
        <v>411</v>
      </c>
      <c r="L238" s="3" t="s">
        <v>411</v>
      </c>
      <c r="M238" s="2"/>
      <c r="N238" s="2"/>
      <c r="O238" s="3" t="s">
        <v>1553</v>
      </c>
      <c r="P238" s="3" t="s">
        <v>1554</v>
      </c>
      <c r="Q238" s="3" t="s">
        <v>6060</v>
      </c>
      <c r="R238" s="3" t="s">
        <v>396</v>
      </c>
      <c r="S238" s="3" t="s">
        <v>405</v>
      </c>
      <c r="T238" s="3" t="s">
        <v>1555</v>
      </c>
      <c r="U238" s="3" t="s">
        <v>43</v>
      </c>
      <c r="V238" s="3" t="s">
        <v>71</v>
      </c>
      <c r="W238" s="2"/>
      <c r="X238" s="2"/>
      <c r="Y238" s="2"/>
    </row>
    <row r="239" spans="1:25" x14ac:dyDescent="0.2">
      <c r="A239" s="3">
        <v>784</v>
      </c>
      <c r="B239" s="4" t="s">
        <v>1556</v>
      </c>
      <c r="C239" s="3" t="s">
        <v>1557</v>
      </c>
      <c r="D239" s="3" t="s">
        <v>6062</v>
      </c>
      <c r="E239" s="3" t="s">
        <v>1558</v>
      </c>
      <c r="F239" s="3" t="s">
        <v>6063</v>
      </c>
      <c r="G239" s="3" t="s">
        <v>392</v>
      </c>
      <c r="H239" s="2"/>
      <c r="I239" s="2"/>
      <c r="J239" s="3" t="s">
        <v>393</v>
      </c>
      <c r="K239" s="3" t="s">
        <v>1559</v>
      </c>
      <c r="L239" s="3" t="s">
        <v>1559</v>
      </c>
      <c r="M239" s="2"/>
      <c r="N239" s="2"/>
      <c r="O239" s="3" t="s">
        <v>412</v>
      </c>
      <c r="P239" s="2"/>
      <c r="Q239" s="3">
        <v>0</v>
      </c>
      <c r="R239" s="3" t="s">
        <v>396</v>
      </c>
      <c r="S239" s="3" t="s">
        <v>1560</v>
      </c>
      <c r="T239" s="3" t="s">
        <v>1561</v>
      </c>
      <c r="U239" s="3" t="s">
        <v>1548</v>
      </c>
      <c r="V239" s="3" t="s">
        <v>1459</v>
      </c>
      <c r="W239" s="2"/>
      <c r="X239" s="2"/>
      <c r="Y239" s="2"/>
    </row>
    <row r="240" spans="1:25" x14ac:dyDescent="0.2">
      <c r="A240" s="3">
        <v>785</v>
      </c>
      <c r="B240" s="4" t="s">
        <v>1562</v>
      </c>
      <c r="C240" s="3" t="s">
        <v>1563</v>
      </c>
      <c r="D240" s="3" t="s">
        <v>6066</v>
      </c>
      <c r="E240" s="3" t="s">
        <v>1564</v>
      </c>
      <c r="F240" s="3" t="s">
        <v>6067</v>
      </c>
      <c r="G240" s="3" t="s">
        <v>1565</v>
      </c>
      <c r="H240" s="2"/>
      <c r="I240" s="2"/>
      <c r="J240" s="3" t="s">
        <v>393</v>
      </c>
      <c r="K240" s="3" t="s">
        <v>491</v>
      </c>
      <c r="L240" s="3" t="s">
        <v>491</v>
      </c>
      <c r="M240" s="2"/>
      <c r="N240" s="2"/>
      <c r="O240" s="3" t="s">
        <v>426</v>
      </c>
      <c r="P240" s="3" t="s">
        <v>27</v>
      </c>
      <c r="Q240" s="3" t="s">
        <v>5079</v>
      </c>
      <c r="R240" s="3" t="s">
        <v>396</v>
      </c>
      <c r="S240" s="3" t="s">
        <v>700</v>
      </c>
      <c r="T240" s="3" t="s">
        <v>1566</v>
      </c>
      <c r="U240" s="3" t="s">
        <v>43</v>
      </c>
      <c r="V240" s="3" t="s">
        <v>27</v>
      </c>
      <c r="W240" s="2"/>
      <c r="X240" s="2"/>
      <c r="Y240" s="2"/>
    </row>
    <row r="241" spans="1:25" x14ac:dyDescent="0.2">
      <c r="A241" s="3">
        <v>799</v>
      </c>
      <c r="B241" s="4" t="s">
        <v>1567</v>
      </c>
      <c r="C241" s="3" t="s">
        <v>1568</v>
      </c>
      <c r="D241" s="3" t="s">
        <v>6069</v>
      </c>
      <c r="E241" s="3" t="s">
        <v>1569</v>
      </c>
      <c r="F241" s="3" t="s">
        <v>6070</v>
      </c>
      <c r="G241" s="3" t="s">
        <v>1565</v>
      </c>
      <c r="H241" s="3" t="s">
        <v>1565</v>
      </c>
      <c r="I241" s="3" t="s">
        <v>1565</v>
      </c>
      <c r="J241" s="3" t="s">
        <v>393</v>
      </c>
      <c r="K241" s="3" t="s">
        <v>453</v>
      </c>
      <c r="L241" s="3" t="s">
        <v>453</v>
      </c>
      <c r="M241" s="2"/>
      <c r="N241" s="2"/>
      <c r="O241" s="3" t="s">
        <v>26</v>
      </c>
      <c r="P241" s="3" t="s">
        <v>439</v>
      </c>
      <c r="Q241" s="3" t="s">
        <v>5352</v>
      </c>
      <c r="R241" s="3" t="s">
        <v>396</v>
      </c>
      <c r="S241" s="3" t="s">
        <v>700</v>
      </c>
      <c r="T241" s="3" t="s">
        <v>1570</v>
      </c>
      <c r="U241" s="3" t="s">
        <v>43</v>
      </c>
      <c r="V241" s="3" t="s">
        <v>439</v>
      </c>
      <c r="W241" s="2"/>
      <c r="X241" s="2"/>
      <c r="Y241" s="2"/>
    </row>
    <row r="242" spans="1:25" x14ac:dyDescent="0.2">
      <c r="A242" s="3">
        <v>800</v>
      </c>
      <c r="B242" s="4" t="s">
        <v>1571</v>
      </c>
      <c r="C242" s="3" t="s">
        <v>1572</v>
      </c>
      <c r="D242" s="3" t="s">
        <v>6072</v>
      </c>
      <c r="E242" s="3" t="s">
        <v>1573</v>
      </c>
      <c r="F242" s="3" t="s">
        <v>6073</v>
      </c>
      <c r="G242" s="3" t="s">
        <v>451</v>
      </c>
      <c r="H242" s="3" t="s">
        <v>451</v>
      </c>
      <c r="I242" s="3" t="s">
        <v>451</v>
      </c>
      <c r="J242" s="3" t="s">
        <v>393</v>
      </c>
      <c r="K242" s="3" t="s">
        <v>453</v>
      </c>
      <c r="L242" s="3" t="s">
        <v>453</v>
      </c>
      <c r="M242" s="2"/>
      <c r="N242" s="2"/>
      <c r="O242" s="3" t="s">
        <v>26</v>
      </c>
      <c r="P242" s="3" t="s">
        <v>439</v>
      </c>
      <c r="Q242" s="3" t="s">
        <v>5352</v>
      </c>
      <c r="R242" s="3" t="s">
        <v>396</v>
      </c>
      <c r="S242" s="3" t="s">
        <v>982</v>
      </c>
      <c r="T242" s="3" t="s">
        <v>1574</v>
      </c>
      <c r="U242" s="3" t="s">
        <v>43</v>
      </c>
      <c r="V242" s="3" t="s">
        <v>27</v>
      </c>
      <c r="W242" s="2"/>
      <c r="X242" s="2"/>
      <c r="Y242" s="2"/>
    </row>
    <row r="243" spans="1:25" x14ac:dyDescent="0.2">
      <c r="A243" s="3">
        <v>801</v>
      </c>
      <c r="B243" s="4" t="s">
        <v>1575</v>
      </c>
      <c r="C243" s="3" t="s">
        <v>1576</v>
      </c>
      <c r="D243" s="3" t="s">
        <v>6075</v>
      </c>
      <c r="E243" s="3" t="s">
        <v>1577</v>
      </c>
      <c r="F243" s="3" t="s">
        <v>6076</v>
      </c>
      <c r="G243" s="3" t="s">
        <v>451</v>
      </c>
      <c r="H243" s="3" t="s">
        <v>451</v>
      </c>
      <c r="I243" s="3" t="s">
        <v>451</v>
      </c>
      <c r="J243" s="3" t="s">
        <v>393</v>
      </c>
      <c r="K243" s="3" t="s">
        <v>453</v>
      </c>
      <c r="L243" s="3" t="s">
        <v>453</v>
      </c>
      <c r="M243" s="2"/>
      <c r="N243" s="2"/>
      <c r="O243" s="3" t="s">
        <v>26</v>
      </c>
      <c r="P243" s="3" t="s">
        <v>439</v>
      </c>
      <c r="Q243" s="3" t="s">
        <v>5352</v>
      </c>
      <c r="R243" s="3" t="s">
        <v>396</v>
      </c>
      <c r="S243" s="3" t="s">
        <v>700</v>
      </c>
      <c r="T243" s="3" t="s">
        <v>1578</v>
      </c>
      <c r="U243" s="3" t="s">
        <v>43</v>
      </c>
      <c r="V243" s="3" t="s">
        <v>439</v>
      </c>
      <c r="W243" s="2"/>
      <c r="X243" s="2"/>
      <c r="Y243" s="2"/>
    </row>
    <row r="244" spans="1:25" x14ac:dyDescent="0.2">
      <c r="A244" s="3">
        <v>802</v>
      </c>
      <c r="B244" s="4" t="s">
        <v>1579</v>
      </c>
      <c r="C244" s="3" t="s">
        <v>1580</v>
      </c>
      <c r="D244" s="3" t="s">
        <v>6078</v>
      </c>
      <c r="E244" s="3" t="s">
        <v>1581</v>
      </c>
      <c r="F244" s="3" t="s">
        <v>6079</v>
      </c>
      <c r="G244" s="3" t="s">
        <v>1498</v>
      </c>
      <c r="H244" s="3" t="s">
        <v>451</v>
      </c>
      <c r="I244" s="3" t="s">
        <v>451</v>
      </c>
      <c r="J244" s="3" t="s">
        <v>393</v>
      </c>
      <c r="K244" s="3" t="s">
        <v>453</v>
      </c>
      <c r="L244" s="3" t="s">
        <v>453</v>
      </c>
      <c r="M244" s="2"/>
      <c r="N244" s="2"/>
      <c r="O244" s="3" t="s">
        <v>26</v>
      </c>
      <c r="P244" s="3" t="s">
        <v>439</v>
      </c>
      <c r="Q244" s="3" t="s">
        <v>5352</v>
      </c>
      <c r="R244" s="3" t="s">
        <v>396</v>
      </c>
      <c r="S244" s="3" t="s">
        <v>700</v>
      </c>
      <c r="T244" s="3" t="s">
        <v>1582</v>
      </c>
      <c r="U244" s="3" t="s">
        <v>43</v>
      </c>
      <c r="V244" s="3" t="s">
        <v>439</v>
      </c>
      <c r="W244" s="2"/>
      <c r="X244" s="2"/>
      <c r="Y244" s="2"/>
    </row>
    <row r="245" spans="1:25" x14ac:dyDescent="0.2">
      <c r="A245" s="3">
        <v>803</v>
      </c>
      <c r="B245" s="4" t="s">
        <v>1583</v>
      </c>
      <c r="C245" s="3" t="s">
        <v>1584</v>
      </c>
      <c r="D245" s="3" t="s">
        <v>6081</v>
      </c>
      <c r="E245" s="3" t="s">
        <v>1585</v>
      </c>
      <c r="F245" s="3" t="s">
        <v>6082</v>
      </c>
      <c r="G245" s="3" t="s">
        <v>1498</v>
      </c>
      <c r="H245" s="3" t="s">
        <v>1586</v>
      </c>
      <c r="I245" s="2"/>
      <c r="J245" s="3" t="s">
        <v>393</v>
      </c>
      <c r="K245" s="3" t="s">
        <v>453</v>
      </c>
      <c r="L245" s="3" t="s">
        <v>453</v>
      </c>
      <c r="M245" s="3" t="s">
        <v>1587</v>
      </c>
      <c r="N245" s="2"/>
      <c r="O245" s="3" t="s">
        <v>426</v>
      </c>
      <c r="P245" s="3" t="s">
        <v>1588</v>
      </c>
      <c r="Q245" s="3" t="s">
        <v>5524</v>
      </c>
      <c r="R245" s="3" t="s">
        <v>396</v>
      </c>
      <c r="S245" s="3" t="s">
        <v>455</v>
      </c>
      <c r="T245" s="3" t="s">
        <v>1589</v>
      </c>
      <c r="U245" s="3" t="s">
        <v>43</v>
      </c>
      <c r="V245" s="3" t="s">
        <v>709</v>
      </c>
      <c r="W245" s="2"/>
      <c r="X245" s="2"/>
      <c r="Y245" s="2"/>
    </row>
    <row r="246" spans="1:25" x14ac:dyDescent="0.2">
      <c r="A246" s="3">
        <v>804</v>
      </c>
      <c r="B246" s="4" t="s">
        <v>1590</v>
      </c>
      <c r="C246" s="3" t="s">
        <v>1591</v>
      </c>
      <c r="D246" s="3" t="s">
        <v>6085</v>
      </c>
      <c r="E246" s="3" t="s">
        <v>1592</v>
      </c>
      <c r="F246" s="3" t="s">
        <v>6086</v>
      </c>
      <c r="G246" s="3" t="s">
        <v>403</v>
      </c>
      <c r="H246" s="2"/>
      <c r="I246" s="2"/>
      <c r="J246" s="3" t="s">
        <v>393</v>
      </c>
      <c r="K246" s="3" t="s">
        <v>453</v>
      </c>
      <c r="L246" s="3" t="s">
        <v>453</v>
      </c>
      <c r="M246" s="2"/>
      <c r="N246" s="2"/>
      <c r="O246" s="3" t="s">
        <v>26</v>
      </c>
      <c r="P246" s="3" t="s">
        <v>395</v>
      </c>
      <c r="Q246" s="3" t="s">
        <v>5324</v>
      </c>
      <c r="R246" s="3" t="s">
        <v>396</v>
      </c>
      <c r="S246" s="3" t="s">
        <v>1593</v>
      </c>
      <c r="T246" s="3" t="s">
        <v>1594</v>
      </c>
      <c r="U246" s="3" t="s">
        <v>43</v>
      </c>
      <c r="V246" s="3" t="s">
        <v>395</v>
      </c>
      <c r="W246" s="2"/>
      <c r="X246" s="2"/>
      <c r="Y246" s="2"/>
    </row>
    <row r="247" spans="1:25" x14ac:dyDescent="0.2">
      <c r="A247" s="3">
        <v>805</v>
      </c>
      <c r="B247" s="4" t="s">
        <v>1595</v>
      </c>
      <c r="C247" s="3" t="s">
        <v>1596</v>
      </c>
      <c r="D247" s="3" t="s">
        <v>6089</v>
      </c>
      <c r="E247" s="3" t="s">
        <v>1597</v>
      </c>
      <c r="F247" s="3" t="s">
        <v>6090</v>
      </c>
      <c r="G247" s="3" t="s">
        <v>403</v>
      </c>
      <c r="H247" s="3" t="s">
        <v>1598</v>
      </c>
      <c r="I247" s="3" t="s">
        <v>1598</v>
      </c>
      <c r="J247" s="3" t="s">
        <v>393</v>
      </c>
      <c r="K247" s="3" t="s">
        <v>453</v>
      </c>
      <c r="L247" s="3" t="s">
        <v>453</v>
      </c>
      <c r="M247" s="2"/>
      <c r="N247" s="2"/>
      <c r="O247" s="3" t="s">
        <v>26</v>
      </c>
      <c r="P247" s="3" t="s">
        <v>71</v>
      </c>
      <c r="Q247" s="3" t="s">
        <v>5107</v>
      </c>
      <c r="R247" s="3" t="s">
        <v>396</v>
      </c>
      <c r="S247" s="3" t="s">
        <v>700</v>
      </c>
      <c r="T247" s="3" t="s">
        <v>1599</v>
      </c>
      <c r="U247" s="3" t="s">
        <v>43</v>
      </c>
      <c r="V247" s="3" t="s">
        <v>71</v>
      </c>
      <c r="W247" s="2"/>
      <c r="X247" s="2"/>
      <c r="Y247" s="2"/>
    </row>
    <row r="248" spans="1:25" x14ac:dyDescent="0.2">
      <c r="A248" s="3">
        <v>806</v>
      </c>
      <c r="B248" s="4" t="s">
        <v>1600</v>
      </c>
      <c r="C248" s="3" t="s">
        <v>1601</v>
      </c>
      <c r="D248" s="3" t="s">
        <v>6092</v>
      </c>
      <c r="E248" s="3" t="s">
        <v>1602</v>
      </c>
      <c r="F248" s="3" t="s">
        <v>6093</v>
      </c>
      <c r="G248" s="3" t="s">
        <v>403</v>
      </c>
      <c r="H248" s="3" t="s">
        <v>403</v>
      </c>
      <c r="I248" s="3" t="s">
        <v>403</v>
      </c>
      <c r="J248" s="3" t="s">
        <v>393</v>
      </c>
      <c r="K248" s="3" t="s">
        <v>453</v>
      </c>
      <c r="L248" s="3" t="s">
        <v>453</v>
      </c>
      <c r="M248" s="2"/>
      <c r="N248" s="2"/>
      <c r="O248" s="3" t="s">
        <v>602</v>
      </c>
      <c r="P248" s="3" t="s">
        <v>439</v>
      </c>
      <c r="Q248" s="3" t="s">
        <v>5352</v>
      </c>
      <c r="R248" s="3" t="s">
        <v>396</v>
      </c>
      <c r="S248" s="3" t="s">
        <v>982</v>
      </c>
      <c r="T248" s="3" t="s">
        <v>1603</v>
      </c>
      <c r="U248" s="3" t="s">
        <v>43</v>
      </c>
      <c r="V248" s="3" t="s">
        <v>439</v>
      </c>
      <c r="W248" s="2"/>
      <c r="X248" s="2"/>
      <c r="Y248" s="2"/>
    </row>
    <row r="249" spans="1:25" x14ac:dyDescent="0.2">
      <c r="A249" s="3">
        <v>807</v>
      </c>
      <c r="B249" s="4" t="s">
        <v>1604</v>
      </c>
      <c r="C249" s="3" t="s">
        <v>1605</v>
      </c>
      <c r="D249" s="3" t="s">
        <v>6095</v>
      </c>
      <c r="E249" s="3" t="s">
        <v>1606</v>
      </c>
      <c r="F249" s="3" t="s">
        <v>6096</v>
      </c>
      <c r="G249" s="3" t="s">
        <v>403</v>
      </c>
      <c r="H249" s="3" t="s">
        <v>1498</v>
      </c>
      <c r="I249" s="3" t="s">
        <v>1498</v>
      </c>
      <c r="J249" s="3" t="s">
        <v>393</v>
      </c>
      <c r="K249" s="3" t="s">
        <v>453</v>
      </c>
      <c r="L249" s="3" t="s">
        <v>453</v>
      </c>
      <c r="M249" s="3" t="s">
        <v>1587</v>
      </c>
      <c r="N249" s="2"/>
      <c r="O249" s="3" t="s">
        <v>426</v>
      </c>
      <c r="P249" s="2"/>
      <c r="Q249" s="3">
        <v>0</v>
      </c>
      <c r="R249" s="3" t="s">
        <v>396</v>
      </c>
      <c r="S249" s="3" t="s">
        <v>455</v>
      </c>
      <c r="T249" s="3" t="s">
        <v>1607</v>
      </c>
      <c r="U249" s="3" t="s">
        <v>43</v>
      </c>
      <c r="V249" s="2"/>
      <c r="W249" s="2"/>
      <c r="X249" s="2"/>
      <c r="Y249" s="2"/>
    </row>
    <row r="250" spans="1:25" x14ac:dyDescent="0.2">
      <c r="A250" s="3">
        <v>808</v>
      </c>
      <c r="B250" s="4" t="s">
        <v>1608</v>
      </c>
      <c r="C250" s="3" t="s">
        <v>1609</v>
      </c>
      <c r="D250" s="3" t="s">
        <v>6098</v>
      </c>
      <c r="E250" s="3" t="s">
        <v>1610</v>
      </c>
      <c r="F250" s="3" t="s">
        <v>6099</v>
      </c>
      <c r="G250" s="3" t="s">
        <v>968</v>
      </c>
      <c r="H250" s="2"/>
      <c r="I250" s="2"/>
      <c r="J250" s="3" t="s">
        <v>393</v>
      </c>
      <c r="K250" s="3" t="s">
        <v>453</v>
      </c>
      <c r="L250" s="3" t="s">
        <v>453</v>
      </c>
      <c r="M250" s="3" t="s">
        <v>1587</v>
      </c>
      <c r="N250" s="2"/>
      <c r="O250" s="3" t="s">
        <v>426</v>
      </c>
      <c r="P250" s="3" t="s">
        <v>1611</v>
      </c>
      <c r="Q250" s="3" t="s">
        <v>6100</v>
      </c>
      <c r="R250" s="3" t="s">
        <v>396</v>
      </c>
      <c r="S250" s="3" t="s">
        <v>700</v>
      </c>
      <c r="T250" s="3" t="s">
        <v>1612</v>
      </c>
      <c r="U250" s="3" t="s">
        <v>43</v>
      </c>
      <c r="V250" s="3" t="s">
        <v>1613</v>
      </c>
      <c r="W250" s="2"/>
      <c r="X250" s="2"/>
      <c r="Y250" s="2"/>
    </row>
    <row r="251" spans="1:25" x14ac:dyDescent="0.2">
      <c r="A251" s="3">
        <v>809</v>
      </c>
      <c r="B251" s="4" t="s">
        <v>1614</v>
      </c>
      <c r="C251" s="3" t="s">
        <v>1615</v>
      </c>
      <c r="D251" s="3" t="s">
        <v>6102</v>
      </c>
      <c r="E251" s="3" t="s">
        <v>1616</v>
      </c>
      <c r="F251" s="3" t="s">
        <v>6103</v>
      </c>
      <c r="G251" s="3" t="s">
        <v>968</v>
      </c>
      <c r="H251" s="2"/>
      <c r="I251" s="2"/>
      <c r="J251" s="3" t="s">
        <v>393</v>
      </c>
      <c r="K251" s="3" t="s">
        <v>453</v>
      </c>
      <c r="L251" s="3" t="s">
        <v>453</v>
      </c>
      <c r="M251" s="2"/>
      <c r="N251" s="2"/>
      <c r="O251" s="3" t="s">
        <v>426</v>
      </c>
      <c r="P251" s="3" t="s">
        <v>439</v>
      </c>
      <c r="Q251" s="3" t="s">
        <v>5352</v>
      </c>
      <c r="R251" s="3" t="s">
        <v>396</v>
      </c>
      <c r="S251" s="3" t="s">
        <v>982</v>
      </c>
      <c r="T251" s="3" t="s">
        <v>1617</v>
      </c>
      <c r="U251" s="3" t="s">
        <v>1618</v>
      </c>
      <c r="V251" s="3" t="s">
        <v>439</v>
      </c>
      <c r="W251" s="2"/>
      <c r="X251" s="2"/>
      <c r="Y251" s="2"/>
    </row>
    <row r="252" spans="1:25" x14ac:dyDescent="0.2">
      <c r="A252" s="3">
        <v>810</v>
      </c>
      <c r="B252" s="4" t="s">
        <v>1619</v>
      </c>
      <c r="C252" s="3" t="s">
        <v>1620</v>
      </c>
      <c r="D252" s="3" t="s">
        <v>6106</v>
      </c>
      <c r="E252" s="3" t="s">
        <v>1621</v>
      </c>
      <c r="F252" s="3" t="s">
        <v>6107</v>
      </c>
      <c r="G252" s="3" t="s">
        <v>968</v>
      </c>
      <c r="H252" s="3" t="s">
        <v>600</v>
      </c>
      <c r="I252" s="3" t="s">
        <v>600</v>
      </c>
      <c r="J252" s="3" t="s">
        <v>393</v>
      </c>
      <c r="K252" s="3" t="s">
        <v>453</v>
      </c>
      <c r="L252" s="3" t="s">
        <v>453</v>
      </c>
      <c r="M252" s="2"/>
      <c r="N252" s="2"/>
      <c r="O252" s="3" t="s">
        <v>426</v>
      </c>
      <c r="P252" s="3" t="s">
        <v>439</v>
      </c>
      <c r="Q252" s="3" t="s">
        <v>5352</v>
      </c>
      <c r="R252" s="3" t="s">
        <v>396</v>
      </c>
      <c r="S252" s="3" t="s">
        <v>982</v>
      </c>
      <c r="T252" s="3" t="s">
        <v>1622</v>
      </c>
      <c r="U252" s="3" t="s">
        <v>43</v>
      </c>
      <c r="V252" s="3" t="s">
        <v>439</v>
      </c>
      <c r="W252" s="2"/>
      <c r="X252" s="2"/>
      <c r="Y252" s="2"/>
    </row>
    <row r="253" spans="1:25" x14ac:dyDescent="0.2">
      <c r="A253" s="3">
        <v>231</v>
      </c>
      <c r="B253" s="4" t="s">
        <v>1623</v>
      </c>
      <c r="C253" s="3" t="s">
        <v>1624</v>
      </c>
      <c r="D253" s="3" t="s">
        <v>6109</v>
      </c>
      <c r="E253" s="3" t="s">
        <v>1625</v>
      </c>
      <c r="F253" s="3" t="s">
        <v>6110</v>
      </c>
      <c r="G253" s="3" t="s">
        <v>1626</v>
      </c>
      <c r="H253" s="3" t="s">
        <v>1113</v>
      </c>
      <c r="I253" s="3" t="s">
        <v>1113</v>
      </c>
      <c r="J253" s="3" t="s">
        <v>393</v>
      </c>
      <c r="K253" s="3" t="s">
        <v>693</v>
      </c>
      <c r="L253" s="3" t="s">
        <v>5512</v>
      </c>
      <c r="M253" s="2"/>
      <c r="N253" s="2"/>
      <c r="O253" s="3" t="s">
        <v>39</v>
      </c>
      <c r="P253" s="3" t="s">
        <v>168</v>
      </c>
      <c r="Q253" s="3" t="s">
        <v>5167</v>
      </c>
      <c r="R253" s="3" t="s">
        <v>396</v>
      </c>
      <c r="S253" s="3" t="s">
        <v>29</v>
      </c>
      <c r="T253" s="3" t="s">
        <v>1627</v>
      </c>
      <c r="U253" s="2"/>
      <c r="V253" s="3" t="s">
        <v>168</v>
      </c>
      <c r="W253" s="2"/>
      <c r="X253" s="2"/>
      <c r="Y253" s="2"/>
    </row>
    <row r="254" spans="1:25" x14ac:dyDescent="0.2">
      <c r="A254" s="3">
        <v>233</v>
      </c>
      <c r="B254" s="4" t="s">
        <v>1628</v>
      </c>
      <c r="C254" s="3" t="s">
        <v>1629</v>
      </c>
      <c r="D254" s="3" t="s">
        <v>6112</v>
      </c>
      <c r="E254" s="3" t="s">
        <v>1630</v>
      </c>
      <c r="F254" s="3" t="s">
        <v>6113</v>
      </c>
      <c r="G254" s="3" t="s">
        <v>1631</v>
      </c>
      <c r="H254" s="2"/>
      <c r="I254" s="2"/>
      <c r="J254" s="3" t="s">
        <v>393</v>
      </c>
      <c r="K254" s="3" t="s">
        <v>1632</v>
      </c>
      <c r="L254" s="3" t="s">
        <v>6114</v>
      </c>
      <c r="M254" s="3" t="s">
        <v>135</v>
      </c>
      <c r="N254" s="2"/>
      <c r="O254" s="3" t="s">
        <v>493</v>
      </c>
      <c r="P254" s="3" t="s">
        <v>60</v>
      </c>
      <c r="Q254" s="3" t="s">
        <v>5100</v>
      </c>
      <c r="R254" s="3" t="s">
        <v>396</v>
      </c>
      <c r="S254" s="3" t="s">
        <v>413</v>
      </c>
      <c r="T254" s="3" t="s">
        <v>1633</v>
      </c>
      <c r="U254" s="3" t="s">
        <v>253</v>
      </c>
      <c r="V254" s="3" t="s">
        <v>60</v>
      </c>
      <c r="W254" s="3" t="s">
        <v>1634</v>
      </c>
      <c r="X254" s="2"/>
      <c r="Y254" s="2"/>
    </row>
    <row r="255" spans="1:25" x14ac:dyDescent="0.2">
      <c r="A255" s="3">
        <v>237</v>
      </c>
      <c r="B255" s="4" t="s">
        <v>1635</v>
      </c>
      <c r="C255" s="3" t="s">
        <v>1636</v>
      </c>
      <c r="D255" s="3" t="s">
        <v>6117</v>
      </c>
      <c r="E255" s="3" t="s">
        <v>1637</v>
      </c>
      <c r="F255" s="3" t="s">
        <v>6118</v>
      </c>
      <c r="G255" s="3" t="s">
        <v>1222</v>
      </c>
      <c r="H255" s="3" t="s">
        <v>476</v>
      </c>
      <c r="I255" s="3" t="s">
        <v>476</v>
      </c>
      <c r="J255" s="3" t="s">
        <v>393</v>
      </c>
      <c r="K255" s="3" t="s">
        <v>411</v>
      </c>
      <c r="L255" s="3" t="s">
        <v>411</v>
      </c>
      <c r="M255" s="2"/>
      <c r="N255" s="2"/>
      <c r="O255" s="3" t="s">
        <v>26</v>
      </c>
      <c r="P255" s="3" t="s">
        <v>1638</v>
      </c>
      <c r="Q255" s="3" t="s">
        <v>6119</v>
      </c>
      <c r="R255" s="3" t="s">
        <v>396</v>
      </c>
      <c r="S255" s="3" t="s">
        <v>413</v>
      </c>
      <c r="T255" s="3" t="s">
        <v>1639</v>
      </c>
      <c r="U255" s="3" t="s">
        <v>43</v>
      </c>
      <c r="V255" s="3" t="s">
        <v>27</v>
      </c>
      <c r="W255" s="2"/>
      <c r="X255" s="2"/>
      <c r="Y255" s="2"/>
    </row>
    <row r="256" spans="1:25" x14ac:dyDescent="0.2">
      <c r="A256" s="3">
        <v>1023</v>
      </c>
      <c r="B256" s="4" t="s">
        <v>1640</v>
      </c>
      <c r="C256" s="3" t="s">
        <v>1641</v>
      </c>
      <c r="D256" s="3" t="s">
        <v>6121</v>
      </c>
      <c r="E256" s="3" t="s">
        <v>1642</v>
      </c>
      <c r="F256" s="3" t="s">
        <v>6122</v>
      </c>
      <c r="G256" s="3" t="s">
        <v>199</v>
      </c>
      <c r="H256" s="2"/>
      <c r="I256" s="2"/>
      <c r="J256" s="3" t="s">
        <v>393</v>
      </c>
      <c r="K256" s="3" t="s">
        <v>1643</v>
      </c>
      <c r="L256" s="3" t="s">
        <v>6123</v>
      </c>
      <c r="M256" s="2"/>
      <c r="N256" s="2"/>
      <c r="O256" s="3" t="s">
        <v>26</v>
      </c>
      <c r="P256" s="3" t="s">
        <v>60</v>
      </c>
      <c r="Q256" s="3" t="s">
        <v>5100</v>
      </c>
      <c r="R256" s="3" t="s">
        <v>396</v>
      </c>
      <c r="S256" s="3" t="s">
        <v>29</v>
      </c>
      <c r="T256" s="3" t="s">
        <v>1447</v>
      </c>
      <c r="U256" s="3" t="s">
        <v>1644</v>
      </c>
      <c r="V256" s="3" t="s">
        <v>60</v>
      </c>
      <c r="W256" s="3" t="s">
        <v>1645</v>
      </c>
      <c r="X256" s="2"/>
      <c r="Y256" s="2"/>
    </row>
    <row r="257" spans="1:25" x14ac:dyDescent="0.2">
      <c r="A257" s="3">
        <v>1025</v>
      </c>
      <c r="B257" s="4" t="s">
        <v>1646</v>
      </c>
      <c r="C257" s="3" t="s">
        <v>1647</v>
      </c>
      <c r="D257" s="3" t="s">
        <v>6126</v>
      </c>
      <c r="E257" s="3" t="s">
        <v>1648</v>
      </c>
      <c r="F257" s="3" t="s">
        <v>6127</v>
      </c>
      <c r="G257" s="3" t="s">
        <v>199</v>
      </c>
      <c r="H257" s="2"/>
      <c r="I257" s="2"/>
      <c r="J257" s="3" t="s">
        <v>393</v>
      </c>
      <c r="K257" s="3" t="s">
        <v>1649</v>
      </c>
      <c r="L257" s="3" t="s">
        <v>6128</v>
      </c>
      <c r="M257" s="2"/>
      <c r="N257" s="4" t="s">
        <v>1650</v>
      </c>
      <c r="O257" s="3" t="s">
        <v>26</v>
      </c>
      <c r="P257" s="2"/>
      <c r="Q257" s="3">
        <v>0</v>
      </c>
      <c r="R257" s="3" t="s">
        <v>396</v>
      </c>
      <c r="S257" s="3" t="s">
        <v>29</v>
      </c>
      <c r="T257" s="3" t="s">
        <v>1651</v>
      </c>
      <c r="U257" s="3" t="s">
        <v>897</v>
      </c>
      <c r="V257" s="2"/>
      <c r="W257" s="3" t="s">
        <v>219</v>
      </c>
      <c r="X257" s="2"/>
      <c r="Y257" s="2"/>
    </row>
    <row r="258" spans="1:25" x14ac:dyDescent="0.2">
      <c r="A258" s="3">
        <v>1028</v>
      </c>
      <c r="B258" s="4" t="s">
        <v>1652</v>
      </c>
      <c r="C258" s="3" t="s">
        <v>1653</v>
      </c>
      <c r="D258" s="3" t="s">
        <v>6130</v>
      </c>
      <c r="E258" s="3" t="s">
        <v>1654</v>
      </c>
      <c r="F258" s="3" t="s">
        <v>6131</v>
      </c>
      <c r="G258" s="3" t="s">
        <v>1655</v>
      </c>
      <c r="H258" s="2"/>
      <c r="I258" s="2"/>
      <c r="J258" s="3" t="s">
        <v>393</v>
      </c>
      <c r="K258" s="3" t="s">
        <v>1656</v>
      </c>
      <c r="L258" s="3" t="s">
        <v>6132</v>
      </c>
      <c r="M258" s="2"/>
      <c r="N258" s="2"/>
      <c r="O258" s="3" t="s">
        <v>26</v>
      </c>
      <c r="P258" s="3" t="s">
        <v>461</v>
      </c>
      <c r="Q258" s="3" t="s">
        <v>5367</v>
      </c>
      <c r="R258" s="3" t="s">
        <v>396</v>
      </c>
      <c r="S258" s="3" t="s">
        <v>405</v>
      </c>
      <c r="T258" s="3" t="s">
        <v>1657</v>
      </c>
      <c r="U258" s="3" t="s">
        <v>1658</v>
      </c>
      <c r="V258" s="3" t="s">
        <v>461</v>
      </c>
      <c r="W258" s="3" t="s">
        <v>1659</v>
      </c>
      <c r="X258" s="2"/>
      <c r="Y258" s="2"/>
    </row>
    <row r="259" spans="1:25" x14ac:dyDescent="0.2">
      <c r="A259" s="3">
        <v>1029</v>
      </c>
      <c r="B259" s="4" t="s">
        <v>1660</v>
      </c>
      <c r="C259" s="3" t="s">
        <v>1661</v>
      </c>
      <c r="D259" s="3" t="s">
        <v>6136</v>
      </c>
      <c r="E259" s="3" t="s">
        <v>1662</v>
      </c>
      <c r="F259" s="3" t="s">
        <v>6137</v>
      </c>
      <c r="G259" s="3" t="s">
        <v>199</v>
      </c>
      <c r="H259" s="3" t="s">
        <v>199</v>
      </c>
      <c r="I259" s="3" t="s">
        <v>199</v>
      </c>
      <c r="J259" s="3" t="s">
        <v>393</v>
      </c>
      <c r="K259" s="3" t="s">
        <v>1663</v>
      </c>
      <c r="L259" s="3" t="s">
        <v>6138</v>
      </c>
      <c r="M259" s="2"/>
      <c r="N259" s="2"/>
      <c r="O259" s="3" t="s">
        <v>39</v>
      </c>
      <c r="P259" s="2"/>
      <c r="Q259" s="3">
        <v>0</v>
      </c>
      <c r="R259" s="3" t="s">
        <v>396</v>
      </c>
      <c r="S259" s="3" t="s">
        <v>29</v>
      </c>
      <c r="T259" s="3" t="s">
        <v>1664</v>
      </c>
      <c r="U259" s="3" t="s">
        <v>897</v>
      </c>
      <c r="V259" s="2"/>
      <c r="W259" s="3" t="s">
        <v>1665</v>
      </c>
      <c r="X259" s="2"/>
      <c r="Y259" s="2"/>
    </row>
    <row r="260" spans="1:25" x14ac:dyDescent="0.2">
      <c r="A260" s="3">
        <v>1031</v>
      </c>
      <c r="B260" s="4" t="s">
        <v>1666</v>
      </c>
      <c r="C260" s="3" t="s">
        <v>1667</v>
      </c>
      <c r="D260" s="3" t="s">
        <v>6141</v>
      </c>
      <c r="E260" s="3" t="s">
        <v>1668</v>
      </c>
      <c r="F260" s="3" t="s">
        <v>6142</v>
      </c>
      <c r="G260" s="3" t="s">
        <v>90</v>
      </c>
      <c r="H260" s="2"/>
      <c r="I260" s="2"/>
      <c r="J260" s="3" t="s">
        <v>393</v>
      </c>
      <c r="K260" s="3" t="s">
        <v>1669</v>
      </c>
      <c r="L260" s="3" t="s">
        <v>1669</v>
      </c>
      <c r="M260" s="2"/>
      <c r="N260" s="2"/>
      <c r="O260" s="3" t="s">
        <v>26</v>
      </c>
      <c r="P260" s="3" t="s">
        <v>27</v>
      </c>
      <c r="Q260" s="3" t="s">
        <v>5079</v>
      </c>
      <c r="R260" s="3" t="s">
        <v>396</v>
      </c>
      <c r="S260" s="3" t="s">
        <v>29</v>
      </c>
      <c r="T260" s="3" t="s">
        <v>1670</v>
      </c>
      <c r="U260" s="3" t="s">
        <v>275</v>
      </c>
      <c r="V260" s="3" t="s">
        <v>27</v>
      </c>
      <c r="W260" s="3" t="s">
        <v>1671</v>
      </c>
      <c r="X260" s="2"/>
      <c r="Y260" s="2"/>
    </row>
    <row r="261" spans="1:25" x14ac:dyDescent="0.2">
      <c r="A261" s="3">
        <v>2202</v>
      </c>
      <c r="B261" s="4" t="s">
        <v>1672</v>
      </c>
      <c r="C261" s="3" t="s">
        <v>1673</v>
      </c>
      <c r="D261" s="3" t="s">
        <v>6145</v>
      </c>
      <c r="E261" s="3" t="s">
        <v>1674</v>
      </c>
      <c r="F261" s="3" t="s">
        <v>6146</v>
      </c>
      <c r="G261" s="3" t="s">
        <v>625</v>
      </c>
      <c r="H261" s="2"/>
      <c r="I261" s="2"/>
      <c r="J261" s="3" t="s">
        <v>393</v>
      </c>
      <c r="K261" s="3" t="s">
        <v>1258</v>
      </c>
      <c r="L261" s="3" t="s">
        <v>1258</v>
      </c>
      <c r="M261" s="2"/>
      <c r="N261" s="2"/>
      <c r="O261" s="3" t="s">
        <v>412</v>
      </c>
      <c r="P261" s="3" t="s">
        <v>212</v>
      </c>
      <c r="Q261" s="3" t="s">
        <v>5193</v>
      </c>
      <c r="R261" s="3" t="s">
        <v>396</v>
      </c>
      <c r="S261" s="3" t="s">
        <v>405</v>
      </c>
      <c r="T261" s="3" t="s">
        <v>1675</v>
      </c>
      <c r="U261" s="3" t="s">
        <v>43</v>
      </c>
      <c r="V261" s="3" t="s">
        <v>212</v>
      </c>
      <c r="W261" s="2"/>
      <c r="X261" s="2"/>
      <c r="Y261" s="2"/>
    </row>
    <row r="262" spans="1:25" x14ac:dyDescent="0.2">
      <c r="A262" s="3">
        <v>2207</v>
      </c>
      <c r="B262" s="4" t="s">
        <v>1676</v>
      </c>
      <c r="C262" s="3" t="s">
        <v>1677</v>
      </c>
      <c r="D262" s="3" t="s">
        <v>6148</v>
      </c>
      <c r="E262" s="3" t="s">
        <v>1678</v>
      </c>
      <c r="F262" s="3" t="s">
        <v>6149</v>
      </c>
      <c r="G262" s="3" t="s">
        <v>873</v>
      </c>
      <c r="H262" s="2"/>
      <c r="I262" s="2"/>
      <c r="J262" s="3" t="s">
        <v>393</v>
      </c>
      <c r="K262" s="3" t="s">
        <v>1258</v>
      </c>
      <c r="L262" s="3" t="s">
        <v>1258</v>
      </c>
      <c r="M262" s="2"/>
      <c r="N262" s="2"/>
      <c r="O262" s="3" t="s">
        <v>645</v>
      </c>
      <c r="P262" s="3" t="s">
        <v>1401</v>
      </c>
      <c r="Q262" s="3" t="s">
        <v>5193</v>
      </c>
      <c r="R262" s="3" t="s">
        <v>396</v>
      </c>
      <c r="S262" s="3" t="s">
        <v>397</v>
      </c>
      <c r="T262" s="3" t="s">
        <v>1679</v>
      </c>
      <c r="U262" s="3" t="s">
        <v>43</v>
      </c>
      <c r="V262" s="3" t="s">
        <v>1341</v>
      </c>
      <c r="W262" s="2"/>
      <c r="X262" s="2"/>
      <c r="Y262" s="2"/>
    </row>
    <row r="263" spans="1:25" x14ac:dyDescent="0.2">
      <c r="A263" s="3">
        <v>11</v>
      </c>
      <c r="B263" s="4" t="s">
        <v>1680</v>
      </c>
      <c r="C263" s="3" t="s">
        <v>1681</v>
      </c>
      <c r="D263" s="3" t="s">
        <v>6151</v>
      </c>
      <c r="E263" s="3" t="s">
        <v>1682</v>
      </c>
      <c r="F263" s="3" t="s">
        <v>6152</v>
      </c>
      <c r="G263" s="3" t="s">
        <v>1477</v>
      </c>
      <c r="H263" s="3" t="s">
        <v>1477</v>
      </c>
      <c r="I263" s="3" t="s">
        <v>1683</v>
      </c>
      <c r="J263" s="3" t="s">
        <v>1684</v>
      </c>
      <c r="K263" s="3" t="s">
        <v>1685</v>
      </c>
      <c r="L263" s="3" t="s">
        <v>6153</v>
      </c>
      <c r="M263" s="2"/>
      <c r="N263" s="2"/>
      <c r="O263" s="3" t="s">
        <v>26</v>
      </c>
      <c r="P263" s="3" t="s">
        <v>212</v>
      </c>
      <c r="Q263" s="3" t="s">
        <v>5193</v>
      </c>
      <c r="R263" s="3" t="s">
        <v>72</v>
      </c>
      <c r="S263" s="3" t="s">
        <v>29</v>
      </c>
      <c r="T263" s="3" t="s">
        <v>1686</v>
      </c>
      <c r="U263" s="3" t="s">
        <v>1687</v>
      </c>
      <c r="V263" s="3" t="s">
        <v>1688</v>
      </c>
      <c r="W263" s="2"/>
      <c r="X263" s="2"/>
      <c r="Y263" s="2"/>
    </row>
    <row r="264" spans="1:25" x14ac:dyDescent="0.2">
      <c r="A264" s="3">
        <v>15</v>
      </c>
      <c r="B264" s="4" t="s">
        <v>1689</v>
      </c>
      <c r="C264" s="3" t="s">
        <v>1690</v>
      </c>
      <c r="D264" s="3" t="s">
        <v>6157</v>
      </c>
      <c r="E264" s="3" t="s">
        <v>1691</v>
      </c>
      <c r="F264" s="3" t="s">
        <v>6158</v>
      </c>
      <c r="G264" s="3" t="s">
        <v>1692</v>
      </c>
      <c r="H264" s="2"/>
      <c r="I264" s="2"/>
      <c r="J264" s="3" t="s">
        <v>1684</v>
      </c>
      <c r="K264" s="3" t="s">
        <v>1684</v>
      </c>
      <c r="L264" s="3" t="s">
        <v>6159</v>
      </c>
      <c r="M264" s="2"/>
      <c r="N264" s="3" t="s">
        <v>1693</v>
      </c>
      <c r="O264" s="3" t="s">
        <v>26</v>
      </c>
      <c r="P264" s="3" t="s">
        <v>27</v>
      </c>
      <c r="Q264" s="3" t="s">
        <v>5079</v>
      </c>
      <c r="R264" s="3" t="s">
        <v>1694</v>
      </c>
      <c r="S264" s="3" t="s">
        <v>982</v>
      </c>
      <c r="T264" s="3" t="s">
        <v>1695</v>
      </c>
      <c r="U264" s="3" t="s">
        <v>1693</v>
      </c>
      <c r="V264" s="3" t="s">
        <v>27</v>
      </c>
      <c r="W264" s="3" t="s">
        <v>1696</v>
      </c>
      <c r="X264" s="2"/>
      <c r="Y264" s="2"/>
    </row>
    <row r="265" spans="1:25" x14ac:dyDescent="0.2">
      <c r="A265" s="3">
        <v>786</v>
      </c>
      <c r="B265" s="4" t="s">
        <v>1697</v>
      </c>
      <c r="C265" s="3" t="s">
        <v>1698</v>
      </c>
      <c r="D265" s="3" t="s">
        <v>6164</v>
      </c>
      <c r="E265" s="3" t="s">
        <v>1699</v>
      </c>
      <c r="F265" s="3" t="s">
        <v>6165</v>
      </c>
      <c r="G265" s="3" t="s">
        <v>451</v>
      </c>
      <c r="H265" s="2"/>
      <c r="I265" s="2"/>
      <c r="J265" s="3" t="s">
        <v>393</v>
      </c>
      <c r="K265" s="3" t="s">
        <v>491</v>
      </c>
      <c r="L265" s="3" t="s">
        <v>491</v>
      </c>
      <c r="M265" s="2"/>
      <c r="N265" s="2"/>
      <c r="O265" s="3" t="s">
        <v>426</v>
      </c>
      <c r="P265" s="3" t="s">
        <v>1700</v>
      </c>
      <c r="Q265" s="3" t="s">
        <v>6166</v>
      </c>
      <c r="R265" s="3" t="s">
        <v>396</v>
      </c>
      <c r="S265" s="3" t="s">
        <v>982</v>
      </c>
      <c r="T265" s="3" t="s">
        <v>1701</v>
      </c>
      <c r="U265" s="2"/>
      <c r="V265" s="3" t="s">
        <v>60</v>
      </c>
      <c r="W265" s="2"/>
      <c r="X265" s="2"/>
      <c r="Y265" s="2"/>
    </row>
    <row r="266" spans="1:25" x14ac:dyDescent="0.2">
      <c r="A266" s="3">
        <v>788</v>
      </c>
      <c r="B266" s="4" t="s">
        <v>1702</v>
      </c>
      <c r="C266" s="3" t="s">
        <v>1703</v>
      </c>
      <c r="D266" s="3" t="s">
        <v>6168</v>
      </c>
      <c r="E266" s="3" t="s">
        <v>1704</v>
      </c>
      <c r="F266" s="3" t="s">
        <v>6169</v>
      </c>
      <c r="G266" s="3" t="s">
        <v>403</v>
      </c>
      <c r="H266" s="2"/>
      <c r="I266" s="2"/>
      <c r="J266" s="3" t="s">
        <v>393</v>
      </c>
      <c r="K266" s="3" t="s">
        <v>491</v>
      </c>
      <c r="L266" s="3" t="s">
        <v>491</v>
      </c>
      <c r="M266" s="2"/>
      <c r="N266" s="2"/>
      <c r="O266" s="3" t="s">
        <v>493</v>
      </c>
      <c r="P266" s="3" t="s">
        <v>60</v>
      </c>
      <c r="Q266" s="3" t="s">
        <v>5100</v>
      </c>
      <c r="R266" s="3" t="s">
        <v>396</v>
      </c>
      <c r="S266" s="3" t="s">
        <v>1705</v>
      </c>
      <c r="T266" s="3" t="s">
        <v>1706</v>
      </c>
      <c r="U266" s="3" t="s">
        <v>43</v>
      </c>
      <c r="V266" s="3" t="s">
        <v>27</v>
      </c>
      <c r="W266" s="3" t="s">
        <v>1707</v>
      </c>
      <c r="X266" s="2"/>
      <c r="Y266" s="2"/>
    </row>
    <row r="267" spans="1:25" x14ac:dyDescent="0.2">
      <c r="A267" s="3">
        <v>789</v>
      </c>
      <c r="B267" s="4" t="s">
        <v>1708</v>
      </c>
      <c r="C267" s="3" t="s">
        <v>1709</v>
      </c>
      <c r="D267" s="3" t="s">
        <v>6173</v>
      </c>
      <c r="E267" s="3" t="s">
        <v>1710</v>
      </c>
      <c r="F267" s="3" t="s">
        <v>6174</v>
      </c>
      <c r="G267" s="3" t="s">
        <v>410</v>
      </c>
      <c r="H267" s="3" t="s">
        <v>1498</v>
      </c>
      <c r="I267" s="3" t="s">
        <v>1498</v>
      </c>
      <c r="J267" s="3" t="s">
        <v>393</v>
      </c>
      <c r="K267" s="3" t="s">
        <v>491</v>
      </c>
      <c r="L267" s="3" t="s">
        <v>491</v>
      </c>
      <c r="M267" s="3" t="s">
        <v>1711</v>
      </c>
      <c r="N267" s="2"/>
      <c r="O267" s="3" t="s">
        <v>426</v>
      </c>
      <c r="P267" s="3" t="s">
        <v>60</v>
      </c>
      <c r="Q267" s="3" t="s">
        <v>5100</v>
      </c>
      <c r="R267" s="3" t="s">
        <v>396</v>
      </c>
      <c r="S267" s="3" t="s">
        <v>1712</v>
      </c>
      <c r="T267" s="3" t="s">
        <v>1713</v>
      </c>
      <c r="U267" s="3" t="s">
        <v>509</v>
      </c>
      <c r="V267" s="3" t="s">
        <v>27</v>
      </c>
      <c r="W267" s="3" t="s">
        <v>1634</v>
      </c>
      <c r="X267" s="2"/>
      <c r="Y267" s="2"/>
    </row>
    <row r="268" spans="1:25" x14ac:dyDescent="0.2">
      <c r="A268" s="3">
        <v>791</v>
      </c>
      <c r="B268" s="4" t="s">
        <v>1714</v>
      </c>
      <c r="C268" s="3" t="s">
        <v>1715</v>
      </c>
      <c r="D268" s="3" t="s">
        <v>6178</v>
      </c>
      <c r="E268" s="3" t="s">
        <v>1716</v>
      </c>
      <c r="F268" s="3" t="s">
        <v>6179</v>
      </c>
      <c r="G268" s="3" t="s">
        <v>1717</v>
      </c>
      <c r="H268" s="2"/>
      <c r="I268" s="2"/>
      <c r="J268" s="3" t="s">
        <v>393</v>
      </c>
      <c r="K268" s="3" t="s">
        <v>453</v>
      </c>
      <c r="L268" s="3" t="s">
        <v>453</v>
      </c>
      <c r="M268" s="2"/>
      <c r="N268" s="2"/>
      <c r="O268" s="3" t="s">
        <v>26</v>
      </c>
      <c r="P268" s="3" t="s">
        <v>27</v>
      </c>
      <c r="Q268" s="3" t="s">
        <v>5079</v>
      </c>
      <c r="R268" s="3" t="s">
        <v>396</v>
      </c>
      <c r="S268" s="3" t="s">
        <v>700</v>
      </c>
      <c r="T268" s="3" t="s">
        <v>1718</v>
      </c>
      <c r="U268" s="3" t="s">
        <v>43</v>
      </c>
      <c r="V268" s="3" t="s">
        <v>27</v>
      </c>
      <c r="W268" s="2"/>
      <c r="X268" s="2"/>
      <c r="Y268" s="2"/>
    </row>
    <row r="269" spans="1:25" x14ac:dyDescent="0.2">
      <c r="A269" s="3">
        <v>1424</v>
      </c>
      <c r="B269" s="4" t="s">
        <v>1719</v>
      </c>
      <c r="C269" s="3" t="s">
        <v>1720</v>
      </c>
      <c r="D269" s="3" t="s">
        <v>6181</v>
      </c>
      <c r="E269" s="3" t="s">
        <v>1721</v>
      </c>
      <c r="F269" s="3" t="s">
        <v>6182</v>
      </c>
      <c r="G269" s="3" t="s">
        <v>1722</v>
      </c>
      <c r="H269" s="2"/>
      <c r="I269" s="2"/>
      <c r="J269" s="3" t="s">
        <v>393</v>
      </c>
      <c r="K269" s="3" t="s">
        <v>589</v>
      </c>
      <c r="L269" s="3" t="s">
        <v>589</v>
      </c>
      <c r="M269" s="3" t="s">
        <v>173</v>
      </c>
      <c r="N269" s="2"/>
      <c r="O269" s="3" t="s">
        <v>26</v>
      </c>
      <c r="P269" s="3" t="s">
        <v>71</v>
      </c>
      <c r="Q269" s="3" t="s">
        <v>5107</v>
      </c>
      <c r="R269" s="3" t="s">
        <v>396</v>
      </c>
      <c r="S269" s="3" t="s">
        <v>397</v>
      </c>
      <c r="T269" s="3" t="s">
        <v>1723</v>
      </c>
      <c r="U269" s="2"/>
      <c r="V269" s="3" t="s">
        <v>71</v>
      </c>
      <c r="W269" s="2"/>
      <c r="X269" s="2"/>
      <c r="Y269" s="2"/>
    </row>
    <row r="270" spans="1:25" x14ac:dyDescent="0.2">
      <c r="A270" s="3">
        <v>1425</v>
      </c>
      <c r="B270" s="4" t="s">
        <v>1724</v>
      </c>
      <c r="C270" s="3" t="s">
        <v>1725</v>
      </c>
      <c r="D270" s="3" t="s">
        <v>6184</v>
      </c>
      <c r="E270" s="3" t="s">
        <v>1726</v>
      </c>
      <c r="F270" s="3" t="s">
        <v>6185</v>
      </c>
      <c r="G270" s="3" t="s">
        <v>1727</v>
      </c>
      <c r="H270" s="3" t="s">
        <v>1722</v>
      </c>
      <c r="I270" s="3" t="s">
        <v>1722</v>
      </c>
      <c r="J270" s="3" t="s">
        <v>393</v>
      </c>
      <c r="K270" s="3" t="s">
        <v>589</v>
      </c>
      <c r="L270" s="3" t="s">
        <v>589</v>
      </c>
      <c r="M270" s="3" t="s">
        <v>173</v>
      </c>
      <c r="N270" s="2"/>
      <c r="O270" s="3" t="s">
        <v>26</v>
      </c>
      <c r="P270" s="3" t="s">
        <v>71</v>
      </c>
      <c r="Q270" s="3" t="s">
        <v>5107</v>
      </c>
      <c r="R270" s="3" t="s">
        <v>396</v>
      </c>
      <c r="S270" s="3" t="s">
        <v>397</v>
      </c>
      <c r="T270" s="3" t="s">
        <v>1728</v>
      </c>
      <c r="U270" s="3" t="s">
        <v>43</v>
      </c>
      <c r="V270" s="3" t="s">
        <v>71</v>
      </c>
      <c r="W270" s="2"/>
      <c r="X270" s="2"/>
      <c r="Y270" s="2"/>
    </row>
    <row r="271" spans="1:25" x14ac:dyDescent="0.2">
      <c r="A271" s="3">
        <v>770</v>
      </c>
      <c r="B271" s="4" t="s">
        <v>1729</v>
      </c>
      <c r="C271" s="3" t="s">
        <v>1730</v>
      </c>
      <c r="D271" s="3" t="s">
        <v>6187</v>
      </c>
      <c r="E271" s="3" t="s">
        <v>1731</v>
      </c>
      <c r="F271" s="3" t="s">
        <v>6188</v>
      </c>
      <c r="G271" s="3" t="s">
        <v>600</v>
      </c>
      <c r="H271" s="2"/>
      <c r="I271" s="2"/>
      <c r="J271" s="3" t="s">
        <v>393</v>
      </c>
      <c r="K271" s="3" t="s">
        <v>411</v>
      </c>
      <c r="L271" s="3" t="s">
        <v>411</v>
      </c>
      <c r="M271" s="2"/>
      <c r="N271" s="2"/>
      <c r="O271" s="3" t="s">
        <v>1732</v>
      </c>
      <c r="P271" s="3" t="s">
        <v>27</v>
      </c>
      <c r="Q271" s="3" t="s">
        <v>5079</v>
      </c>
      <c r="R271" s="3" t="s">
        <v>396</v>
      </c>
      <c r="S271" s="3" t="s">
        <v>982</v>
      </c>
      <c r="T271" s="3" t="s">
        <v>1733</v>
      </c>
      <c r="U271" s="3" t="s">
        <v>43</v>
      </c>
      <c r="V271" s="3" t="s">
        <v>27</v>
      </c>
      <c r="W271" s="2"/>
      <c r="X271" s="2"/>
      <c r="Y271" s="2"/>
    </row>
    <row r="272" spans="1:25" x14ac:dyDescent="0.2">
      <c r="A272" s="3">
        <v>771</v>
      </c>
      <c r="B272" s="4" t="s">
        <v>1734</v>
      </c>
      <c r="C272" s="3" t="s">
        <v>1735</v>
      </c>
      <c r="D272" s="3" t="s">
        <v>6191</v>
      </c>
      <c r="E272" s="3" t="s">
        <v>1736</v>
      </c>
      <c r="F272" s="3" t="s">
        <v>6192</v>
      </c>
      <c r="G272" s="3" t="s">
        <v>1247</v>
      </c>
      <c r="H272" s="2"/>
      <c r="I272" s="2"/>
      <c r="J272" s="3" t="s">
        <v>393</v>
      </c>
      <c r="K272" s="3" t="s">
        <v>411</v>
      </c>
      <c r="L272" s="3" t="s">
        <v>411</v>
      </c>
      <c r="M272" s="2"/>
      <c r="N272" s="2"/>
      <c r="O272" s="3" t="s">
        <v>412</v>
      </c>
      <c r="P272" s="3" t="s">
        <v>1737</v>
      </c>
      <c r="Q272" s="3" t="s">
        <v>6193</v>
      </c>
      <c r="R272" s="3" t="s">
        <v>396</v>
      </c>
      <c r="S272" s="3" t="s">
        <v>405</v>
      </c>
      <c r="T272" s="3" t="s">
        <v>1738</v>
      </c>
      <c r="U272" s="3" t="s">
        <v>43</v>
      </c>
      <c r="V272" s="3" t="s">
        <v>27</v>
      </c>
      <c r="W272" s="2"/>
      <c r="X272" s="2"/>
      <c r="Y272" s="2"/>
    </row>
    <row r="273" spans="1:25" x14ac:dyDescent="0.2">
      <c r="A273" s="3">
        <v>772</v>
      </c>
      <c r="B273" s="4" t="s">
        <v>1739</v>
      </c>
      <c r="C273" s="3" t="s">
        <v>1740</v>
      </c>
      <c r="D273" s="3" t="s">
        <v>6195</v>
      </c>
      <c r="E273" s="3" t="s">
        <v>1741</v>
      </c>
      <c r="F273" s="3" t="s">
        <v>6196</v>
      </c>
      <c r="G273" s="3" t="s">
        <v>1512</v>
      </c>
      <c r="H273" s="3" t="s">
        <v>1507</v>
      </c>
      <c r="I273" s="3" t="s">
        <v>1507</v>
      </c>
      <c r="J273" s="3" t="s">
        <v>393</v>
      </c>
      <c r="K273" s="3" t="s">
        <v>411</v>
      </c>
      <c r="L273" s="3" t="s">
        <v>411</v>
      </c>
      <c r="M273" s="2"/>
      <c r="N273" s="2"/>
      <c r="O273" s="3" t="s">
        <v>412</v>
      </c>
      <c r="P273" s="3" t="s">
        <v>27</v>
      </c>
      <c r="Q273" s="3" t="s">
        <v>5079</v>
      </c>
      <c r="R273" s="3" t="s">
        <v>396</v>
      </c>
      <c r="S273" s="3" t="s">
        <v>982</v>
      </c>
      <c r="T273" s="3" t="s">
        <v>1742</v>
      </c>
      <c r="U273" s="3" t="s">
        <v>43</v>
      </c>
      <c r="V273" s="3" t="s">
        <v>27</v>
      </c>
      <c r="W273" s="2"/>
      <c r="X273" s="2"/>
      <c r="Y273" s="2"/>
    </row>
    <row r="274" spans="1:25" x14ac:dyDescent="0.2">
      <c r="A274" s="3">
        <v>773</v>
      </c>
      <c r="B274" s="4" t="s">
        <v>1743</v>
      </c>
      <c r="C274" s="3" t="s">
        <v>1744</v>
      </c>
      <c r="D274" s="3" t="s">
        <v>6198</v>
      </c>
      <c r="E274" s="3" t="s">
        <v>1745</v>
      </c>
      <c r="F274" s="3" t="s">
        <v>6199</v>
      </c>
      <c r="G274" s="3" t="s">
        <v>988</v>
      </c>
      <c r="H274" s="2"/>
      <c r="I274" s="2"/>
      <c r="J274" s="3" t="s">
        <v>393</v>
      </c>
      <c r="K274" s="3" t="s">
        <v>1746</v>
      </c>
      <c r="L274" s="3" t="s">
        <v>6200</v>
      </c>
      <c r="M274" s="2"/>
      <c r="N274" s="2"/>
      <c r="O274" s="3" t="s">
        <v>26</v>
      </c>
      <c r="P274" s="2"/>
      <c r="Q274" s="3">
        <v>0</v>
      </c>
      <c r="R274" s="3" t="s">
        <v>396</v>
      </c>
      <c r="S274" s="3" t="s">
        <v>455</v>
      </c>
      <c r="T274" s="3" t="s">
        <v>1747</v>
      </c>
      <c r="U274" s="3" t="s">
        <v>1748</v>
      </c>
      <c r="V274" s="2"/>
      <c r="W274" s="2"/>
      <c r="X274" s="2"/>
      <c r="Y274" s="2"/>
    </row>
    <row r="275" spans="1:25" x14ac:dyDescent="0.2">
      <c r="A275" s="3">
        <v>775</v>
      </c>
      <c r="B275" s="4" t="s">
        <v>1749</v>
      </c>
      <c r="C275" s="3" t="s">
        <v>1750</v>
      </c>
      <c r="D275" s="3" t="s">
        <v>6203</v>
      </c>
      <c r="E275" s="3" t="s">
        <v>1751</v>
      </c>
      <c r="F275" s="3" t="s">
        <v>6204</v>
      </c>
      <c r="G275" s="3" t="s">
        <v>490</v>
      </c>
      <c r="H275" s="2"/>
      <c r="I275" s="2"/>
      <c r="J275" s="3" t="s">
        <v>393</v>
      </c>
      <c r="K275" s="3" t="s">
        <v>756</v>
      </c>
      <c r="L275" s="3" t="s">
        <v>756</v>
      </c>
      <c r="M275" s="2"/>
      <c r="N275" s="2"/>
      <c r="O275" s="3" t="s">
        <v>26</v>
      </c>
      <c r="P275" s="3" t="s">
        <v>439</v>
      </c>
      <c r="Q275" s="3" t="s">
        <v>5352</v>
      </c>
      <c r="R275" s="3" t="s">
        <v>396</v>
      </c>
      <c r="S275" s="3" t="s">
        <v>982</v>
      </c>
      <c r="T275" s="3" t="s">
        <v>1752</v>
      </c>
      <c r="U275" s="3" t="s">
        <v>43</v>
      </c>
      <c r="V275" s="3" t="s">
        <v>439</v>
      </c>
      <c r="W275" s="2"/>
      <c r="X275" s="2"/>
      <c r="Y275" s="2"/>
    </row>
    <row r="276" spans="1:25" x14ac:dyDescent="0.2">
      <c r="A276" s="3">
        <v>776</v>
      </c>
      <c r="B276" s="4" t="s">
        <v>1753</v>
      </c>
      <c r="C276" s="3" t="s">
        <v>1754</v>
      </c>
      <c r="D276" s="3" t="s">
        <v>6206</v>
      </c>
      <c r="E276" s="3" t="s">
        <v>1755</v>
      </c>
      <c r="F276" s="3" t="s">
        <v>6207</v>
      </c>
      <c r="G276" s="3" t="s">
        <v>1756</v>
      </c>
      <c r="H276" s="2"/>
      <c r="I276" s="2"/>
      <c r="J276" s="3" t="s">
        <v>393</v>
      </c>
      <c r="K276" s="3" t="s">
        <v>659</v>
      </c>
      <c r="L276" s="3" t="s">
        <v>659</v>
      </c>
      <c r="M276" s="2"/>
      <c r="N276" s="2"/>
      <c r="O276" s="3" t="s">
        <v>426</v>
      </c>
      <c r="P276" s="3" t="s">
        <v>27</v>
      </c>
      <c r="Q276" s="3" t="s">
        <v>5079</v>
      </c>
      <c r="R276" s="3" t="s">
        <v>396</v>
      </c>
      <c r="S276" s="3" t="s">
        <v>982</v>
      </c>
      <c r="T276" s="3" t="s">
        <v>1757</v>
      </c>
      <c r="U276" s="3" t="s">
        <v>43</v>
      </c>
      <c r="V276" s="3" t="s">
        <v>27</v>
      </c>
      <c r="W276" s="2"/>
      <c r="X276" s="2"/>
      <c r="Y276" s="2"/>
    </row>
    <row r="277" spans="1:25" x14ac:dyDescent="0.2">
      <c r="A277" s="3">
        <v>777</v>
      </c>
      <c r="B277" s="4" t="s">
        <v>1758</v>
      </c>
      <c r="C277" s="3" t="s">
        <v>1759</v>
      </c>
      <c r="D277" s="3" t="s">
        <v>6209</v>
      </c>
      <c r="E277" s="3" t="s">
        <v>1760</v>
      </c>
      <c r="F277" s="3" t="s">
        <v>6210</v>
      </c>
      <c r="G277" s="3" t="s">
        <v>1761</v>
      </c>
      <c r="H277" s="2"/>
      <c r="I277" s="2"/>
      <c r="J277" s="3" t="s">
        <v>393</v>
      </c>
      <c r="K277" s="3" t="s">
        <v>1762</v>
      </c>
      <c r="L277" s="3" t="s">
        <v>1762</v>
      </c>
      <c r="M277" s="2"/>
      <c r="N277" s="2"/>
      <c r="O277" s="3" t="s">
        <v>426</v>
      </c>
      <c r="P277" s="3" t="s">
        <v>27</v>
      </c>
      <c r="Q277" s="3" t="s">
        <v>5079</v>
      </c>
      <c r="R277" s="3" t="s">
        <v>396</v>
      </c>
      <c r="S277" s="3" t="s">
        <v>982</v>
      </c>
      <c r="T277" s="3" t="s">
        <v>1763</v>
      </c>
      <c r="U277" s="3" t="s">
        <v>43</v>
      </c>
      <c r="V277" s="3" t="s">
        <v>27</v>
      </c>
      <c r="W277" s="2"/>
      <c r="X277" s="2"/>
      <c r="Y277" s="2"/>
    </row>
    <row r="278" spans="1:25" x14ac:dyDescent="0.2">
      <c r="A278" s="3">
        <v>778</v>
      </c>
      <c r="B278" s="4" t="s">
        <v>1764</v>
      </c>
      <c r="C278" s="3" t="s">
        <v>1765</v>
      </c>
      <c r="D278" s="3" t="s">
        <v>6212</v>
      </c>
      <c r="E278" s="3" t="s">
        <v>1766</v>
      </c>
      <c r="F278" s="3" t="s">
        <v>6213</v>
      </c>
      <c r="G278" s="3" t="s">
        <v>1521</v>
      </c>
      <c r="H278" s="2"/>
      <c r="I278" s="2"/>
      <c r="J278" s="3" t="s">
        <v>393</v>
      </c>
      <c r="K278" s="3" t="s">
        <v>1767</v>
      </c>
      <c r="L278" s="3" t="s">
        <v>1767</v>
      </c>
      <c r="M278" s="2"/>
      <c r="N278" s="2"/>
      <c r="O278" s="3" t="s">
        <v>493</v>
      </c>
      <c r="P278" s="3" t="s">
        <v>1768</v>
      </c>
      <c r="Q278" s="3" t="s">
        <v>6214</v>
      </c>
      <c r="R278" s="3" t="s">
        <v>396</v>
      </c>
      <c r="S278" s="3" t="s">
        <v>405</v>
      </c>
      <c r="T278" s="3" t="s">
        <v>1769</v>
      </c>
      <c r="U278" s="3" t="s">
        <v>43</v>
      </c>
      <c r="V278" s="3" t="s">
        <v>439</v>
      </c>
      <c r="W278" s="2"/>
      <c r="X278" s="2"/>
      <c r="Y278" s="2"/>
    </row>
    <row r="279" spans="1:25" x14ac:dyDescent="0.2">
      <c r="A279" s="3">
        <v>779</v>
      </c>
      <c r="B279" s="4" t="s">
        <v>1770</v>
      </c>
      <c r="C279" s="3" t="s">
        <v>1771</v>
      </c>
      <c r="D279" s="3" t="s">
        <v>6216</v>
      </c>
      <c r="E279" s="3" t="s">
        <v>1772</v>
      </c>
      <c r="F279" s="3" t="s">
        <v>6217</v>
      </c>
      <c r="G279" s="3" t="s">
        <v>1773</v>
      </c>
      <c r="H279" s="2"/>
      <c r="I279" s="2"/>
      <c r="J279" s="3" t="s">
        <v>393</v>
      </c>
      <c r="K279" s="3" t="s">
        <v>1774</v>
      </c>
      <c r="L279" s="3" t="s">
        <v>6218</v>
      </c>
      <c r="M279" s="2"/>
      <c r="N279" s="2"/>
      <c r="O279" s="3" t="s">
        <v>26</v>
      </c>
      <c r="P279" s="3" t="s">
        <v>27</v>
      </c>
      <c r="Q279" s="3" t="s">
        <v>5079</v>
      </c>
      <c r="R279" s="3" t="s">
        <v>396</v>
      </c>
      <c r="S279" s="3" t="s">
        <v>455</v>
      </c>
      <c r="T279" s="3" t="s">
        <v>1775</v>
      </c>
      <c r="U279" s="3" t="s">
        <v>43</v>
      </c>
      <c r="V279" s="3" t="s">
        <v>27</v>
      </c>
      <c r="W279" s="2"/>
      <c r="X279" s="2"/>
      <c r="Y279" s="2"/>
    </row>
    <row r="280" spans="1:25" x14ac:dyDescent="0.2">
      <c r="A280" s="3">
        <v>780</v>
      </c>
      <c r="B280" s="4" t="s">
        <v>1776</v>
      </c>
      <c r="C280" s="3" t="s">
        <v>1777</v>
      </c>
      <c r="D280" s="3" t="s">
        <v>6220</v>
      </c>
      <c r="E280" s="3" t="s">
        <v>1778</v>
      </c>
      <c r="F280" s="3" t="s">
        <v>6221</v>
      </c>
      <c r="G280" s="3" t="s">
        <v>431</v>
      </c>
      <c r="H280" s="2"/>
      <c r="I280" s="2"/>
      <c r="J280" s="3" t="s">
        <v>393</v>
      </c>
      <c r="K280" s="3" t="s">
        <v>1779</v>
      </c>
      <c r="L280" s="3" t="s">
        <v>1779</v>
      </c>
      <c r="M280" s="2"/>
      <c r="N280" s="6" t="s">
        <v>1780</v>
      </c>
      <c r="O280" s="3" t="s">
        <v>493</v>
      </c>
      <c r="P280" s="3" t="s">
        <v>27</v>
      </c>
      <c r="Q280" s="3" t="s">
        <v>5079</v>
      </c>
      <c r="R280" s="3" t="s">
        <v>396</v>
      </c>
      <c r="S280" s="3" t="s">
        <v>405</v>
      </c>
      <c r="T280" s="3" t="s">
        <v>1781</v>
      </c>
      <c r="U280" s="3" t="s">
        <v>43</v>
      </c>
      <c r="V280" s="3" t="s">
        <v>27</v>
      </c>
      <c r="W280" s="2"/>
      <c r="X280" s="2"/>
      <c r="Y280" s="2"/>
    </row>
    <row r="281" spans="1:25" x14ac:dyDescent="0.2">
      <c r="A281" s="3">
        <v>781</v>
      </c>
      <c r="B281" s="4" t="s">
        <v>1782</v>
      </c>
      <c r="C281" s="3" t="s">
        <v>1783</v>
      </c>
      <c r="D281" s="3" t="s">
        <v>6223</v>
      </c>
      <c r="E281" s="3" t="s">
        <v>1784</v>
      </c>
      <c r="F281" s="3" t="s">
        <v>6224</v>
      </c>
      <c r="G281" s="3" t="s">
        <v>431</v>
      </c>
      <c r="H281" s="2"/>
      <c r="I281" s="2"/>
      <c r="J281" s="3" t="s">
        <v>393</v>
      </c>
      <c r="K281" s="3" t="s">
        <v>1779</v>
      </c>
      <c r="L281" s="3" t="s">
        <v>1779</v>
      </c>
      <c r="M281" s="2"/>
      <c r="N281" s="6" t="s">
        <v>1785</v>
      </c>
      <c r="O281" s="3" t="s">
        <v>426</v>
      </c>
      <c r="P281" s="3" t="s">
        <v>27</v>
      </c>
      <c r="Q281" s="3" t="s">
        <v>5079</v>
      </c>
      <c r="R281" s="3" t="s">
        <v>396</v>
      </c>
      <c r="S281" s="3" t="s">
        <v>405</v>
      </c>
      <c r="T281" s="3" t="s">
        <v>1786</v>
      </c>
      <c r="U281" s="3" t="s">
        <v>43</v>
      </c>
      <c r="V281" s="3" t="s">
        <v>27</v>
      </c>
      <c r="W281" s="2"/>
      <c r="X281" s="2"/>
      <c r="Y281" s="2"/>
    </row>
    <row r="282" spans="1:25" x14ac:dyDescent="0.2">
      <c r="A282" s="3">
        <v>782</v>
      </c>
      <c r="B282" s="4" t="s">
        <v>1787</v>
      </c>
      <c r="C282" s="3" t="s">
        <v>1788</v>
      </c>
      <c r="D282" s="3" t="s">
        <v>6226</v>
      </c>
      <c r="E282" s="3" t="s">
        <v>1789</v>
      </c>
      <c r="F282" s="3" t="s">
        <v>6227</v>
      </c>
      <c r="G282" s="3" t="s">
        <v>431</v>
      </c>
      <c r="H282" s="2"/>
      <c r="I282" s="2"/>
      <c r="J282" s="3" t="s">
        <v>393</v>
      </c>
      <c r="K282" s="3" t="s">
        <v>1790</v>
      </c>
      <c r="L282" s="3" t="s">
        <v>1790</v>
      </c>
      <c r="M282" s="2"/>
      <c r="N282" s="2"/>
      <c r="O282" s="3" t="s">
        <v>493</v>
      </c>
      <c r="P282" s="3" t="s">
        <v>27</v>
      </c>
      <c r="Q282" s="3" t="s">
        <v>5079</v>
      </c>
      <c r="R282" s="3" t="s">
        <v>396</v>
      </c>
      <c r="S282" s="3" t="s">
        <v>405</v>
      </c>
      <c r="T282" s="3" t="s">
        <v>1791</v>
      </c>
      <c r="U282" s="3" t="s">
        <v>43</v>
      </c>
      <c r="V282" s="3" t="s">
        <v>27</v>
      </c>
      <c r="W282" s="2"/>
      <c r="X282" s="2"/>
      <c r="Y282" s="2"/>
    </row>
    <row r="283" spans="1:25" x14ac:dyDescent="0.2">
      <c r="A283" s="3">
        <v>783</v>
      </c>
      <c r="B283" s="4" t="s">
        <v>1792</v>
      </c>
      <c r="C283" s="3" t="s">
        <v>1793</v>
      </c>
      <c r="D283" s="3" t="s">
        <v>6229</v>
      </c>
      <c r="E283" s="3" t="s">
        <v>1794</v>
      </c>
      <c r="F283" s="3" t="s">
        <v>6230</v>
      </c>
      <c r="G283" s="3" t="s">
        <v>403</v>
      </c>
      <c r="H283" s="3" t="s">
        <v>1498</v>
      </c>
      <c r="I283" s="3" t="s">
        <v>1498</v>
      </c>
      <c r="J283" s="3" t="s">
        <v>393</v>
      </c>
      <c r="K283" s="3" t="s">
        <v>1795</v>
      </c>
      <c r="L283" s="3" t="s">
        <v>6231</v>
      </c>
      <c r="M283" s="2"/>
      <c r="N283" s="6" t="s">
        <v>1796</v>
      </c>
      <c r="O283" s="3" t="s">
        <v>39</v>
      </c>
      <c r="P283" s="3" t="s">
        <v>439</v>
      </c>
      <c r="Q283" s="3" t="s">
        <v>5352</v>
      </c>
      <c r="R283" s="3" t="s">
        <v>396</v>
      </c>
      <c r="S283" s="3" t="s">
        <v>455</v>
      </c>
      <c r="T283" s="3" t="s">
        <v>1797</v>
      </c>
      <c r="U283" s="3" t="s">
        <v>43</v>
      </c>
      <c r="V283" s="3" t="s">
        <v>439</v>
      </c>
      <c r="W283" s="2"/>
      <c r="X283" s="2"/>
      <c r="Y283" s="2"/>
    </row>
    <row r="284" spans="1:25" x14ac:dyDescent="0.2">
      <c r="A284" s="3">
        <v>573</v>
      </c>
      <c r="B284" s="4" t="s">
        <v>1798</v>
      </c>
      <c r="C284" s="3" t="s">
        <v>1799</v>
      </c>
      <c r="D284" s="3" t="s">
        <v>6233</v>
      </c>
      <c r="E284" s="3" t="s">
        <v>1800</v>
      </c>
      <c r="F284" s="3" t="s">
        <v>6234</v>
      </c>
      <c r="G284" s="3" t="s">
        <v>1212</v>
      </c>
      <c r="H284" s="2"/>
      <c r="I284" s="2"/>
      <c r="J284" s="3" t="s">
        <v>393</v>
      </c>
      <c r="K284" s="3" t="s">
        <v>453</v>
      </c>
      <c r="L284" s="3" t="s">
        <v>453</v>
      </c>
      <c r="M284" s="3" t="s">
        <v>1801</v>
      </c>
      <c r="N284" s="6" t="s">
        <v>1802</v>
      </c>
      <c r="O284" s="3" t="s">
        <v>26</v>
      </c>
      <c r="P284" s="3" t="s">
        <v>989</v>
      </c>
      <c r="Q284" s="3" t="s">
        <v>5079</v>
      </c>
      <c r="R284" s="3" t="s">
        <v>396</v>
      </c>
      <c r="S284" s="3" t="s">
        <v>455</v>
      </c>
      <c r="T284" s="3" t="s">
        <v>1803</v>
      </c>
      <c r="U284" s="3" t="s">
        <v>43</v>
      </c>
      <c r="V284" s="3" t="s">
        <v>27</v>
      </c>
      <c r="W284" s="2"/>
      <c r="X284" s="2"/>
      <c r="Y284" s="2"/>
    </row>
    <row r="285" spans="1:25" x14ac:dyDescent="0.2">
      <c r="A285" s="3">
        <v>574</v>
      </c>
      <c r="B285" s="4" t="s">
        <v>1804</v>
      </c>
      <c r="C285" s="3" t="s">
        <v>1805</v>
      </c>
      <c r="D285" s="3" t="s">
        <v>6236</v>
      </c>
      <c r="E285" s="3" t="s">
        <v>1806</v>
      </c>
      <c r="F285" s="3" t="s">
        <v>6237</v>
      </c>
      <c r="G285" s="3" t="s">
        <v>1552</v>
      </c>
      <c r="H285" s="2"/>
      <c r="I285" s="2"/>
      <c r="J285" s="3" t="s">
        <v>393</v>
      </c>
      <c r="K285" s="3" t="s">
        <v>453</v>
      </c>
      <c r="L285" s="3" t="s">
        <v>453</v>
      </c>
      <c r="M285" s="2"/>
      <c r="N285" s="2"/>
      <c r="O285" s="3" t="s">
        <v>26</v>
      </c>
      <c r="P285" s="3" t="s">
        <v>395</v>
      </c>
      <c r="Q285" s="3" t="s">
        <v>5324</v>
      </c>
      <c r="R285" s="3" t="s">
        <v>396</v>
      </c>
      <c r="S285" s="3" t="s">
        <v>455</v>
      </c>
      <c r="T285" s="3" t="s">
        <v>1807</v>
      </c>
      <c r="U285" s="3" t="s">
        <v>43</v>
      </c>
      <c r="V285" s="3" t="s">
        <v>1109</v>
      </c>
      <c r="W285" s="2"/>
      <c r="X285" s="2"/>
      <c r="Y285" s="2"/>
    </row>
    <row r="286" spans="1:25" x14ac:dyDescent="0.2">
      <c r="A286" s="3">
        <v>575</v>
      </c>
      <c r="B286" s="4" t="s">
        <v>1808</v>
      </c>
      <c r="C286" s="3" t="s">
        <v>1809</v>
      </c>
      <c r="D286" s="3" t="s">
        <v>6239</v>
      </c>
      <c r="E286" s="3" t="s">
        <v>1810</v>
      </c>
      <c r="F286" s="3" t="s">
        <v>6240</v>
      </c>
      <c r="G286" s="3" t="s">
        <v>1552</v>
      </c>
      <c r="H286" s="2"/>
      <c r="I286" s="2"/>
      <c r="J286" s="3" t="s">
        <v>393</v>
      </c>
      <c r="K286" s="3" t="s">
        <v>453</v>
      </c>
      <c r="L286" s="3" t="s">
        <v>453</v>
      </c>
      <c r="M286" s="2"/>
      <c r="N286" s="2"/>
      <c r="O286" s="3" t="s">
        <v>426</v>
      </c>
      <c r="P286" s="3" t="s">
        <v>395</v>
      </c>
      <c r="Q286" s="3" t="s">
        <v>5324</v>
      </c>
      <c r="R286" s="3" t="s">
        <v>396</v>
      </c>
      <c r="S286" s="3" t="s">
        <v>455</v>
      </c>
      <c r="T286" s="3" t="s">
        <v>1811</v>
      </c>
      <c r="U286" s="3" t="s">
        <v>43</v>
      </c>
      <c r="V286" s="3" t="s">
        <v>395</v>
      </c>
      <c r="W286" s="2"/>
      <c r="X286" s="2"/>
      <c r="Y286" s="2"/>
    </row>
    <row r="287" spans="1:25" x14ac:dyDescent="0.2">
      <c r="A287" s="3">
        <v>576</v>
      </c>
      <c r="B287" s="4" t="s">
        <v>1812</v>
      </c>
      <c r="C287" s="3" t="s">
        <v>1813</v>
      </c>
      <c r="D287" s="3" t="s">
        <v>6242</v>
      </c>
      <c r="E287" s="3" t="s">
        <v>1814</v>
      </c>
      <c r="F287" s="3" t="s">
        <v>6243</v>
      </c>
      <c r="G287" s="3" t="s">
        <v>1815</v>
      </c>
      <c r="H287" s="2"/>
      <c r="I287" s="2"/>
      <c r="J287" s="3" t="s">
        <v>393</v>
      </c>
      <c r="K287" s="3" t="s">
        <v>453</v>
      </c>
      <c r="L287" s="3" t="s">
        <v>453</v>
      </c>
      <c r="M287" s="2"/>
      <c r="N287" s="2"/>
      <c r="O287" s="3" t="s">
        <v>426</v>
      </c>
      <c r="P287" s="3" t="s">
        <v>989</v>
      </c>
      <c r="Q287" s="3" t="s">
        <v>5079</v>
      </c>
      <c r="R287" s="3" t="s">
        <v>396</v>
      </c>
      <c r="S287" s="3" t="s">
        <v>455</v>
      </c>
      <c r="T287" s="3" t="s">
        <v>1816</v>
      </c>
      <c r="U287" s="3" t="s">
        <v>43</v>
      </c>
      <c r="V287" s="3" t="s">
        <v>27</v>
      </c>
      <c r="W287" s="2"/>
      <c r="X287" s="2"/>
      <c r="Y287" s="2"/>
    </row>
    <row r="288" spans="1:25" x14ac:dyDescent="0.2">
      <c r="A288" s="3">
        <v>577</v>
      </c>
      <c r="B288" s="4" t="s">
        <v>1817</v>
      </c>
      <c r="C288" s="3" t="s">
        <v>1818</v>
      </c>
      <c r="D288" s="3" t="s">
        <v>6245</v>
      </c>
      <c r="E288" s="3" t="s">
        <v>1819</v>
      </c>
      <c r="F288" s="3" t="s">
        <v>6246</v>
      </c>
      <c r="G288" s="3" t="s">
        <v>902</v>
      </c>
      <c r="H288" s="2"/>
      <c r="I288" s="2"/>
      <c r="J288" s="3" t="s">
        <v>393</v>
      </c>
      <c r="K288" s="3" t="s">
        <v>453</v>
      </c>
      <c r="L288" s="3" t="s">
        <v>453</v>
      </c>
      <c r="M288" s="3" t="s">
        <v>1820</v>
      </c>
      <c r="N288" s="2"/>
      <c r="O288" s="3" t="s">
        <v>426</v>
      </c>
      <c r="P288" s="3" t="s">
        <v>1821</v>
      </c>
      <c r="Q288" s="3" t="s">
        <v>6248</v>
      </c>
      <c r="R288" s="3" t="s">
        <v>396</v>
      </c>
      <c r="S288" s="3" t="s">
        <v>405</v>
      </c>
      <c r="T288" s="3" t="s">
        <v>1822</v>
      </c>
      <c r="U288" s="3" t="s">
        <v>43</v>
      </c>
      <c r="V288" s="3" t="s">
        <v>1180</v>
      </c>
      <c r="W288" s="2"/>
      <c r="X288" s="2"/>
      <c r="Y288" s="2"/>
    </row>
    <row r="289" spans="1:25" x14ac:dyDescent="0.2">
      <c r="A289" s="3">
        <v>666</v>
      </c>
      <c r="B289" s="4" t="s">
        <v>1823</v>
      </c>
      <c r="C289" s="3" t="s">
        <v>1824</v>
      </c>
      <c r="D289" s="3" t="s">
        <v>6250</v>
      </c>
      <c r="E289" s="3" t="s">
        <v>1825</v>
      </c>
      <c r="F289" s="3" t="s">
        <v>6251</v>
      </c>
      <c r="G289" s="3" t="s">
        <v>979</v>
      </c>
      <c r="H289" s="2"/>
      <c r="I289" s="2"/>
      <c r="J289" s="3" t="s">
        <v>393</v>
      </c>
      <c r="K289" s="3" t="s">
        <v>453</v>
      </c>
      <c r="L289" s="3" t="s">
        <v>453</v>
      </c>
      <c r="M289" s="2"/>
      <c r="N289" s="2"/>
      <c r="O289" s="2"/>
      <c r="P289" s="3" t="s">
        <v>71</v>
      </c>
      <c r="Q289" s="3" t="s">
        <v>5107</v>
      </c>
      <c r="R289" s="3" t="s">
        <v>396</v>
      </c>
      <c r="S289" s="3" t="s">
        <v>700</v>
      </c>
      <c r="T289" s="3" t="s">
        <v>1826</v>
      </c>
      <c r="U289" s="3" t="s">
        <v>43</v>
      </c>
      <c r="V289" s="3" t="s">
        <v>71</v>
      </c>
      <c r="W289" s="2"/>
      <c r="X289" s="2"/>
      <c r="Y289" s="2"/>
    </row>
    <row r="290" spans="1:25" x14ac:dyDescent="0.2">
      <c r="A290" s="3">
        <v>766</v>
      </c>
      <c r="B290" s="4" t="s">
        <v>1827</v>
      </c>
      <c r="C290" s="3" t="s">
        <v>1828</v>
      </c>
      <c r="D290" s="3" t="s">
        <v>6253</v>
      </c>
      <c r="E290" s="3" t="s">
        <v>1829</v>
      </c>
      <c r="F290" s="3" t="s">
        <v>6254</v>
      </c>
      <c r="G290" s="3" t="s">
        <v>1773</v>
      </c>
      <c r="H290" s="2"/>
      <c r="I290" s="2"/>
      <c r="J290" s="3" t="s">
        <v>393</v>
      </c>
      <c r="K290" s="3" t="s">
        <v>693</v>
      </c>
      <c r="L290" s="3" t="s">
        <v>5512</v>
      </c>
      <c r="M290" s="2"/>
      <c r="N290" s="2"/>
      <c r="O290" s="3" t="s">
        <v>39</v>
      </c>
      <c r="P290" s="3" t="s">
        <v>1830</v>
      </c>
      <c r="Q290" s="3" t="s">
        <v>6255</v>
      </c>
      <c r="R290" s="3" t="s">
        <v>396</v>
      </c>
      <c r="S290" s="3" t="s">
        <v>982</v>
      </c>
      <c r="T290" s="3" t="s">
        <v>1831</v>
      </c>
      <c r="U290" s="2"/>
      <c r="V290" s="3" t="s">
        <v>60</v>
      </c>
      <c r="W290" s="2"/>
      <c r="X290" s="2"/>
      <c r="Y290" s="2"/>
    </row>
    <row r="291" spans="1:25" x14ac:dyDescent="0.2">
      <c r="A291" s="3">
        <v>768</v>
      </c>
      <c r="B291" s="4" t="s">
        <v>1832</v>
      </c>
      <c r="C291" s="3" t="s">
        <v>1833</v>
      </c>
      <c r="D291" s="3" t="s">
        <v>6257</v>
      </c>
      <c r="E291" s="3" t="s">
        <v>1834</v>
      </c>
      <c r="F291" s="3" t="s">
        <v>6258</v>
      </c>
      <c r="G291" s="3" t="s">
        <v>858</v>
      </c>
      <c r="H291" s="3" t="s">
        <v>588</v>
      </c>
      <c r="I291" s="3" t="s">
        <v>858</v>
      </c>
      <c r="J291" s="3" t="s">
        <v>393</v>
      </c>
      <c r="K291" s="3" t="s">
        <v>1835</v>
      </c>
      <c r="L291" s="3" t="s">
        <v>6259</v>
      </c>
      <c r="M291" s="3" t="s">
        <v>1836</v>
      </c>
      <c r="N291" s="6" t="s">
        <v>1837</v>
      </c>
      <c r="O291" s="3" t="s">
        <v>39</v>
      </c>
      <c r="P291" s="3" t="s">
        <v>60</v>
      </c>
      <c r="Q291" s="3" t="s">
        <v>5100</v>
      </c>
      <c r="R291" s="3" t="s">
        <v>396</v>
      </c>
      <c r="S291" s="3" t="s">
        <v>982</v>
      </c>
      <c r="T291" s="3" t="s">
        <v>1838</v>
      </c>
      <c r="U291" s="2"/>
      <c r="V291" s="3" t="s">
        <v>60</v>
      </c>
      <c r="W291" s="2"/>
      <c r="X291" s="2"/>
      <c r="Y291" s="2"/>
    </row>
    <row r="292" spans="1:25" x14ac:dyDescent="0.2">
      <c r="A292" s="3">
        <v>822</v>
      </c>
      <c r="B292" s="4" t="s">
        <v>1839</v>
      </c>
      <c r="C292" s="3" t="s">
        <v>1840</v>
      </c>
      <c r="D292" s="3" t="s">
        <v>6262</v>
      </c>
      <c r="E292" s="3" t="s">
        <v>1841</v>
      </c>
      <c r="F292" s="3" t="s">
        <v>6263</v>
      </c>
      <c r="G292" s="3" t="s">
        <v>410</v>
      </c>
      <c r="H292" s="2"/>
      <c r="I292" s="3" t="s">
        <v>810</v>
      </c>
      <c r="J292" s="3" t="s">
        <v>393</v>
      </c>
      <c r="K292" s="3" t="s">
        <v>453</v>
      </c>
      <c r="L292" s="3" t="s">
        <v>453</v>
      </c>
      <c r="M292" s="2"/>
      <c r="N292" s="2"/>
      <c r="O292" s="3" t="s">
        <v>26</v>
      </c>
      <c r="P292" s="3" t="s">
        <v>27</v>
      </c>
      <c r="Q292" s="3" t="s">
        <v>5079</v>
      </c>
      <c r="R292" s="3" t="s">
        <v>396</v>
      </c>
      <c r="S292" s="3" t="s">
        <v>455</v>
      </c>
      <c r="T292" s="3" t="s">
        <v>1842</v>
      </c>
      <c r="U292" s="3" t="s">
        <v>43</v>
      </c>
      <c r="V292" s="3" t="s">
        <v>27</v>
      </c>
      <c r="W292" s="2"/>
      <c r="X292" s="2"/>
      <c r="Y292" s="2"/>
    </row>
    <row r="293" spans="1:25" x14ac:dyDescent="0.2">
      <c r="A293" s="3">
        <v>817</v>
      </c>
      <c r="B293" s="4" t="s">
        <v>1843</v>
      </c>
      <c r="C293" s="3" t="s">
        <v>1844</v>
      </c>
      <c r="D293" s="3" t="s">
        <v>6265</v>
      </c>
      <c r="E293" s="3" t="s">
        <v>1845</v>
      </c>
      <c r="F293" s="3" t="s">
        <v>6266</v>
      </c>
      <c r="G293" s="3" t="s">
        <v>1247</v>
      </c>
      <c r="H293" s="3" t="s">
        <v>1846</v>
      </c>
      <c r="I293" s="3" t="s">
        <v>1846</v>
      </c>
      <c r="J293" s="3" t="s">
        <v>393</v>
      </c>
      <c r="K293" s="3" t="s">
        <v>453</v>
      </c>
      <c r="L293" s="3" t="s">
        <v>453</v>
      </c>
      <c r="M293" s="3" t="s">
        <v>1587</v>
      </c>
      <c r="N293" s="2"/>
      <c r="O293" s="3" t="s">
        <v>426</v>
      </c>
      <c r="P293" s="2"/>
      <c r="Q293" s="3">
        <v>0</v>
      </c>
      <c r="R293" s="3" t="s">
        <v>396</v>
      </c>
      <c r="S293" s="3" t="s">
        <v>397</v>
      </c>
      <c r="T293" s="3" t="s">
        <v>1847</v>
      </c>
      <c r="U293" s="3" t="s">
        <v>43</v>
      </c>
      <c r="V293" s="3" t="s">
        <v>1848</v>
      </c>
      <c r="W293" s="3" t="s">
        <v>1849</v>
      </c>
      <c r="X293" s="2"/>
      <c r="Y293" s="2"/>
    </row>
    <row r="294" spans="1:25" x14ac:dyDescent="0.2">
      <c r="A294" s="3">
        <v>524</v>
      </c>
      <c r="B294" s="4" t="s">
        <v>1850</v>
      </c>
      <c r="C294" s="3" t="s">
        <v>1851</v>
      </c>
      <c r="D294" s="3" t="s">
        <v>6270</v>
      </c>
      <c r="E294" s="3" t="s">
        <v>1852</v>
      </c>
      <c r="F294" s="3" t="s">
        <v>6271</v>
      </c>
      <c r="G294" s="3" t="s">
        <v>483</v>
      </c>
      <c r="H294" s="2"/>
      <c r="I294" s="2"/>
      <c r="J294" s="3" t="s">
        <v>393</v>
      </c>
      <c r="K294" s="3" t="s">
        <v>491</v>
      </c>
      <c r="L294" s="3" t="s">
        <v>491</v>
      </c>
      <c r="M294" s="2"/>
      <c r="N294" s="3" t="s">
        <v>1853</v>
      </c>
      <c r="O294" s="3" t="s">
        <v>39</v>
      </c>
      <c r="P294" s="3" t="s">
        <v>60</v>
      </c>
      <c r="Q294" s="3" t="s">
        <v>5100</v>
      </c>
      <c r="R294" s="3" t="s">
        <v>396</v>
      </c>
      <c r="S294" s="3" t="s">
        <v>982</v>
      </c>
      <c r="T294" s="3" t="s">
        <v>1854</v>
      </c>
      <c r="U294" s="2"/>
      <c r="V294" s="3" t="s">
        <v>60</v>
      </c>
      <c r="W294" s="2"/>
      <c r="X294" s="2"/>
      <c r="Y294" s="2"/>
    </row>
    <row r="295" spans="1:25" x14ac:dyDescent="0.2">
      <c r="A295" s="3">
        <v>534</v>
      </c>
      <c r="B295" s="4" t="s">
        <v>1855</v>
      </c>
      <c r="C295" s="3" t="s">
        <v>1856</v>
      </c>
      <c r="D295" s="3" t="s">
        <v>6273</v>
      </c>
      <c r="E295" s="3" t="s">
        <v>1857</v>
      </c>
      <c r="F295" s="3" t="s">
        <v>6274</v>
      </c>
      <c r="G295" s="3" t="s">
        <v>1858</v>
      </c>
      <c r="H295" s="2"/>
      <c r="I295" s="2"/>
      <c r="J295" s="3" t="s">
        <v>393</v>
      </c>
      <c r="K295" s="3" t="s">
        <v>532</v>
      </c>
      <c r="L295" s="3" t="s">
        <v>5412</v>
      </c>
      <c r="M295" s="2"/>
      <c r="N295" s="2"/>
      <c r="O295" s="3" t="s">
        <v>39</v>
      </c>
      <c r="P295" s="3" t="s">
        <v>439</v>
      </c>
      <c r="Q295" s="3" t="s">
        <v>5352</v>
      </c>
      <c r="R295" s="3" t="s">
        <v>396</v>
      </c>
      <c r="S295" s="3" t="s">
        <v>982</v>
      </c>
      <c r="T295" s="3" t="s">
        <v>1859</v>
      </c>
      <c r="U295" s="3" t="s">
        <v>43</v>
      </c>
      <c r="V295" s="3" t="s">
        <v>439</v>
      </c>
      <c r="W295" s="2"/>
      <c r="X295" s="2"/>
      <c r="Y295" s="2"/>
    </row>
    <row r="296" spans="1:25" x14ac:dyDescent="0.2">
      <c r="A296" s="3">
        <v>537</v>
      </c>
      <c r="B296" s="4" t="s">
        <v>1860</v>
      </c>
      <c r="C296" s="3" t="s">
        <v>1861</v>
      </c>
      <c r="D296" s="3" t="s">
        <v>6276</v>
      </c>
      <c r="E296" s="3" t="s">
        <v>1862</v>
      </c>
      <c r="F296" s="3" t="s">
        <v>6277</v>
      </c>
      <c r="G296" s="3" t="s">
        <v>751</v>
      </c>
      <c r="H296" s="2"/>
      <c r="I296" s="2"/>
      <c r="J296" s="3" t="s">
        <v>393</v>
      </c>
      <c r="K296" s="3" t="s">
        <v>1863</v>
      </c>
      <c r="L296" s="3" t="s">
        <v>6278</v>
      </c>
      <c r="M296" s="2"/>
      <c r="N296" s="2"/>
      <c r="O296" s="3" t="s">
        <v>39</v>
      </c>
      <c r="P296" s="3" t="s">
        <v>27</v>
      </c>
      <c r="Q296" s="3" t="s">
        <v>5079</v>
      </c>
      <c r="R296" s="3" t="s">
        <v>396</v>
      </c>
      <c r="S296" s="3" t="s">
        <v>700</v>
      </c>
      <c r="T296" s="3" t="s">
        <v>1864</v>
      </c>
      <c r="U296" s="3" t="s">
        <v>43</v>
      </c>
      <c r="V296" s="3" t="s">
        <v>27</v>
      </c>
      <c r="W296" s="2"/>
      <c r="X296" s="2"/>
      <c r="Y296" s="2"/>
    </row>
    <row r="297" spans="1:25" x14ac:dyDescent="0.2">
      <c r="A297" s="3">
        <v>541</v>
      </c>
      <c r="B297" s="4" t="s">
        <v>1865</v>
      </c>
      <c r="C297" s="3" t="s">
        <v>1866</v>
      </c>
      <c r="D297" s="3" t="s">
        <v>6280</v>
      </c>
      <c r="E297" s="3" t="s">
        <v>1867</v>
      </c>
      <c r="F297" s="3" t="s">
        <v>6281</v>
      </c>
      <c r="G297" s="3" t="s">
        <v>1052</v>
      </c>
      <c r="H297" s="2"/>
      <c r="I297" s="2"/>
      <c r="J297" s="3" t="s">
        <v>393</v>
      </c>
      <c r="K297" s="3" t="s">
        <v>453</v>
      </c>
      <c r="L297" s="3" t="s">
        <v>453</v>
      </c>
      <c r="M297" s="2"/>
      <c r="N297" s="2"/>
      <c r="O297" s="3" t="s">
        <v>39</v>
      </c>
      <c r="P297" s="3" t="s">
        <v>27</v>
      </c>
      <c r="Q297" s="3" t="s">
        <v>5079</v>
      </c>
      <c r="R297" s="3" t="s">
        <v>396</v>
      </c>
      <c r="S297" s="3" t="s">
        <v>982</v>
      </c>
      <c r="T297" s="3" t="s">
        <v>1868</v>
      </c>
      <c r="U297" s="3" t="s">
        <v>43</v>
      </c>
      <c r="V297" s="3" t="s">
        <v>27</v>
      </c>
      <c r="W297" s="2"/>
      <c r="X297" s="2"/>
      <c r="Y297" s="2"/>
    </row>
    <row r="298" spans="1:25" x14ac:dyDescent="0.2">
      <c r="A298" s="3">
        <v>545</v>
      </c>
      <c r="B298" s="6" t="s">
        <v>1869</v>
      </c>
      <c r="C298" s="3" t="s">
        <v>1870</v>
      </c>
      <c r="D298" s="3" t="s">
        <v>6283</v>
      </c>
      <c r="E298" s="3" t="s">
        <v>1871</v>
      </c>
      <c r="F298" s="3" t="s">
        <v>6284</v>
      </c>
      <c r="G298" s="3" t="s">
        <v>1069</v>
      </c>
      <c r="H298" s="5">
        <v>45261</v>
      </c>
      <c r="I298" s="5">
        <v>45261</v>
      </c>
      <c r="J298" s="3" t="s">
        <v>393</v>
      </c>
      <c r="K298" s="3" t="s">
        <v>453</v>
      </c>
      <c r="L298" s="3" t="s">
        <v>453</v>
      </c>
      <c r="M298" s="2"/>
      <c r="N298" s="2"/>
      <c r="O298" s="3" t="s">
        <v>493</v>
      </c>
      <c r="P298" s="3" t="s">
        <v>836</v>
      </c>
      <c r="Q298" s="3" t="s">
        <v>5599</v>
      </c>
      <c r="R298" s="3" t="s">
        <v>396</v>
      </c>
      <c r="S298" s="3" t="s">
        <v>982</v>
      </c>
      <c r="T298" s="3" t="s">
        <v>1872</v>
      </c>
      <c r="U298" s="3" t="s">
        <v>43</v>
      </c>
      <c r="V298" s="3" t="s">
        <v>1180</v>
      </c>
      <c r="W298" s="2"/>
      <c r="X298" s="2"/>
      <c r="Y298" s="2"/>
    </row>
    <row r="299" spans="1:25" x14ac:dyDescent="0.2">
      <c r="A299" s="3">
        <v>546</v>
      </c>
      <c r="B299" s="4" t="s">
        <v>1873</v>
      </c>
      <c r="C299" s="3" t="s">
        <v>1874</v>
      </c>
      <c r="D299" s="3" t="s">
        <v>6286</v>
      </c>
      <c r="E299" s="3" t="s">
        <v>1875</v>
      </c>
      <c r="F299" s="3" t="s">
        <v>6287</v>
      </c>
      <c r="G299" s="3" t="s">
        <v>1876</v>
      </c>
      <c r="H299" s="2"/>
      <c r="I299" s="2"/>
      <c r="J299" s="3" t="s">
        <v>393</v>
      </c>
      <c r="K299" s="3" t="s">
        <v>453</v>
      </c>
      <c r="L299" s="3" t="s">
        <v>453</v>
      </c>
      <c r="M299" s="2"/>
      <c r="N299" s="6" t="s">
        <v>1877</v>
      </c>
      <c r="O299" s="3" t="s">
        <v>26</v>
      </c>
      <c r="P299" s="3" t="s">
        <v>1878</v>
      </c>
      <c r="Q299" s="3" t="s">
        <v>6288</v>
      </c>
      <c r="R299" s="3" t="s">
        <v>396</v>
      </c>
      <c r="S299" s="3" t="s">
        <v>455</v>
      </c>
      <c r="T299" s="3" t="s">
        <v>1879</v>
      </c>
      <c r="U299" s="3" t="s">
        <v>43</v>
      </c>
      <c r="V299" s="3" t="s">
        <v>1880</v>
      </c>
      <c r="W299" s="2"/>
      <c r="X299" s="2"/>
      <c r="Y299" s="2"/>
    </row>
    <row r="300" spans="1:25" x14ac:dyDescent="0.2">
      <c r="A300" s="3">
        <v>548</v>
      </c>
      <c r="B300" s="4" t="s">
        <v>1881</v>
      </c>
      <c r="C300" s="3" t="s">
        <v>1882</v>
      </c>
      <c r="D300" s="3" t="s">
        <v>6291</v>
      </c>
      <c r="E300" s="3" t="s">
        <v>1883</v>
      </c>
      <c r="F300" s="3" t="s">
        <v>6292</v>
      </c>
      <c r="G300" s="3" t="s">
        <v>1075</v>
      </c>
      <c r="H300" s="2"/>
      <c r="I300" s="2"/>
      <c r="J300" s="3" t="s">
        <v>393</v>
      </c>
      <c r="K300" s="3" t="s">
        <v>453</v>
      </c>
      <c r="L300" s="3" t="s">
        <v>453</v>
      </c>
      <c r="M300" s="2"/>
      <c r="N300" s="2"/>
      <c r="O300" s="3" t="s">
        <v>26</v>
      </c>
      <c r="P300" s="3" t="s">
        <v>989</v>
      </c>
      <c r="Q300" s="3" t="s">
        <v>5079</v>
      </c>
      <c r="R300" s="3" t="s">
        <v>396</v>
      </c>
      <c r="S300" s="3" t="s">
        <v>1884</v>
      </c>
      <c r="T300" s="3" t="s">
        <v>1885</v>
      </c>
      <c r="U300" s="3" t="s">
        <v>43</v>
      </c>
      <c r="V300" s="3" t="s">
        <v>27</v>
      </c>
      <c r="W300" s="2"/>
      <c r="X300" s="2"/>
      <c r="Y300" s="2"/>
    </row>
    <row r="301" spans="1:25" x14ac:dyDescent="0.2">
      <c r="A301" s="3">
        <v>550</v>
      </c>
      <c r="B301" s="4" t="s">
        <v>1886</v>
      </c>
      <c r="C301" s="3" t="s">
        <v>1887</v>
      </c>
      <c r="D301" s="3" t="s">
        <v>6295</v>
      </c>
      <c r="E301" s="3" t="s">
        <v>1888</v>
      </c>
      <c r="F301" s="3" t="s">
        <v>6296</v>
      </c>
      <c r="G301" s="3" t="s">
        <v>1087</v>
      </c>
      <c r="H301" s="2"/>
      <c r="I301" s="2"/>
      <c r="J301" s="3" t="s">
        <v>393</v>
      </c>
      <c r="K301" s="3" t="s">
        <v>453</v>
      </c>
      <c r="L301" s="3" t="s">
        <v>453</v>
      </c>
      <c r="M301" s="2"/>
      <c r="N301" s="2"/>
      <c r="O301" s="3" t="s">
        <v>39</v>
      </c>
      <c r="P301" s="3" t="s">
        <v>1889</v>
      </c>
      <c r="Q301" s="3" t="s">
        <v>6297</v>
      </c>
      <c r="R301" s="3" t="s">
        <v>396</v>
      </c>
      <c r="S301" s="3" t="s">
        <v>982</v>
      </c>
      <c r="T301" s="3" t="s">
        <v>1890</v>
      </c>
      <c r="U301" s="3" t="s">
        <v>43</v>
      </c>
      <c r="V301" s="3" t="s">
        <v>1891</v>
      </c>
      <c r="W301" s="2"/>
      <c r="X301" s="2"/>
      <c r="Y301" s="2"/>
    </row>
    <row r="302" spans="1:25" x14ac:dyDescent="0.2">
      <c r="A302" s="3">
        <v>563</v>
      </c>
      <c r="B302" s="4" t="s">
        <v>1892</v>
      </c>
      <c r="C302" s="3" t="s">
        <v>1893</v>
      </c>
      <c r="D302" s="3" t="s">
        <v>6299</v>
      </c>
      <c r="E302" s="3" t="s">
        <v>1894</v>
      </c>
      <c r="F302" s="3" t="s">
        <v>6300</v>
      </c>
      <c r="G302" s="3" t="s">
        <v>840</v>
      </c>
      <c r="H302" s="2"/>
      <c r="I302" s="2"/>
      <c r="J302" s="3" t="s">
        <v>393</v>
      </c>
      <c r="K302" s="3" t="s">
        <v>453</v>
      </c>
      <c r="L302" s="3" t="s">
        <v>453</v>
      </c>
      <c r="M302" s="2"/>
      <c r="N302" s="2"/>
      <c r="O302" s="3" t="s">
        <v>26</v>
      </c>
      <c r="P302" s="3" t="s">
        <v>395</v>
      </c>
      <c r="Q302" s="3" t="s">
        <v>5324</v>
      </c>
      <c r="R302" s="3" t="s">
        <v>396</v>
      </c>
      <c r="S302" s="3" t="s">
        <v>700</v>
      </c>
      <c r="T302" s="3" t="s">
        <v>1895</v>
      </c>
      <c r="U302" s="3" t="s">
        <v>43</v>
      </c>
      <c r="V302" s="3" t="s">
        <v>1109</v>
      </c>
      <c r="W302" s="2"/>
      <c r="X302" s="2"/>
      <c r="Y302" s="2"/>
    </row>
    <row r="303" spans="1:25" x14ac:dyDescent="0.2">
      <c r="A303" s="3">
        <v>1022</v>
      </c>
      <c r="B303" s="4" t="s">
        <v>1896</v>
      </c>
      <c r="C303" s="3" t="s">
        <v>1897</v>
      </c>
      <c r="D303" s="3" t="s">
        <v>6302</v>
      </c>
      <c r="E303" s="3" t="s">
        <v>1898</v>
      </c>
      <c r="F303" s="3" t="s">
        <v>6303</v>
      </c>
      <c r="G303" s="3" t="s">
        <v>866</v>
      </c>
      <c r="H303" s="2"/>
      <c r="I303" s="2"/>
      <c r="J303" s="3" t="s">
        <v>393</v>
      </c>
      <c r="K303" s="3" t="s">
        <v>1899</v>
      </c>
      <c r="L303" s="3" t="s">
        <v>1899</v>
      </c>
      <c r="M303" s="2"/>
      <c r="N303" s="4" t="s">
        <v>1900</v>
      </c>
      <c r="O303" s="3" t="s">
        <v>26</v>
      </c>
      <c r="P303" s="3" t="s">
        <v>1901</v>
      </c>
      <c r="Q303" s="3" t="s">
        <v>6304</v>
      </c>
      <c r="R303" s="3" t="s">
        <v>396</v>
      </c>
      <c r="S303" s="3" t="s">
        <v>29</v>
      </c>
      <c r="T303" s="3" t="s">
        <v>1902</v>
      </c>
      <c r="U303" s="3" t="s">
        <v>1903</v>
      </c>
      <c r="V303" s="3" t="s">
        <v>1901</v>
      </c>
      <c r="W303" s="2"/>
      <c r="X303" s="2"/>
      <c r="Y303" s="2"/>
    </row>
    <row r="304" spans="1:25" x14ac:dyDescent="0.2">
      <c r="A304" s="3">
        <v>2110</v>
      </c>
      <c r="B304" s="4" t="s">
        <v>1904</v>
      </c>
      <c r="C304" s="3" t="s">
        <v>1905</v>
      </c>
      <c r="D304" s="3" t="s">
        <v>6307</v>
      </c>
      <c r="E304" s="3" t="s">
        <v>1906</v>
      </c>
      <c r="F304" s="3" t="s">
        <v>6308</v>
      </c>
      <c r="G304" s="3" t="s">
        <v>1907</v>
      </c>
      <c r="H304" s="3" t="s">
        <v>1908</v>
      </c>
      <c r="I304" s="3" t="s">
        <v>1908</v>
      </c>
      <c r="J304" s="3" t="s">
        <v>393</v>
      </c>
      <c r="K304" s="3" t="s">
        <v>1164</v>
      </c>
      <c r="L304" s="3" t="s">
        <v>1164</v>
      </c>
      <c r="M304" s="2"/>
      <c r="N304" s="6" t="s">
        <v>1909</v>
      </c>
      <c r="O304" s="3" t="s">
        <v>26</v>
      </c>
      <c r="P304" s="3" t="s">
        <v>1910</v>
      </c>
      <c r="Q304" s="3" t="s">
        <v>5128</v>
      </c>
      <c r="R304" s="3" t="s">
        <v>396</v>
      </c>
      <c r="S304" s="3" t="s">
        <v>455</v>
      </c>
      <c r="T304" s="3" t="s">
        <v>1911</v>
      </c>
      <c r="U304" s="3" t="s">
        <v>43</v>
      </c>
      <c r="V304" s="3" t="s">
        <v>1912</v>
      </c>
      <c r="W304" s="2"/>
      <c r="X304" s="2"/>
      <c r="Y304" s="2"/>
    </row>
    <row r="305" spans="1:25" x14ac:dyDescent="0.2">
      <c r="A305" s="3">
        <v>2111</v>
      </c>
      <c r="B305" s="4" t="s">
        <v>1913</v>
      </c>
      <c r="C305" s="3" t="s">
        <v>1914</v>
      </c>
      <c r="D305" s="3" t="s">
        <v>6311</v>
      </c>
      <c r="E305" s="3" t="s">
        <v>1915</v>
      </c>
      <c r="F305" s="3" t="s">
        <v>6312</v>
      </c>
      <c r="G305" s="3" t="s">
        <v>1916</v>
      </c>
      <c r="H305" s="3" t="s">
        <v>1916</v>
      </c>
      <c r="I305" s="3" t="s">
        <v>1917</v>
      </c>
      <c r="J305" s="3" t="s">
        <v>393</v>
      </c>
      <c r="K305" s="3" t="s">
        <v>1164</v>
      </c>
      <c r="L305" s="3" t="s">
        <v>1164</v>
      </c>
      <c r="M305" s="2"/>
      <c r="N305" s="6" t="s">
        <v>1918</v>
      </c>
      <c r="O305" s="3" t="s">
        <v>26</v>
      </c>
      <c r="P305" s="3" t="s">
        <v>51</v>
      </c>
      <c r="Q305" s="3" t="s">
        <v>5095</v>
      </c>
      <c r="R305" s="3" t="s">
        <v>396</v>
      </c>
      <c r="S305" s="3" t="s">
        <v>397</v>
      </c>
      <c r="T305" s="3" t="s">
        <v>1919</v>
      </c>
      <c r="U305" s="3" t="s">
        <v>652</v>
      </c>
      <c r="V305" s="3" t="s">
        <v>1920</v>
      </c>
      <c r="W305" s="2"/>
      <c r="X305" s="2"/>
      <c r="Y305" s="2"/>
    </row>
    <row r="306" spans="1:25" x14ac:dyDescent="0.2">
      <c r="A306" s="3">
        <v>2112</v>
      </c>
      <c r="B306" s="4" t="s">
        <v>1921</v>
      </c>
      <c r="C306" s="3" t="s">
        <v>1922</v>
      </c>
      <c r="D306" s="3" t="s">
        <v>6315</v>
      </c>
      <c r="E306" s="3" t="s">
        <v>1923</v>
      </c>
      <c r="F306" s="3" t="s">
        <v>6316</v>
      </c>
      <c r="G306" s="3" t="s">
        <v>1924</v>
      </c>
      <c r="H306" s="3" t="s">
        <v>1924</v>
      </c>
      <c r="I306" s="3" t="s">
        <v>1924</v>
      </c>
      <c r="J306" s="3" t="s">
        <v>393</v>
      </c>
      <c r="K306" s="3" t="s">
        <v>1164</v>
      </c>
      <c r="L306" s="3" t="s">
        <v>1164</v>
      </c>
      <c r="M306" s="2"/>
      <c r="N306" s="6" t="s">
        <v>1925</v>
      </c>
      <c r="O306" s="3" t="s">
        <v>26</v>
      </c>
      <c r="P306" s="3" t="s">
        <v>1926</v>
      </c>
      <c r="Q306" s="3" t="s">
        <v>6317</v>
      </c>
      <c r="R306" s="3" t="s">
        <v>396</v>
      </c>
      <c r="S306" s="3" t="s">
        <v>1535</v>
      </c>
      <c r="T306" s="3" t="s">
        <v>1927</v>
      </c>
      <c r="U306" s="3" t="s">
        <v>43</v>
      </c>
      <c r="V306" s="3" t="s">
        <v>1928</v>
      </c>
      <c r="W306" s="2"/>
      <c r="X306" s="2"/>
      <c r="Y306" s="2"/>
    </row>
    <row r="307" spans="1:25" x14ac:dyDescent="0.2">
      <c r="A307" s="3">
        <v>2113</v>
      </c>
      <c r="B307" s="4" t="s">
        <v>1929</v>
      </c>
      <c r="C307" s="3" t="s">
        <v>1930</v>
      </c>
      <c r="D307" s="3" t="s">
        <v>6320</v>
      </c>
      <c r="E307" s="3" t="s">
        <v>1931</v>
      </c>
      <c r="F307" s="3" t="s">
        <v>6321</v>
      </c>
      <c r="G307" s="3" t="s">
        <v>216</v>
      </c>
      <c r="H307" s="3" t="s">
        <v>1932</v>
      </c>
      <c r="I307" s="3" t="s">
        <v>1932</v>
      </c>
      <c r="J307" s="3" t="s">
        <v>393</v>
      </c>
      <c r="K307" s="3" t="s">
        <v>1164</v>
      </c>
      <c r="L307" s="3" t="s">
        <v>1164</v>
      </c>
      <c r="M307" s="2"/>
      <c r="N307" s="6" t="s">
        <v>1933</v>
      </c>
      <c r="O307" s="3" t="s">
        <v>26</v>
      </c>
      <c r="P307" s="3" t="s">
        <v>1934</v>
      </c>
      <c r="Q307" s="3" t="s">
        <v>6322</v>
      </c>
      <c r="R307" s="3" t="s">
        <v>396</v>
      </c>
      <c r="S307" s="3" t="s">
        <v>405</v>
      </c>
      <c r="T307" s="3" t="s">
        <v>1935</v>
      </c>
      <c r="U307" s="3" t="s">
        <v>43</v>
      </c>
      <c r="V307" s="3" t="s">
        <v>1936</v>
      </c>
      <c r="W307" s="2"/>
      <c r="X307" s="2"/>
      <c r="Y307" s="2"/>
    </row>
    <row r="308" spans="1:25" x14ac:dyDescent="0.2">
      <c r="A308" s="3">
        <v>14</v>
      </c>
      <c r="B308" s="4" t="s">
        <v>1937</v>
      </c>
      <c r="C308" s="3" t="s">
        <v>1938</v>
      </c>
      <c r="D308" s="3" t="s">
        <v>6325</v>
      </c>
      <c r="E308" s="3" t="s">
        <v>1939</v>
      </c>
      <c r="F308" s="3" t="s">
        <v>6326</v>
      </c>
      <c r="G308" s="3" t="s">
        <v>437</v>
      </c>
      <c r="H308" s="3" t="s">
        <v>1761</v>
      </c>
      <c r="I308" s="3" t="s">
        <v>1761</v>
      </c>
      <c r="J308" s="3" t="s">
        <v>1684</v>
      </c>
      <c r="K308" s="3" t="s">
        <v>1940</v>
      </c>
      <c r="L308" s="3" t="s">
        <v>6327</v>
      </c>
      <c r="M308" s="2"/>
      <c r="N308" s="2"/>
      <c r="O308" s="3" t="s">
        <v>26</v>
      </c>
      <c r="P308" s="3" t="s">
        <v>27</v>
      </c>
      <c r="Q308" s="3" t="s">
        <v>5079</v>
      </c>
      <c r="R308" s="3" t="s">
        <v>1215</v>
      </c>
      <c r="S308" s="3" t="s">
        <v>397</v>
      </c>
      <c r="T308" s="3" t="s">
        <v>1941</v>
      </c>
      <c r="U308" s="3" t="s">
        <v>1942</v>
      </c>
      <c r="V308" s="3" t="s">
        <v>1943</v>
      </c>
      <c r="W308" s="2"/>
      <c r="X308" s="2"/>
      <c r="Y308" s="2"/>
    </row>
    <row r="309" spans="1:25" x14ac:dyDescent="0.2">
      <c r="A309" s="3">
        <v>13</v>
      </c>
      <c r="B309" s="4" t="s">
        <v>1944</v>
      </c>
      <c r="C309" s="3" t="s">
        <v>1945</v>
      </c>
      <c r="D309" s="3" t="s">
        <v>6331</v>
      </c>
      <c r="E309" s="3" t="s">
        <v>1946</v>
      </c>
      <c r="F309" s="3" t="s">
        <v>6332</v>
      </c>
      <c r="G309" s="3" t="s">
        <v>437</v>
      </c>
      <c r="H309" s="3" t="s">
        <v>1761</v>
      </c>
      <c r="I309" s="3" t="s">
        <v>1761</v>
      </c>
      <c r="J309" s="3" t="s">
        <v>1684</v>
      </c>
      <c r="K309" s="3" t="s">
        <v>1947</v>
      </c>
      <c r="L309" s="3" t="s">
        <v>6333</v>
      </c>
      <c r="M309" s="2"/>
      <c r="N309" s="2"/>
      <c r="O309" s="3" t="s">
        <v>26</v>
      </c>
      <c r="P309" s="3" t="s">
        <v>439</v>
      </c>
      <c r="Q309" s="3" t="s">
        <v>5352</v>
      </c>
      <c r="R309" s="3" t="s">
        <v>1215</v>
      </c>
      <c r="S309" s="3" t="s">
        <v>29</v>
      </c>
      <c r="T309" s="3" t="s">
        <v>1948</v>
      </c>
      <c r="U309" s="3" t="s">
        <v>1949</v>
      </c>
      <c r="V309" s="3" t="s">
        <v>1950</v>
      </c>
      <c r="W309" s="3" t="s">
        <v>1951</v>
      </c>
      <c r="X309" s="2"/>
      <c r="Y309" s="2"/>
    </row>
    <row r="310" spans="1:25" x14ac:dyDescent="0.2">
      <c r="A310" s="3">
        <v>422</v>
      </c>
      <c r="B310" s="4" t="s">
        <v>1952</v>
      </c>
      <c r="C310" s="3" t="s">
        <v>1953</v>
      </c>
      <c r="D310" s="3" t="s">
        <v>6338</v>
      </c>
      <c r="E310" s="3" t="s">
        <v>1954</v>
      </c>
      <c r="F310" s="3" t="s">
        <v>6339</v>
      </c>
      <c r="G310" s="3" t="s">
        <v>1955</v>
      </c>
      <c r="H310" s="2"/>
      <c r="I310" s="2"/>
      <c r="J310" s="3" t="s">
        <v>393</v>
      </c>
      <c r="K310" s="3" t="s">
        <v>1956</v>
      </c>
      <c r="L310" s="3" t="s">
        <v>1956</v>
      </c>
      <c r="M310" s="2"/>
      <c r="N310" s="2"/>
      <c r="O310" s="3" t="s">
        <v>26</v>
      </c>
      <c r="P310" s="3" t="s">
        <v>1957</v>
      </c>
      <c r="Q310" s="3" t="s">
        <v>6340</v>
      </c>
      <c r="R310" s="3" t="s">
        <v>396</v>
      </c>
      <c r="S310" s="3" t="s">
        <v>413</v>
      </c>
      <c r="T310" s="3" t="s">
        <v>1958</v>
      </c>
      <c r="U310" s="3" t="s">
        <v>1959</v>
      </c>
      <c r="V310" s="3" t="s">
        <v>958</v>
      </c>
      <c r="W310" s="3" t="s">
        <v>1659</v>
      </c>
      <c r="X310" s="2"/>
      <c r="Y310" s="2"/>
    </row>
    <row r="311" spans="1:25" x14ac:dyDescent="0.2">
      <c r="A311" s="3">
        <v>2215</v>
      </c>
      <c r="B311" s="4" t="s">
        <v>1960</v>
      </c>
      <c r="C311" s="3" t="s">
        <v>1961</v>
      </c>
      <c r="D311" s="3" t="s">
        <v>6343</v>
      </c>
      <c r="E311" s="3" t="s">
        <v>1962</v>
      </c>
      <c r="F311" s="3" t="s">
        <v>6344</v>
      </c>
      <c r="G311" s="3" t="s">
        <v>200</v>
      </c>
      <c r="H311" s="3" t="s">
        <v>200</v>
      </c>
      <c r="I311" s="3" t="s">
        <v>200</v>
      </c>
      <c r="J311" s="3" t="s">
        <v>393</v>
      </c>
      <c r="K311" s="3" t="s">
        <v>1258</v>
      </c>
      <c r="L311" s="3" t="s">
        <v>1258</v>
      </c>
      <c r="M311" s="2"/>
      <c r="N311" s="2"/>
      <c r="O311" s="3" t="s">
        <v>26</v>
      </c>
      <c r="P311" s="3" t="s">
        <v>27</v>
      </c>
      <c r="Q311" s="3" t="s">
        <v>5079</v>
      </c>
      <c r="R311" s="3" t="s">
        <v>396</v>
      </c>
      <c r="S311" s="3" t="s">
        <v>29</v>
      </c>
      <c r="T311" s="3" t="s">
        <v>1963</v>
      </c>
      <c r="U311" s="2"/>
      <c r="V311" s="3" t="s">
        <v>27</v>
      </c>
      <c r="W311" s="3" t="s">
        <v>334</v>
      </c>
      <c r="X311" s="2"/>
      <c r="Y311" s="2"/>
    </row>
    <row r="312" spans="1:25" x14ac:dyDescent="0.2">
      <c r="A312" s="3">
        <v>2185</v>
      </c>
      <c r="B312" s="4" t="s">
        <v>1964</v>
      </c>
      <c r="C312" s="3" t="s">
        <v>1965</v>
      </c>
      <c r="D312" s="3" t="s">
        <v>6346</v>
      </c>
      <c r="E312" s="3" t="s">
        <v>1966</v>
      </c>
      <c r="F312" s="3" t="s">
        <v>6347</v>
      </c>
      <c r="G312" s="3" t="s">
        <v>327</v>
      </c>
      <c r="H312" s="2"/>
      <c r="I312" s="2"/>
      <c r="J312" s="3" t="s">
        <v>393</v>
      </c>
      <c r="K312" s="3" t="s">
        <v>1297</v>
      </c>
      <c r="L312" s="3" t="s">
        <v>1297</v>
      </c>
      <c r="M312" s="2"/>
      <c r="N312" s="2"/>
      <c r="O312" s="3" t="s">
        <v>1011</v>
      </c>
      <c r="P312" s="3" t="s">
        <v>1967</v>
      </c>
      <c r="Q312" s="3" t="s">
        <v>6348</v>
      </c>
      <c r="R312" s="3" t="s">
        <v>396</v>
      </c>
      <c r="S312" s="3" t="s">
        <v>413</v>
      </c>
      <c r="T312" s="3" t="s">
        <v>1968</v>
      </c>
      <c r="U312" s="3" t="s">
        <v>43</v>
      </c>
      <c r="V312" s="3" t="s">
        <v>1969</v>
      </c>
      <c r="W312" s="2"/>
      <c r="X312" s="2"/>
      <c r="Y312" s="2"/>
    </row>
    <row r="313" spans="1:25" x14ac:dyDescent="0.2">
      <c r="A313" s="3">
        <v>2186</v>
      </c>
      <c r="B313" s="4" t="s">
        <v>1970</v>
      </c>
      <c r="C313" s="3" t="s">
        <v>1971</v>
      </c>
      <c r="D313" s="3" t="s">
        <v>6351</v>
      </c>
      <c r="E313" s="3" t="s">
        <v>1972</v>
      </c>
      <c r="F313" s="3" t="s">
        <v>6352</v>
      </c>
      <c r="G313" s="3" t="s">
        <v>22</v>
      </c>
      <c r="H313" s="2"/>
      <c r="I313" s="2"/>
      <c r="J313" s="3" t="s">
        <v>393</v>
      </c>
      <c r="K313" s="3" t="s">
        <v>1315</v>
      </c>
      <c r="L313" s="3" t="s">
        <v>1315</v>
      </c>
      <c r="M313" s="3" t="s">
        <v>1973</v>
      </c>
      <c r="N313" s="4" t="s">
        <v>1370</v>
      </c>
      <c r="O313" s="3" t="s">
        <v>26</v>
      </c>
      <c r="P313" s="3" t="s">
        <v>212</v>
      </c>
      <c r="Q313" s="3" t="s">
        <v>5193</v>
      </c>
      <c r="R313" s="3" t="s">
        <v>396</v>
      </c>
      <c r="S313" s="3" t="s">
        <v>405</v>
      </c>
      <c r="T313" s="3" t="s">
        <v>1974</v>
      </c>
      <c r="U313" s="3" t="s">
        <v>1975</v>
      </c>
      <c r="V313" s="3" t="s">
        <v>212</v>
      </c>
      <c r="W313" s="3" t="s">
        <v>334</v>
      </c>
      <c r="X313" s="2"/>
      <c r="Y313" s="2"/>
    </row>
    <row r="314" spans="1:25" x14ac:dyDescent="0.2">
      <c r="A314" s="3">
        <v>2188</v>
      </c>
      <c r="B314" s="4" t="s">
        <v>1976</v>
      </c>
      <c r="C314" s="3" t="s">
        <v>1977</v>
      </c>
      <c r="D314" s="3" t="s">
        <v>6356</v>
      </c>
      <c r="E314" s="3" t="s">
        <v>1978</v>
      </c>
      <c r="F314" s="3" t="s">
        <v>6357</v>
      </c>
      <c r="G314" s="3" t="s">
        <v>192</v>
      </c>
      <c r="H314" s="3" t="s">
        <v>625</v>
      </c>
      <c r="I314" s="3" t="s">
        <v>101</v>
      </c>
      <c r="J314" s="3" t="s">
        <v>393</v>
      </c>
      <c r="K314" s="3" t="s">
        <v>1315</v>
      </c>
      <c r="L314" s="3" t="s">
        <v>1315</v>
      </c>
      <c r="M314" s="3" t="s">
        <v>1324</v>
      </c>
      <c r="N314" s="2"/>
      <c r="O314" s="3" t="s">
        <v>26</v>
      </c>
      <c r="P314" s="3" t="s">
        <v>1979</v>
      </c>
      <c r="Q314" s="3" t="s">
        <v>6358</v>
      </c>
      <c r="R314" s="3" t="s">
        <v>396</v>
      </c>
      <c r="S314" s="3" t="s">
        <v>455</v>
      </c>
      <c r="T314" s="3" t="s">
        <v>1980</v>
      </c>
      <c r="U314" s="3" t="s">
        <v>1981</v>
      </c>
      <c r="V314" s="3" t="s">
        <v>1982</v>
      </c>
      <c r="W314" s="2"/>
      <c r="X314" s="2"/>
      <c r="Y314" s="2"/>
    </row>
    <row r="315" spans="1:25" x14ac:dyDescent="0.2">
      <c r="A315" s="3">
        <v>2195</v>
      </c>
      <c r="B315" s="4" t="s">
        <v>1983</v>
      </c>
      <c r="C315" s="3" t="s">
        <v>1984</v>
      </c>
      <c r="D315" s="3" t="s">
        <v>6362</v>
      </c>
      <c r="E315" s="3" t="s">
        <v>1985</v>
      </c>
      <c r="F315" s="3" t="s">
        <v>6363</v>
      </c>
      <c r="G315" s="3" t="s">
        <v>199</v>
      </c>
      <c r="H315" s="3" t="s">
        <v>650</v>
      </c>
      <c r="I315" s="3" t="s">
        <v>199</v>
      </c>
      <c r="J315" s="3" t="s">
        <v>393</v>
      </c>
      <c r="K315" s="3" t="s">
        <v>1315</v>
      </c>
      <c r="L315" s="3" t="s">
        <v>1315</v>
      </c>
      <c r="M315" s="3" t="s">
        <v>135</v>
      </c>
      <c r="N315" s="2"/>
      <c r="O315" s="3" t="s">
        <v>26</v>
      </c>
      <c r="P315" s="3" t="s">
        <v>51</v>
      </c>
      <c r="Q315" s="3" t="s">
        <v>5095</v>
      </c>
      <c r="R315" s="3" t="s">
        <v>396</v>
      </c>
      <c r="S315" s="3" t="s">
        <v>413</v>
      </c>
      <c r="T315" s="3" t="s">
        <v>1986</v>
      </c>
      <c r="U315" s="3" t="s">
        <v>628</v>
      </c>
      <c r="V315" s="3" t="s">
        <v>1987</v>
      </c>
      <c r="W315" s="3" t="s">
        <v>630</v>
      </c>
      <c r="X315" s="2"/>
      <c r="Y315" s="2"/>
    </row>
    <row r="316" spans="1:25" x14ac:dyDescent="0.2">
      <c r="A316" s="3">
        <v>2196</v>
      </c>
      <c r="B316" s="4" t="s">
        <v>1988</v>
      </c>
      <c r="C316" s="3" t="s">
        <v>1989</v>
      </c>
      <c r="D316" s="3" t="s">
        <v>6366</v>
      </c>
      <c r="E316" s="3" t="s">
        <v>1990</v>
      </c>
      <c r="F316" s="3" t="s">
        <v>6367</v>
      </c>
      <c r="G316" s="3" t="s">
        <v>199</v>
      </c>
      <c r="H316" s="3" t="s">
        <v>199</v>
      </c>
      <c r="I316" s="3" t="s">
        <v>199</v>
      </c>
      <c r="J316" s="3" t="s">
        <v>393</v>
      </c>
      <c r="K316" s="3" t="s">
        <v>1315</v>
      </c>
      <c r="L316" s="3" t="s">
        <v>1315</v>
      </c>
      <c r="M316" s="2"/>
      <c r="N316" s="4" t="s">
        <v>1991</v>
      </c>
      <c r="O316" s="3" t="s">
        <v>1011</v>
      </c>
      <c r="P316" s="3" t="s">
        <v>51</v>
      </c>
      <c r="Q316" s="3" t="s">
        <v>5095</v>
      </c>
      <c r="R316" s="3" t="s">
        <v>396</v>
      </c>
      <c r="S316" s="3" t="s">
        <v>413</v>
      </c>
      <c r="T316" s="3" t="s">
        <v>1992</v>
      </c>
      <c r="U316" s="3" t="s">
        <v>628</v>
      </c>
      <c r="V316" s="3" t="s">
        <v>1993</v>
      </c>
      <c r="W316" s="3" t="s">
        <v>630</v>
      </c>
      <c r="X316" s="2"/>
      <c r="Y316" s="2"/>
    </row>
    <row r="317" spans="1:25" x14ac:dyDescent="0.2">
      <c r="A317" s="3">
        <v>1256</v>
      </c>
      <c r="B317" s="4" t="s">
        <v>1994</v>
      </c>
      <c r="C317" s="3" t="s">
        <v>1995</v>
      </c>
      <c r="D317" s="3" t="s">
        <v>6370</v>
      </c>
      <c r="E317" s="3" t="s">
        <v>1996</v>
      </c>
      <c r="F317" s="3" t="s">
        <v>6371</v>
      </c>
      <c r="G317" s="3" t="s">
        <v>1997</v>
      </c>
      <c r="H317" s="7">
        <v>45295</v>
      </c>
      <c r="I317" s="7">
        <v>45305</v>
      </c>
      <c r="J317" s="3" t="s">
        <v>135</v>
      </c>
      <c r="K317" s="3" t="s">
        <v>135</v>
      </c>
      <c r="L317" s="3" t="s">
        <v>135</v>
      </c>
      <c r="M317" s="2"/>
      <c r="N317" s="2"/>
      <c r="O317" s="3" t="s">
        <v>26</v>
      </c>
      <c r="P317" s="3" t="s">
        <v>1998</v>
      </c>
      <c r="Q317" s="3" t="s">
        <v>6372</v>
      </c>
      <c r="R317" s="3" t="s">
        <v>1215</v>
      </c>
      <c r="S317" s="3" t="s">
        <v>982</v>
      </c>
      <c r="T317" s="3" t="s">
        <v>1999</v>
      </c>
      <c r="U317" s="3" t="s">
        <v>43</v>
      </c>
      <c r="V317" s="3" t="s">
        <v>27</v>
      </c>
      <c r="W317" s="2"/>
      <c r="X317" s="2"/>
      <c r="Y317" s="2"/>
    </row>
    <row r="318" spans="1:25" x14ac:dyDescent="0.2">
      <c r="A318" s="3">
        <v>291</v>
      </c>
      <c r="B318" s="4" t="s">
        <v>2000</v>
      </c>
      <c r="C318" s="3" t="s">
        <v>2001</v>
      </c>
      <c r="D318" s="3" t="s">
        <v>6374</v>
      </c>
      <c r="E318" s="3" t="s">
        <v>2002</v>
      </c>
      <c r="F318" s="3" t="s">
        <v>6375</v>
      </c>
      <c r="G318" s="3" t="s">
        <v>2003</v>
      </c>
      <c r="H318" s="2"/>
      <c r="I318" s="2"/>
      <c r="J318" s="3" t="s">
        <v>135</v>
      </c>
      <c r="K318" s="3" t="s">
        <v>2004</v>
      </c>
      <c r="L318" s="3" t="s">
        <v>6376</v>
      </c>
      <c r="M318" s="2"/>
      <c r="N318" s="2"/>
      <c r="O318" s="3" t="s">
        <v>26</v>
      </c>
      <c r="P318" s="3" t="s">
        <v>27</v>
      </c>
      <c r="Q318" s="3" t="s">
        <v>5079</v>
      </c>
      <c r="R318" s="3" t="s">
        <v>1215</v>
      </c>
      <c r="S318" s="3" t="s">
        <v>2005</v>
      </c>
      <c r="T318" s="3" t="s">
        <v>2006</v>
      </c>
      <c r="U318" s="3" t="s">
        <v>43</v>
      </c>
      <c r="V318" s="3" t="s">
        <v>2007</v>
      </c>
      <c r="W318" s="2"/>
      <c r="X318" s="2"/>
      <c r="Y318" s="2"/>
    </row>
    <row r="319" spans="1:25" x14ac:dyDescent="0.2">
      <c r="A319" s="3">
        <v>2224</v>
      </c>
      <c r="B319" s="4" t="s">
        <v>2008</v>
      </c>
      <c r="C319" s="3" t="s">
        <v>2009</v>
      </c>
      <c r="D319" s="3" t="s">
        <v>6380</v>
      </c>
      <c r="E319" s="3" t="s">
        <v>2010</v>
      </c>
      <c r="F319" s="3" t="s">
        <v>6381</v>
      </c>
      <c r="G319" s="3" t="s">
        <v>2011</v>
      </c>
      <c r="H319" s="2"/>
      <c r="I319" s="2"/>
      <c r="J319" s="3" t="s">
        <v>393</v>
      </c>
      <c r="K319" s="3" t="s">
        <v>1258</v>
      </c>
      <c r="L319" s="3" t="s">
        <v>1258</v>
      </c>
      <c r="M319" s="2"/>
      <c r="N319" s="2"/>
      <c r="O319" s="3" t="s">
        <v>412</v>
      </c>
      <c r="P319" s="3" t="s">
        <v>27</v>
      </c>
      <c r="Q319" s="3" t="s">
        <v>5079</v>
      </c>
      <c r="R319" s="3" t="s">
        <v>396</v>
      </c>
      <c r="S319" s="3" t="s">
        <v>405</v>
      </c>
      <c r="T319" s="3" t="s">
        <v>2012</v>
      </c>
      <c r="U319" s="3" t="s">
        <v>43</v>
      </c>
      <c r="V319" s="3" t="s">
        <v>27</v>
      </c>
      <c r="W319" s="2"/>
      <c r="X319" s="2"/>
      <c r="Y319" s="2"/>
    </row>
    <row r="320" spans="1:25" x14ac:dyDescent="0.2">
      <c r="A320" s="3">
        <v>2049</v>
      </c>
      <c r="B320" s="4" t="s">
        <v>2013</v>
      </c>
      <c r="C320" s="3" t="s">
        <v>2014</v>
      </c>
      <c r="D320" s="3" t="s">
        <v>6383</v>
      </c>
      <c r="E320" s="3" t="s">
        <v>2015</v>
      </c>
      <c r="F320" s="3" t="s">
        <v>6384</v>
      </c>
      <c r="G320" s="3" t="s">
        <v>2016</v>
      </c>
      <c r="H320" s="2"/>
      <c r="I320" s="2"/>
      <c r="J320" s="3" t="s">
        <v>348</v>
      </c>
      <c r="K320" s="3" t="s">
        <v>2017</v>
      </c>
      <c r="L320" s="3" t="s">
        <v>6385</v>
      </c>
      <c r="M320" s="2"/>
      <c r="N320" s="2"/>
      <c r="O320" s="3" t="s">
        <v>39</v>
      </c>
      <c r="P320" s="3" t="s">
        <v>212</v>
      </c>
      <c r="Q320" s="3" t="s">
        <v>5193</v>
      </c>
      <c r="R320" s="3" t="s">
        <v>2018</v>
      </c>
      <c r="S320" s="3" t="s">
        <v>29</v>
      </c>
      <c r="T320" s="3" t="s">
        <v>2019</v>
      </c>
      <c r="U320" s="3" t="s">
        <v>420</v>
      </c>
      <c r="V320" s="3" t="s">
        <v>212</v>
      </c>
      <c r="W320" s="3" t="s">
        <v>1460</v>
      </c>
      <c r="X320" s="2"/>
      <c r="Y320" s="2"/>
    </row>
    <row r="321" spans="1:25" x14ac:dyDescent="0.2">
      <c r="A321" s="3">
        <v>1033</v>
      </c>
      <c r="B321" s="4" t="s">
        <v>2020</v>
      </c>
      <c r="C321" s="3" t="s">
        <v>2021</v>
      </c>
      <c r="D321" s="3" t="s">
        <v>6388</v>
      </c>
      <c r="E321" s="3" t="s">
        <v>2022</v>
      </c>
      <c r="F321" s="3" t="s">
        <v>6389</v>
      </c>
      <c r="G321" s="3" t="s">
        <v>2023</v>
      </c>
      <c r="H321" s="3" t="s">
        <v>2024</v>
      </c>
      <c r="I321" s="2"/>
      <c r="J321" s="3" t="s">
        <v>393</v>
      </c>
      <c r="K321" s="3" t="s">
        <v>2025</v>
      </c>
      <c r="L321" s="3" t="s">
        <v>2025</v>
      </c>
      <c r="M321" s="3" t="s">
        <v>1324</v>
      </c>
      <c r="N321" s="6" t="s">
        <v>2026</v>
      </c>
      <c r="O321" s="3" t="s">
        <v>26</v>
      </c>
      <c r="P321" s="2"/>
      <c r="Q321" s="3">
        <v>0</v>
      </c>
      <c r="R321" s="3" t="s">
        <v>396</v>
      </c>
      <c r="S321" s="3" t="s">
        <v>413</v>
      </c>
      <c r="T321" s="3" t="s">
        <v>2027</v>
      </c>
      <c r="U321" s="2"/>
      <c r="V321" s="2"/>
      <c r="W321" s="3" t="s">
        <v>2028</v>
      </c>
      <c r="X321" s="2"/>
      <c r="Y321" s="2"/>
    </row>
    <row r="322" spans="1:25" x14ac:dyDescent="0.2">
      <c r="A322" s="3">
        <v>1421</v>
      </c>
      <c r="B322" s="4" t="s">
        <v>2029</v>
      </c>
      <c r="C322" s="3" t="s">
        <v>2030</v>
      </c>
      <c r="D322" s="3" t="s">
        <v>6392</v>
      </c>
      <c r="E322" s="3" t="s">
        <v>2031</v>
      </c>
      <c r="F322" s="3" t="s">
        <v>6393</v>
      </c>
      <c r="G322" s="3" t="s">
        <v>778</v>
      </c>
      <c r="H322" s="2"/>
      <c r="I322" s="2"/>
      <c r="J322" s="3" t="s">
        <v>393</v>
      </c>
      <c r="K322" s="3" t="s">
        <v>2032</v>
      </c>
      <c r="L322" s="3" t="s">
        <v>6394</v>
      </c>
      <c r="M322" s="3" t="s">
        <v>2033</v>
      </c>
      <c r="N322" s="4" t="s">
        <v>2034</v>
      </c>
      <c r="O322" s="3" t="s">
        <v>26</v>
      </c>
      <c r="P322" s="2"/>
      <c r="Q322" s="3">
        <v>0</v>
      </c>
      <c r="R322" s="3" t="s">
        <v>396</v>
      </c>
      <c r="S322" s="3" t="s">
        <v>413</v>
      </c>
      <c r="T322" s="3" t="s">
        <v>2035</v>
      </c>
      <c r="U322" s="3" t="s">
        <v>2036</v>
      </c>
      <c r="V322" s="2"/>
      <c r="W322" s="2"/>
      <c r="X322" s="2"/>
      <c r="Y322" s="2"/>
    </row>
    <row r="323" spans="1:25" x14ac:dyDescent="0.2">
      <c r="A323" s="3">
        <v>578</v>
      </c>
      <c r="B323" s="6" t="s">
        <v>2037</v>
      </c>
      <c r="C323" s="3" t="s">
        <v>2038</v>
      </c>
      <c r="D323" s="3" t="s">
        <v>6397</v>
      </c>
      <c r="E323" s="3" t="s">
        <v>2039</v>
      </c>
      <c r="F323" s="3" t="s">
        <v>6398</v>
      </c>
      <c r="G323" s="3" t="s">
        <v>902</v>
      </c>
      <c r="H323" s="2"/>
      <c r="I323" s="2"/>
      <c r="J323" s="3" t="s">
        <v>393</v>
      </c>
      <c r="K323" s="3" t="s">
        <v>453</v>
      </c>
      <c r="L323" s="3" t="s">
        <v>453</v>
      </c>
      <c r="M323" s="2"/>
      <c r="N323" s="2"/>
      <c r="O323" s="3" t="s">
        <v>426</v>
      </c>
      <c r="P323" s="3" t="s">
        <v>71</v>
      </c>
      <c r="Q323" s="3" t="s">
        <v>5107</v>
      </c>
      <c r="R323" s="3" t="s">
        <v>396</v>
      </c>
      <c r="S323" s="3" t="s">
        <v>405</v>
      </c>
      <c r="T323" s="3" t="s">
        <v>2040</v>
      </c>
      <c r="U323" s="3" t="s">
        <v>43</v>
      </c>
      <c r="V323" s="3" t="s">
        <v>71</v>
      </c>
      <c r="W323" s="2"/>
      <c r="X323" s="2"/>
      <c r="Y323" s="2"/>
    </row>
    <row r="324" spans="1:25" x14ac:dyDescent="0.2">
      <c r="A324" s="3">
        <v>579</v>
      </c>
      <c r="B324" s="4" t="s">
        <v>2041</v>
      </c>
      <c r="C324" s="3" t="s">
        <v>2042</v>
      </c>
      <c r="D324" s="3" t="s">
        <v>6400</v>
      </c>
      <c r="E324" s="3" t="s">
        <v>2043</v>
      </c>
      <c r="F324" s="3" t="s">
        <v>6401</v>
      </c>
      <c r="G324" s="3" t="s">
        <v>902</v>
      </c>
      <c r="H324" s="3" t="s">
        <v>788</v>
      </c>
      <c r="I324" s="3" t="s">
        <v>1280</v>
      </c>
      <c r="J324" s="3" t="s">
        <v>393</v>
      </c>
      <c r="K324" s="3" t="s">
        <v>453</v>
      </c>
      <c r="L324" s="3" t="s">
        <v>453</v>
      </c>
      <c r="M324" s="2"/>
      <c r="N324" s="2"/>
      <c r="O324" s="3" t="s">
        <v>426</v>
      </c>
      <c r="P324" s="3" t="s">
        <v>71</v>
      </c>
      <c r="Q324" s="3" t="s">
        <v>5107</v>
      </c>
      <c r="R324" s="3" t="s">
        <v>396</v>
      </c>
      <c r="S324" s="3" t="s">
        <v>405</v>
      </c>
      <c r="T324" s="3" t="s">
        <v>2044</v>
      </c>
      <c r="U324" s="3" t="s">
        <v>43</v>
      </c>
      <c r="V324" s="3" t="s">
        <v>71</v>
      </c>
      <c r="W324" s="2"/>
      <c r="X324" s="2"/>
      <c r="Y324" s="2"/>
    </row>
    <row r="325" spans="1:25" x14ac:dyDescent="0.2">
      <c r="A325" s="3">
        <v>580</v>
      </c>
      <c r="B325" s="4" t="s">
        <v>2045</v>
      </c>
      <c r="C325" s="3" t="s">
        <v>2046</v>
      </c>
      <c r="D325" s="3" t="s">
        <v>6403</v>
      </c>
      <c r="E325" s="3" t="s">
        <v>2047</v>
      </c>
      <c r="F325" s="3" t="s">
        <v>6404</v>
      </c>
      <c r="G325" s="3" t="s">
        <v>902</v>
      </c>
      <c r="H325" s="3" t="s">
        <v>902</v>
      </c>
      <c r="I325" s="3" t="s">
        <v>902</v>
      </c>
      <c r="J325" s="3" t="s">
        <v>393</v>
      </c>
      <c r="K325" s="3" t="s">
        <v>453</v>
      </c>
      <c r="L325" s="3" t="s">
        <v>453</v>
      </c>
      <c r="M325" s="2"/>
      <c r="N325" s="2"/>
      <c r="O325" s="3" t="s">
        <v>426</v>
      </c>
      <c r="P325" s="3" t="s">
        <v>395</v>
      </c>
      <c r="Q325" s="3" t="s">
        <v>5324</v>
      </c>
      <c r="R325" s="3" t="s">
        <v>396</v>
      </c>
      <c r="S325" s="3" t="s">
        <v>405</v>
      </c>
      <c r="T325" s="3" t="s">
        <v>2048</v>
      </c>
      <c r="U325" s="3" t="s">
        <v>43</v>
      </c>
      <c r="V325" s="3" t="s">
        <v>395</v>
      </c>
      <c r="W325" s="2"/>
      <c r="X325" s="2"/>
      <c r="Y325" s="2"/>
    </row>
    <row r="326" spans="1:25" x14ac:dyDescent="0.2">
      <c r="A326" s="3">
        <v>583</v>
      </c>
      <c r="B326" s="4" t="s">
        <v>2049</v>
      </c>
      <c r="C326" s="3" t="s">
        <v>2050</v>
      </c>
      <c r="D326" s="3" t="s">
        <v>6406</v>
      </c>
      <c r="E326" s="3" t="s">
        <v>2051</v>
      </c>
      <c r="F326" s="3" t="s">
        <v>6407</v>
      </c>
      <c r="G326" s="3" t="s">
        <v>2052</v>
      </c>
      <c r="H326" s="2"/>
      <c r="I326" s="2"/>
      <c r="J326" s="3" t="s">
        <v>393</v>
      </c>
      <c r="K326" s="3" t="s">
        <v>453</v>
      </c>
      <c r="L326" s="3" t="s">
        <v>453</v>
      </c>
      <c r="M326" s="2"/>
      <c r="N326" s="2"/>
      <c r="O326" s="3" t="s">
        <v>426</v>
      </c>
      <c r="P326" s="3" t="s">
        <v>103</v>
      </c>
      <c r="Q326" s="3" t="s">
        <v>6408</v>
      </c>
      <c r="R326" s="3" t="s">
        <v>396</v>
      </c>
      <c r="S326" s="3" t="s">
        <v>405</v>
      </c>
      <c r="T326" s="3" t="s">
        <v>2053</v>
      </c>
      <c r="U326" s="3" t="s">
        <v>43</v>
      </c>
      <c r="V326" s="3" t="s">
        <v>105</v>
      </c>
      <c r="W326" s="2"/>
      <c r="X326" s="2"/>
      <c r="Y326" s="2"/>
    </row>
    <row r="327" spans="1:25" x14ac:dyDescent="0.2">
      <c r="A327" s="3">
        <v>830</v>
      </c>
      <c r="B327" s="4" t="s">
        <v>2054</v>
      </c>
      <c r="C327" s="3" t="s">
        <v>2055</v>
      </c>
      <c r="D327" s="3" t="s">
        <v>6410</v>
      </c>
      <c r="E327" s="3" t="s">
        <v>2056</v>
      </c>
      <c r="F327" s="3" t="s">
        <v>6411</v>
      </c>
      <c r="G327" s="3" t="s">
        <v>1521</v>
      </c>
      <c r="H327" s="3" t="s">
        <v>1332</v>
      </c>
      <c r="I327" s="3" t="s">
        <v>1521</v>
      </c>
      <c r="J327" s="3" t="s">
        <v>393</v>
      </c>
      <c r="K327" s="3" t="s">
        <v>453</v>
      </c>
      <c r="L327" s="3" t="s">
        <v>453</v>
      </c>
      <c r="M327" s="2"/>
      <c r="N327" s="2"/>
      <c r="O327" s="3" t="s">
        <v>493</v>
      </c>
      <c r="P327" s="3" t="s">
        <v>27</v>
      </c>
      <c r="Q327" s="3" t="s">
        <v>5079</v>
      </c>
      <c r="R327" s="3" t="s">
        <v>396</v>
      </c>
      <c r="S327" s="3" t="s">
        <v>413</v>
      </c>
      <c r="T327" s="3" t="s">
        <v>2057</v>
      </c>
      <c r="U327" s="3" t="s">
        <v>43</v>
      </c>
      <c r="V327" s="3" t="s">
        <v>27</v>
      </c>
      <c r="W327" s="2"/>
      <c r="X327" s="2"/>
      <c r="Y327" s="2"/>
    </row>
    <row r="328" spans="1:25" x14ac:dyDescent="0.2">
      <c r="A328" s="3">
        <v>831</v>
      </c>
      <c r="B328" s="4" t="s">
        <v>2058</v>
      </c>
      <c r="C328" s="3" t="s">
        <v>2059</v>
      </c>
      <c r="D328" s="3" t="s">
        <v>6413</v>
      </c>
      <c r="E328" s="3" t="s">
        <v>2060</v>
      </c>
      <c r="F328" s="3" t="s">
        <v>6414</v>
      </c>
      <c r="G328" s="3" t="s">
        <v>2061</v>
      </c>
      <c r="H328" s="2"/>
      <c r="I328" s="2"/>
      <c r="J328" s="3" t="s">
        <v>393</v>
      </c>
      <c r="K328" s="3" t="s">
        <v>453</v>
      </c>
      <c r="L328" s="3" t="s">
        <v>453</v>
      </c>
      <c r="M328" s="2"/>
      <c r="N328" s="2"/>
      <c r="O328" s="3" t="s">
        <v>26</v>
      </c>
      <c r="P328" s="3" t="s">
        <v>439</v>
      </c>
      <c r="Q328" s="3" t="s">
        <v>5352</v>
      </c>
      <c r="R328" s="3" t="s">
        <v>396</v>
      </c>
      <c r="S328" s="3" t="s">
        <v>455</v>
      </c>
      <c r="T328" s="3" t="s">
        <v>2062</v>
      </c>
      <c r="U328" s="3" t="s">
        <v>43</v>
      </c>
      <c r="V328" s="3" t="s">
        <v>439</v>
      </c>
      <c r="W328" s="2"/>
      <c r="X328" s="2"/>
      <c r="Y328" s="2"/>
    </row>
    <row r="329" spans="1:25" x14ac:dyDescent="0.2">
      <c r="A329" s="3">
        <v>832</v>
      </c>
      <c r="B329" s="4" t="s">
        <v>2063</v>
      </c>
      <c r="C329" s="3" t="s">
        <v>2064</v>
      </c>
      <c r="D329" s="3" t="s">
        <v>6416</v>
      </c>
      <c r="E329" s="3" t="s">
        <v>2065</v>
      </c>
      <c r="F329" s="3" t="s">
        <v>6417</v>
      </c>
      <c r="G329" s="3" t="s">
        <v>2061</v>
      </c>
      <c r="H329" s="2"/>
      <c r="I329" s="2"/>
      <c r="J329" s="3" t="s">
        <v>393</v>
      </c>
      <c r="K329" s="3" t="s">
        <v>453</v>
      </c>
      <c r="L329" s="3" t="s">
        <v>453</v>
      </c>
      <c r="M329" s="2"/>
      <c r="N329" s="2"/>
      <c r="O329" s="3" t="s">
        <v>26</v>
      </c>
      <c r="P329" s="3" t="s">
        <v>71</v>
      </c>
      <c r="Q329" s="3" t="s">
        <v>5107</v>
      </c>
      <c r="R329" s="3" t="s">
        <v>396</v>
      </c>
      <c r="S329" s="3" t="s">
        <v>455</v>
      </c>
      <c r="T329" s="3" t="s">
        <v>2066</v>
      </c>
      <c r="U329" s="3" t="s">
        <v>43</v>
      </c>
      <c r="V329" s="3" t="s">
        <v>71</v>
      </c>
      <c r="W329" s="2"/>
      <c r="X329" s="2"/>
      <c r="Y329" s="2"/>
    </row>
    <row r="330" spans="1:25" x14ac:dyDescent="0.2">
      <c r="A330" s="3">
        <v>833</v>
      </c>
      <c r="B330" s="4" t="s">
        <v>2067</v>
      </c>
      <c r="C330" s="3" t="s">
        <v>2068</v>
      </c>
      <c r="D330" s="3" t="s">
        <v>6419</v>
      </c>
      <c r="E330" s="3" t="s">
        <v>2069</v>
      </c>
      <c r="F330" s="3" t="s">
        <v>6420</v>
      </c>
      <c r="G330" s="3" t="s">
        <v>2061</v>
      </c>
      <c r="H330" s="2"/>
      <c r="I330" s="2"/>
      <c r="J330" s="3" t="s">
        <v>393</v>
      </c>
      <c r="K330" s="3" t="s">
        <v>453</v>
      </c>
      <c r="L330" s="3" t="s">
        <v>453</v>
      </c>
      <c r="M330" s="2"/>
      <c r="N330" s="2"/>
      <c r="O330" s="3" t="s">
        <v>426</v>
      </c>
      <c r="P330" s="3" t="s">
        <v>439</v>
      </c>
      <c r="Q330" s="3" t="s">
        <v>5352</v>
      </c>
      <c r="R330" s="3" t="s">
        <v>396</v>
      </c>
      <c r="S330" s="3" t="s">
        <v>405</v>
      </c>
      <c r="T330" s="3" t="s">
        <v>2070</v>
      </c>
      <c r="U330" s="3" t="s">
        <v>43</v>
      </c>
      <c r="V330" s="3" t="s">
        <v>439</v>
      </c>
      <c r="W330" s="2"/>
      <c r="X330" s="2"/>
      <c r="Y330" s="2"/>
    </row>
    <row r="331" spans="1:25" x14ac:dyDescent="0.2">
      <c r="A331" s="3">
        <v>834</v>
      </c>
      <c r="B331" s="4" t="s">
        <v>2071</v>
      </c>
      <c r="C331" s="3" t="s">
        <v>2072</v>
      </c>
      <c r="D331" s="3" t="s">
        <v>6422</v>
      </c>
      <c r="E331" s="3" t="s">
        <v>2073</v>
      </c>
      <c r="F331" s="3" t="s">
        <v>6423</v>
      </c>
      <c r="G331" s="3" t="s">
        <v>2061</v>
      </c>
      <c r="H331" s="2"/>
      <c r="I331" s="2"/>
      <c r="J331" s="3" t="s">
        <v>393</v>
      </c>
      <c r="K331" s="3" t="s">
        <v>453</v>
      </c>
      <c r="L331" s="3" t="s">
        <v>453</v>
      </c>
      <c r="M331" s="2"/>
      <c r="N331" s="2"/>
      <c r="O331" s="3" t="s">
        <v>26</v>
      </c>
      <c r="P331" s="3" t="s">
        <v>2074</v>
      </c>
      <c r="Q331" s="3" t="s">
        <v>5324</v>
      </c>
      <c r="R331" s="3" t="s">
        <v>396</v>
      </c>
      <c r="S331" s="3" t="s">
        <v>455</v>
      </c>
      <c r="T331" s="3" t="s">
        <v>2075</v>
      </c>
      <c r="U331" s="3" t="s">
        <v>43</v>
      </c>
      <c r="V331" s="3" t="s">
        <v>395</v>
      </c>
      <c r="W331" s="2"/>
      <c r="X331" s="2"/>
      <c r="Y331" s="2"/>
    </row>
    <row r="332" spans="1:25" x14ac:dyDescent="0.2">
      <c r="A332" s="3">
        <v>835</v>
      </c>
      <c r="B332" s="4" t="s">
        <v>2076</v>
      </c>
      <c r="C332" s="3" t="s">
        <v>2077</v>
      </c>
      <c r="D332" s="3" t="s">
        <v>6425</v>
      </c>
      <c r="E332" s="3" t="s">
        <v>2078</v>
      </c>
      <c r="F332" s="3" t="s">
        <v>6426</v>
      </c>
      <c r="G332" s="3" t="s">
        <v>2061</v>
      </c>
      <c r="H332" s="2"/>
      <c r="I332" s="2"/>
      <c r="J332" s="3" t="s">
        <v>393</v>
      </c>
      <c r="K332" s="3" t="s">
        <v>453</v>
      </c>
      <c r="L332" s="3" t="s">
        <v>453</v>
      </c>
      <c r="M332" s="2"/>
      <c r="N332" s="2"/>
      <c r="O332" s="3" t="s">
        <v>493</v>
      </c>
      <c r="P332" s="3" t="s">
        <v>439</v>
      </c>
      <c r="Q332" s="3" t="s">
        <v>5352</v>
      </c>
      <c r="R332" s="3" t="s">
        <v>396</v>
      </c>
      <c r="S332" s="3" t="s">
        <v>405</v>
      </c>
      <c r="T332" s="3" t="s">
        <v>2079</v>
      </c>
      <c r="U332" s="3" t="s">
        <v>43</v>
      </c>
      <c r="V332" s="3" t="s">
        <v>439</v>
      </c>
      <c r="W332" s="2"/>
      <c r="X332" s="2"/>
      <c r="Y332" s="2"/>
    </row>
    <row r="333" spans="1:25" x14ac:dyDescent="0.2">
      <c r="A333" s="3">
        <v>793</v>
      </c>
      <c r="B333" s="4" t="s">
        <v>2080</v>
      </c>
      <c r="C333" s="3" t="s">
        <v>2081</v>
      </c>
      <c r="D333" s="3" t="s">
        <v>6428</v>
      </c>
      <c r="E333" s="3" t="s">
        <v>2082</v>
      </c>
      <c r="F333" s="3" t="s">
        <v>6429</v>
      </c>
      <c r="G333" s="3" t="s">
        <v>1761</v>
      </c>
      <c r="H333" s="2"/>
      <c r="I333" s="2"/>
      <c r="J333" s="3" t="s">
        <v>393</v>
      </c>
      <c r="K333" s="3" t="s">
        <v>453</v>
      </c>
      <c r="L333" s="3" t="s">
        <v>453</v>
      </c>
      <c r="M333" s="2"/>
      <c r="N333" s="2"/>
      <c r="O333" s="3" t="s">
        <v>426</v>
      </c>
      <c r="P333" s="3" t="s">
        <v>27</v>
      </c>
      <c r="Q333" s="3" t="s">
        <v>5079</v>
      </c>
      <c r="R333" s="3" t="s">
        <v>396</v>
      </c>
      <c r="S333" s="3" t="s">
        <v>982</v>
      </c>
      <c r="T333" s="3" t="s">
        <v>2083</v>
      </c>
      <c r="U333" s="3" t="s">
        <v>43</v>
      </c>
      <c r="V333" s="3" t="s">
        <v>27</v>
      </c>
      <c r="W333" s="2"/>
      <c r="X333" s="2"/>
      <c r="Y333" s="2"/>
    </row>
    <row r="334" spans="1:25" x14ac:dyDescent="0.2">
      <c r="A334" s="3">
        <v>794</v>
      </c>
      <c r="B334" s="4" t="s">
        <v>2084</v>
      </c>
      <c r="C334" s="3" t="s">
        <v>2085</v>
      </c>
      <c r="D334" s="3" t="s">
        <v>6431</v>
      </c>
      <c r="E334" s="3" t="s">
        <v>2086</v>
      </c>
      <c r="F334" s="3" t="s">
        <v>6432</v>
      </c>
      <c r="G334" s="3" t="s">
        <v>1761</v>
      </c>
      <c r="H334" s="2"/>
      <c r="I334" s="2"/>
      <c r="J334" s="3" t="s">
        <v>393</v>
      </c>
      <c r="K334" s="3" t="s">
        <v>453</v>
      </c>
      <c r="L334" s="3" t="s">
        <v>453</v>
      </c>
      <c r="M334" s="3" t="s">
        <v>2087</v>
      </c>
      <c r="N334" s="2"/>
      <c r="O334" s="3" t="s">
        <v>26</v>
      </c>
      <c r="P334" s="3" t="s">
        <v>2088</v>
      </c>
      <c r="Q334" s="3" t="s">
        <v>6434</v>
      </c>
      <c r="R334" s="3" t="s">
        <v>396</v>
      </c>
      <c r="S334" s="3" t="s">
        <v>982</v>
      </c>
      <c r="T334" s="3" t="s">
        <v>2089</v>
      </c>
      <c r="U334" s="3" t="s">
        <v>43</v>
      </c>
      <c r="V334" s="3" t="s">
        <v>439</v>
      </c>
      <c r="W334" s="2"/>
      <c r="X334" s="2"/>
      <c r="Y334" s="2"/>
    </row>
    <row r="335" spans="1:25" x14ac:dyDescent="0.2">
      <c r="A335" s="3">
        <v>795</v>
      </c>
      <c r="B335" s="4" t="s">
        <v>2090</v>
      </c>
      <c r="C335" s="3" t="s">
        <v>2091</v>
      </c>
      <c r="D335" s="3" t="s">
        <v>6436</v>
      </c>
      <c r="E335" s="3" t="s">
        <v>2092</v>
      </c>
      <c r="F335" s="3" t="s">
        <v>6437</v>
      </c>
      <c r="G335" s="3" t="s">
        <v>437</v>
      </c>
      <c r="H335" s="2"/>
      <c r="I335" s="2"/>
      <c r="J335" s="3" t="s">
        <v>393</v>
      </c>
      <c r="K335" s="3" t="s">
        <v>453</v>
      </c>
      <c r="L335" s="3" t="s">
        <v>453</v>
      </c>
      <c r="M335" s="3" t="s">
        <v>1587</v>
      </c>
      <c r="N335" s="2"/>
      <c r="O335" s="3" t="s">
        <v>426</v>
      </c>
      <c r="P335" s="3" t="s">
        <v>60</v>
      </c>
      <c r="Q335" s="3" t="s">
        <v>5100</v>
      </c>
      <c r="R335" s="3" t="s">
        <v>396</v>
      </c>
      <c r="S335" s="3" t="s">
        <v>700</v>
      </c>
      <c r="T335" s="3" t="s">
        <v>2093</v>
      </c>
      <c r="U335" s="3" t="s">
        <v>43</v>
      </c>
      <c r="V335" s="3" t="s">
        <v>60</v>
      </c>
      <c r="W335" s="2"/>
      <c r="X335" s="2"/>
      <c r="Y335" s="2"/>
    </row>
    <row r="336" spans="1:25" x14ac:dyDescent="0.2">
      <c r="A336" s="3">
        <v>796</v>
      </c>
      <c r="B336" s="4" t="s">
        <v>2094</v>
      </c>
      <c r="C336" s="3" t="s">
        <v>2095</v>
      </c>
      <c r="D336" s="3" t="s">
        <v>6439</v>
      </c>
      <c r="E336" s="3" t="s">
        <v>2096</v>
      </c>
      <c r="F336" s="3" t="s">
        <v>6440</v>
      </c>
      <c r="G336" s="3" t="s">
        <v>431</v>
      </c>
      <c r="H336" s="2"/>
      <c r="I336" s="2"/>
      <c r="J336" s="3" t="s">
        <v>393</v>
      </c>
      <c r="K336" s="3" t="s">
        <v>453</v>
      </c>
      <c r="L336" s="3" t="s">
        <v>453</v>
      </c>
      <c r="M336" s="2"/>
      <c r="N336" s="2"/>
      <c r="O336" s="3" t="s">
        <v>26</v>
      </c>
      <c r="P336" s="3" t="s">
        <v>2097</v>
      </c>
      <c r="Q336" s="3" t="s">
        <v>6441</v>
      </c>
      <c r="R336" s="3" t="s">
        <v>396</v>
      </c>
      <c r="S336" s="3" t="s">
        <v>700</v>
      </c>
      <c r="T336" s="3" t="s">
        <v>2098</v>
      </c>
      <c r="U336" s="3" t="s">
        <v>43</v>
      </c>
      <c r="V336" s="3" t="s">
        <v>27</v>
      </c>
      <c r="W336" s="2"/>
      <c r="X336" s="2"/>
      <c r="Y336" s="2"/>
    </row>
    <row r="337" spans="1:25" x14ac:dyDescent="0.2">
      <c r="A337" s="3">
        <v>797</v>
      </c>
      <c r="B337" s="4" t="s">
        <v>2099</v>
      </c>
      <c r="C337" s="3" t="s">
        <v>2100</v>
      </c>
      <c r="D337" s="3" t="s">
        <v>6443</v>
      </c>
      <c r="E337" s="3" t="s">
        <v>2101</v>
      </c>
      <c r="F337" s="3" t="s">
        <v>6444</v>
      </c>
      <c r="G337" s="3" t="s">
        <v>1565</v>
      </c>
      <c r="H337" s="2"/>
      <c r="I337" s="2"/>
      <c r="J337" s="3" t="s">
        <v>393</v>
      </c>
      <c r="K337" s="3" t="s">
        <v>453</v>
      </c>
      <c r="L337" s="3" t="s">
        <v>453</v>
      </c>
      <c r="M337" s="3" t="s">
        <v>2087</v>
      </c>
      <c r="N337" s="2"/>
      <c r="O337" s="3" t="s">
        <v>426</v>
      </c>
      <c r="P337" s="3" t="s">
        <v>27</v>
      </c>
      <c r="Q337" s="3" t="s">
        <v>5079</v>
      </c>
      <c r="R337" s="3" t="s">
        <v>396</v>
      </c>
      <c r="S337" s="3" t="s">
        <v>455</v>
      </c>
      <c r="T337" s="3" t="s">
        <v>2102</v>
      </c>
      <c r="U337" s="3" t="s">
        <v>43</v>
      </c>
      <c r="V337" s="3" t="s">
        <v>27</v>
      </c>
      <c r="W337" s="2"/>
      <c r="X337" s="2"/>
      <c r="Y337" s="2"/>
    </row>
    <row r="338" spans="1:25" x14ac:dyDescent="0.2">
      <c r="A338" s="3">
        <v>584</v>
      </c>
      <c r="B338" s="4" t="s">
        <v>2103</v>
      </c>
      <c r="C338" s="3" t="s">
        <v>2104</v>
      </c>
      <c r="D338" s="3" t="s">
        <v>6446</v>
      </c>
      <c r="E338" s="3" t="s">
        <v>2105</v>
      </c>
      <c r="F338" s="3" t="s">
        <v>6447</v>
      </c>
      <c r="G338" s="3" t="s">
        <v>2052</v>
      </c>
      <c r="H338" s="2"/>
      <c r="I338" s="2"/>
      <c r="J338" s="3" t="s">
        <v>393</v>
      </c>
      <c r="K338" s="3" t="s">
        <v>453</v>
      </c>
      <c r="L338" s="3" t="s">
        <v>453</v>
      </c>
      <c r="M338" s="2"/>
      <c r="N338" s="2"/>
      <c r="O338" s="3" t="s">
        <v>26</v>
      </c>
      <c r="P338" s="3" t="s">
        <v>105</v>
      </c>
      <c r="Q338" s="3" t="s">
        <v>5128</v>
      </c>
      <c r="R338" s="3" t="s">
        <v>396</v>
      </c>
      <c r="S338" s="3" t="s">
        <v>405</v>
      </c>
      <c r="T338" s="3" t="s">
        <v>2106</v>
      </c>
      <c r="U338" s="3" t="s">
        <v>43</v>
      </c>
      <c r="V338" s="3" t="s">
        <v>105</v>
      </c>
      <c r="W338" s="2"/>
      <c r="X338" s="2"/>
      <c r="Y338" s="2"/>
    </row>
    <row r="339" spans="1:25" x14ac:dyDescent="0.2">
      <c r="A339" s="3">
        <v>585</v>
      </c>
      <c r="B339" s="4" t="s">
        <v>2107</v>
      </c>
      <c r="C339" s="3" t="s">
        <v>2108</v>
      </c>
      <c r="D339" s="3" t="s">
        <v>6449</v>
      </c>
      <c r="E339" s="3" t="s">
        <v>2109</v>
      </c>
      <c r="F339" s="3" t="s">
        <v>6450</v>
      </c>
      <c r="G339" s="3" t="s">
        <v>2052</v>
      </c>
      <c r="H339" s="2"/>
      <c r="I339" s="2"/>
      <c r="J339" s="3" t="s">
        <v>393</v>
      </c>
      <c r="K339" s="3" t="s">
        <v>453</v>
      </c>
      <c r="L339" s="3" t="s">
        <v>453</v>
      </c>
      <c r="M339" s="2"/>
      <c r="N339" s="2"/>
      <c r="O339" s="3" t="s">
        <v>426</v>
      </c>
      <c r="P339" s="3" t="s">
        <v>105</v>
      </c>
      <c r="Q339" s="3" t="s">
        <v>5128</v>
      </c>
      <c r="R339" s="3" t="s">
        <v>396</v>
      </c>
      <c r="S339" s="3" t="s">
        <v>405</v>
      </c>
      <c r="T339" s="3" t="s">
        <v>2110</v>
      </c>
      <c r="U339" s="3" t="s">
        <v>43</v>
      </c>
      <c r="V339" s="3" t="s">
        <v>2111</v>
      </c>
      <c r="W339" s="2"/>
      <c r="X339" s="2"/>
      <c r="Y339" s="2"/>
    </row>
    <row r="340" spans="1:25" x14ac:dyDescent="0.2">
      <c r="A340" s="3">
        <v>586</v>
      </c>
      <c r="B340" s="4" t="s">
        <v>2112</v>
      </c>
      <c r="C340" s="3" t="s">
        <v>2113</v>
      </c>
      <c r="D340" s="3" t="s">
        <v>6453</v>
      </c>
      <c r="E340" s="3" t="s">
        <v>2114</v>
      </c>
      <c r="F340" s="3" t="s">
        <v>6454</v>
      </c>
      <c r="G340" s="3" t="s">
        <v>2052</v>
      </c>
      <c r="H340" s="2"/>
      <c r="I340" s="2"/>
      <c r="J340" s="3" t="s">
        <v>393</v>
      </c>
      <c r="K340" s="3" t="s">
        <v>453</v>
      </c>
      <c r="L340" s="3" t="s">
        <v>453</v>
      </c>
      <c r="M340" s="2"/>
      <c r="N340" s="2"/>
      <c r="O340" s="3" t="s">
        <v>493</v>
      </c>
      <c r="P340" s="3" t="s">
        <v>105</v>
      </c>
      <c r="Q340" s="3" t="s">
        <v>5128</v>
      </c>
      <c r="R340" s="3" t="s">
        <v>396</v>
      </c>
      <c r="S340" s="3" t="s">
        <v>405</v>
      </c>
      <c r="T340" s="3" t="s">
        <v>2115</v>
      </c>
      <c r="U340" s="3" t="s">
        <v>43</v>
      </c>
      <c r="V340" s="3" t="s">
        <v>105</v>
      </c>
      <c r="W340" s="2"/>
      <c r="X340" s="2"/>
      <c r="Y340" s="2"/>
    </row>
    <row r="341" spans="1:25" x14ac:dyDescent="0.2">
      <c r="A341" s="3">
        <v>587</v>
      </c>
      <c r="B341" s="4" t="s">
        <v>2116</v>
      </c>
      <c r="C341" s="3" t="s">
        <v>2117</v>
      </c>
      <c r="D341" s="3" t="s">
        <v>6456</v>
      </c>
      <c r="E341" s="3" t="s">
        <v>2118</v>
      </c>
      <c r="F341" s="3" t="s">
        <v>6457</v>
      </c>
      <c r="G341" s="3" t="s">
        <v>2119</v>
      </c>
      <c r="H341" s="2"/>
      <c r="I341" s="2"/>
      <c r="J341" s="3" t="s">
        <v>393</v>
      </c>
      <c r="K341" s="3" t="s">
        <v>453</v>
      </c>
      <c r="L341" s="3" t="s">
        <v>453</v>
      </c>
      <c r="M341" s="2"/>
      <c r="N341" s="2"/>
      <c r="O341" s="3" t="s">
        <v>26</v>
      </c>
      <c r="P341" s="3" t="s">
        <v>395</v>
      </c>
      <c r="Q341" s="3" t="s">
        <v>5324</v>
      </c>
      <c r="R341" s="3" t="s">
        <v>396</v>
      </c>
      <c r="S341" s="3" t="s">
        <v>1560</v>
      </c>
      <c r="T341" s="3" t="s">
        <v>2120</v>
      </c>
      <c r="U341" s="3" t="s">
        <v>43</v>
      </c>
      <c r="V341" s="3" t="s">
        <v>395</v>
      </c>
      <c r="W341" s="2"/>
      <c r="X341" s="2"/>
      <c r="Y341" s="2"/>
    </row>
    <row r="342" spans="1:25" x14ac:dyDescent="0.2">
      <c r="A342" s="3">
        <v>588</v>
      </c>
      <c r="B342" s="4" t="s">
        <v>2121</v>
      </c>
      <c r="C342" s="3" t="s">
        <v>2122</v>
      </c>
      <c r="D342" s="3" t="s">
        <v>6459</v>
      </c>
      <c r="E342" s="3" t="s">
        <v>2123</v>
      </c>
      <c r="F342" s="3" t="s">
        <v>6460</v>
      </c>
      <c r="G342" s="3" t="s">
        <v>2124</v>
      </c>
      <c r="H342" s="2"/>
      <c r="I342" s="2"/>
      <c r="J342" s="3" t="s">
        <v>393</v>
      </c>
      <c r="K342" s="3" t="s">
        <v>453</v>
      </c>
      <c r="L342" s="3" t="s">
        <v>453</v>
      </c>
      <c r="M342" s="2"/>
      <c r="N342" s="2"/>
      <c r="O342" s="3" t="s">
        <v>26</v>
      </c>
      <c r="P342" s="3" t="s">
        <v>27</v>
      </c>
      <c r="Q342" s="3" t="s">
        <v>5079</v>
      </c>
      <c r="R342" s="3" t="s">
        <v>396</v>
      </c>
      <c r="S342" s="3" t="s">
        <v>1560</v>
      </c>
      <c r="T342" s="3" t="s">
        <v>2125</v>
      </c>
      <c r="U342" s="3" t="s">
        <v>43</v>
      </c>
      <c r="V342" s="3" t="s">
        <v>2126</v>
      </c>
      <c r="W342" s="2"/>
      <c r="X342" s="2"/>
      <c r="Y342" s="2"/>
    </row>
    <row r="343" spans="1:25" x14ac:dyDescent="0.2">
      <c r="A343" s="3">
        <v>589</v>
      </c>
      <c r="B343" s="4" t="s">
        <v>2127</v>
      </c>
      <c r="C343" s="3" t="s">
        <v>2128</v>
      </c>
      <c r="D343" s="3" t="s">
        <v>6463</v>
      </c>
      <c r="E343" s="3" t="s">
        <v>2129</v>
      </c>
      <c r="F343" s="3" t="s">
        <v>6464</v>
      </c>
      <c r="G343" s="3" t="s">
        <v>2124</v>
      </c>
      <c r="H343" s="2"/>
      <c r="I343" s="2"/>
      <c r="J343" s="3" t="s">
        <v>393</v>
      </c>
      <c r="K343" s="3" t="s">
        <v>453</v>
      </c>
      <c r="L343" s="3" t="s">
        <v>453</v>
      </c>
      <c r="M343" s="2"/>
      <c r="N343" s="2"/>
      <c r="O343" s="3" t="s">
        <v>26</v>
      </c>
      <c r="P343" s="3" t="s">
        <v>27</v>
      </c>
      <c r="Q343" s="3" t="s">
        <v>5079</v>
      </c>
      <c r="R343" s="3" t="s">
        <v>396</v>
      </c>
      <c r="S343" s="3" t="s">
        <v>1560</v>
      </c>
      <c r="T343" s="3" t="s">
        <v>2125</v>
      </c>
      <c r="U343" s="3" t="s">
        <v>43</v>
      </c>
      <c r="V343" s="3" t="s">
        <v>2126</v>
      </c>
      <c r="W343" s="2"/>
      <c r="X343" s="2"/>
      <c r="Y343" s="2"/>
    </row>
    <row r="344" spans="1:25" x14ac:dyDescent="0.2">
      <c r="A344" s="3">
        <v>590</v>
      </c>
      <c r="B344" s="4" t="s">
        <v>2130</v>
      </c>
      <c r="C344" s="3" t="s">
        <v>2131</v>
      </c>
      <c r="D344" s="3" t="s">
        <v>6465</v>
      </c>
      <c r="E344" s="3" t="s">
        <v>2132</v>
      </c>
      <c r="F344" s="3" t="s">
        <v>6466</v>
      </c>
      <c r="G344" s="3" t="s">
        <v>2124</v>
      </c>
      <c r="H344" s="2"/>
      <c r="I344" s="2"/>
      <c r="J344" s="3" t="s">
        <v>393</v>
      </c>
      <c r="K344" s="3" t="s">
        <v>453</v>
      </c>
      <c r="L344" s="3" t="s">
        <v>453</v>
      </c>
      <c r="M344" s="2"/>
      <c r="N344" s="2"/>
      <c r="O344" s="3" t="s">
        <v>26</v>
      </c>
      <c r="P344" s="3" t="s">
        <v>27</v>
      </c>
      <c r="Q344" s="3" t="s">
        <v>5079</v>
      </c>
      <c r="R344" s="3" t="s">
        <v>396</v>
      </c>
      <c r="S344" s="3" t="s">
        <v>1560</v>
      </c>
      <c r="T344" s="3" t="s">
        <v>2125</v>
      </c>
      <c r="U344" s="3" t="s">
        <v>43</v>
      </c>
      <c r="V344" s="3" t="s">
        <v>2126</v>
      </c>
      <c r="W344" s="2"/>
      <c r="X344" s="2"/>
      <c r="Y344" s="2"/>
    </row>
    <row r="345" spans="1:25" x14ac:dyDescent="0.2">
      <c r="A345" s="3">
        <v>591</v>
      </c>
      <c r="B345" s="4" t="s">
        <v>2133</v>
      </c>
      <c r="C345" s="3" t="s">
        <v>2134</v>
      </c>
      <c r="D345" s="3" t="s">
        <v>6467</v>
      </c>
      <c r="E345" s="3" t="s">
        <v>2135</v>
      </c>
      <c r="F345" s="3" t="s">
        <v>6468</v>
      </c>
      <c r="G345" s="3" t="s">
        <v>2136</v>
      </c>
      <c r="H345" s="2"/>
      <c r="I345" s="2"/>
      <c r="J345" s="3" t="s">
        <v>393</v>
      </c>
      <c r="K345" s="3" t="s">
        <v>453</v>
      </c>
      <c r="L345" s="3" t="s">
        <v>453</v>
      </c>
      <c r="M345" s="2"/>
      <c r="N345" s="2"/>
      <c r="O345" s="3" t="s">
        <v>26</v>
      </c>
      <c r="P345" s="3" t="s">
        <v>27</v>
      </c>
      <c r="Q345" s="3" t="s">
        <v>5079</v>
      </c>
      <c r="R345" s="3" t="s">
        <v>396</v>
      </c>
      <c r="S345" s="3" t="s">
        <v>700</v>
      </c>
      <c r="T345" s="3" t="s">
        <v>2137</v>
      </c>
      <c r="U345" s="3" t="s">
        <v>43</v>
      </c>
      <c r="V345" s="3" t="s">
        <v>27</v>
      </c>
      <c r="W345" s="2"/>
      <c r="X345" s="2"/>
      <c r="Y345" s="2"/>
    </row>
    <row r="346" spans="1:25" x14ac:dyDescent="0.2">
      <c r="A346" s="3">
        <v>592</v>
      </c>
      <c r="B346" s="4" t="s">
        <v>2138</v>
      </c>
      <c r="C346" s="3" t="s">
        <v>2139</v>
      </c>
      <c r="D346" s="3" t="s">
        <v>6470</v>
      </c>
      <c r="E346" s="3" t="s">
        <v>2140</v>
      </c>
      <c r="F346" s="3" t="s">
        <v>6471</v>
      </c>
      <c r="G346" s="3" t="s">
        <v>2141</v>
      </c>
      <c r="H346" s="2"/>
      <c r="I346" s="2"/>
      <c r="J346" s="3" t="s">
        <v>393</v>
      </c>
      <c r="K346" s="3" t="s">
        <v>453</v>
      </c>
      <c r="L346" s="3" t="s">
        <v>453</v>
      </c>
      <c r="M346" s="2"/>
      <c r="N346" s="2"/>
      <c r="O346" s="3" t="s">
        <v>26</v>
      </c>
      <c r="P346" s="3" t="s">
        <v>71</v>
      </c>
      <c r="Q346" s="3" t="s">
        <v>5107</v>
      </c>
      <c r="R346" s="3" t="s">
        <v>396</v>
      </c>
      <c r="S346" s="3" t="s">
        <v>405</v>
      </c>
      <c r="T346" s="3" t="s">
        <v>2142</v>
      </c>
      <c r="U346" s="3" t="s">
        <v>43</v>
      </c>
      <c r="V346" s="3" t="s">
        <v>27</v>
      </c>
      <c r="W346" s="2"/>
      <c r="X346" s="2"/>
      <c r="Y346" s="2"/>
    </row>
    <row r="347" spans="1:25" x14ac:dyDescent="0.2">
      <c r="A347" s="3">
        <v>593</v>
      </c>
      <c r="B347" s="4" t="s">
        <v>2143</v>
      </c>
      <c r="C347" s="3" t="s">
        <v>2144</v>
      </c>
      <c r="D347" s="3" t="s">
        <v>6473</v>
      </c>
      <c r="E347" s="3" t="s">
        <v>2145</v>
      </c>
      <c r="F347" s="3" t="s">
        <v>6474</v>
      </c>
      <c r="G347" s="3" t="s">
        <v>2141</v>
      </c>
      <c r="H347" s="2"/>
      <c r="I347" s="2"/>
      <c r="J347" s="3" t="s">
        <v>393</v>
      </c>
      <c r="K347" s="3" t="s">
        <v>453</v>
      </c>
      <c r="L347" s="3" t="s">
        <v>453</v>
      </c>
      <c r="M347" s="2"/>
      <c r="N347" s="2"/>
      <c r="O347" s="3" t="s">
        <v>26</v>
      </c>
      <c r="P347" s="3" t="s">
        <v>71</v>
      </c>
      <c r="Q347" s="3" t="s">
        <v>5107</v>
      </c>
      <c r="R347" s="3" t="s">
        <v>396</v>
      </c>
      <c r="S347" s="3" t="s">
        <v>405</v>
      </c>
      <c r="T347" s="3" t="s">
        <v>2146</v>
      </c>
      <c r="U347" s="3" t="s">
        <v>43</v>
      </c>
      <c r="V347" s="3" t="s">
        <v>71</v>
      </c>
      <c r="W347" s="2"/>
      <c r="X347" s="2"/>
      <c r="Y347" s="2"/>
    </row>
    <row r="348" spans="1:25" x14ac:dyDescent="0.2">
      <c r="A348" s="3">
        <v>594</v>
      </c>
      <c r="B348" s="4" t="s">
        <v>2147</v>
      </c>
      <c r="C348" s="3" t="s">
        <v>2148</v>
      </c>
      <c r="D348" s="3" t="s">
        <v>6476</v>
      </c>
      <c r="E348" s="3" t="s">
        <v>2149</v>
      </c>
      <c r="F348" s="3" t="s">
        <v>6477</v>
      </c>
      <c r="G348" s="3" t="s">
        <v>2141</v>
      </c>
      <c r="H348" s="3" t="s">
        <v>946</v>
      </c>
      <c r="I348" s="3" t="s">
        <v>2150</v>
      </c>
      <c r="J348" s="3" t="s">
        <v>393</v>
      </c>
      <c r="K348" s="3" t="s">
        <v>453</v>
      </c>
      <c r="L348" s="3" t="s">
        <v>453</v>
      </c>
      <c r="M348" s="2"/>
      <c r="N348" s="2"/>
      <c r="O348" s="3" t="s">
        <v>426</v>
      </c>
      <c r="P348" s="3" t="s">
        <v>2151</v>
      </c>
      <c r="Q348" s="3" t="s">
        <v>6478</v>
      </c>
      <c r="R348" s="3" t="s">
        <v>396</v>
      </c>
      <c r="S348" s="3" t="s">
        <v>405</v>
      </c>
      <c r="T348" s="3" t="s">
        <v>2152</v>
      </c>
      <c r="U348" s="3" t="s">
        <v>43</v>
      </c>
      <c r="V348" s="3" t="s">
        <v>2153</v>
      </c>
      <c r="W348" s="2"/>
      <c r="X348" s="2"/>
      <c r="Y348" s="2"/>
    </row>
    <row r="349" spans="1:25" x14ac:dyDescent="0.2">
      <c r="A349" s="3">
        <v>595</v>
      </c>
      <c r="B349" s="4" t="s">
        <v>2154</v>
      </c>
      <c r="C349" s="3" t="s">
        <v>2155</v>
      </c>
      <c r="D349" s="3" t="s">
        <v>6481</v>
      </c>
      <c r="E349" s="3" t="s">
        <v>2156</v>
      </c>
      <c r="F349" s="3" t="s">
        <v>6482</v>
      </c>
      <c r="G349" s="3" t="s">
        <v>2141</v>
      </c>
      <c r="H349" s="2"/>
      <c r="I349" s="2"/>
      <c r="J349" s="3" t="s">
        <v>393</v>
      </c>
      <c r="K349" s="3" t="s">
        <v>453</v>
      </c>
      <c r="L349" s="3" t="s">
        <v>453</v>
      </c>
      <c r="M349" s="2"/>
      <c r="N349" s="2"/>
      <c r="O349" s="3" t="s">
        <v>26</v>
      </c>
      <c r="P349" s="3" t="s">
        <v>2157</v>
      </c>
      <c r="Q349" s="3" t="s">
        <v>6483</v>
      </c>
      <c r="R349" s="3" t="s">
        <v>396</v>
      </c>
      <c r="S349" s="3" t="s">
        <v>455</v>
      </c>
      <c r="T349" s="3" t="s">
        <v>2158</v>
      </c>
      <c r="U349" s="3" t="s">
        <v>43</v>
      </c>
      <c r="V349" s="3" t="s">
        <v>2159</v>
      </c>
      <c r="W349" s="2"/>
      <c r="X349" s="2"/>
      <c r="Y349" s="2"/>
    </row>
    <row r="350" spans="1:25" x14ac:dyDescent="0.2">
      <c r="A350" s="3">
        <v>596</v>
      </c>
      <c r="B350" s="4" t="s">
        <v>2160</v>
      </c>
      <c r="C350" s="3" t="s">
        <v>2161</v>
      </c>
      <c r="D350" s="3" t="s">
        <v>6485</v>
      </c>
      <c r="E350" s="3" t="s">
        <v>2162</v>
      </c>
      <c r="F350" s="3" t="s">
        <v>6486</v>
      </c>
      <c r="G350" s="3" t="s">
        <v>1252</v>
      </c>
      <c r="H350" s="3" t="s">
        <v>2163</v>
      </c>
      <c r="I350" s="3" t="s">
        <v>2163</v>
      </c>
      <c r="J350" s="3" t="s">
        <v>393</v>
      </c>
      <c r="K350" s="3" t="s">
        <v>453</v>
      </c>
      <c r="L350" s="3" t="s">
        <v>453</v>
      </c>
      <c r="M350" s="2"/>
      <c r="N350" s="2"/>
      <c r="O350" s="3" t="s">
        <v>426</v>
      </c>
      <c r="P350" s="3" t="s">
        <v>395</v>
      </c>
      <c r="Q350" s="3" t="s">
        <v>5324</v>
      </c>
      <c r="R350" s="3" t="s">
        <v>396</v>
      </c>
      <c r="S350" s="3" t="s">
        <v>455</v>
      </c>
      <c r="T350" s="3" t="s">
        <v>2164</v>
      </c>
      <c r="U350" s="3" t="s">
        <v>43</v>
      </c>
      <c r="V350" s="3" t="s">
        <v>395</v>
      </c>
      <c r="W350" s="2"/>
      <c r="X350" s="2"/>
      <c r="Y350" s="2"/>
    </row>
    <row r="351" spans="1:25" x14ac:dyDescent="0.2">
      <c r="A351" s="3">
        <v>597</v>
      </c>
      <c r="B351" s="4" t="s">
        <v>2165</v>
      </c>
      <c r="C351" s="3" t="s">
        <v>2166</v>
      </c>
      <c r="D351" s="3" t="s">
        <v>6488</v>
      </c>
      <c r="E351" s="3" t="s">
        <v>2167</v>
      </c>
      <c r="F351" s="3" t="s">
        <v>6489</v>
      </c>
      <c r="G351" s="3" t="s">
        <v>1252</v>
      </c>
      <c r="H351" s="3" t="s">
        <v>2168</v>
      </c>
      <c r="I351" s="3" t="s">
        <v>2169</v>
      </c>
      <c r="J351" s="3" t="s">
        <v>393</v>
      </c>
      <c r="K351" s="3" t="s">
        <v>453</v>
      </c>
      <c r="L351" s="3" t="s">
        <v>453</v>
      </c>
      <c r="M351" s="2"/>
      <c r="N351" s="2"/>
      <c r="O351" s="3" t="s">
        <v>26</v>
      </c>
      <c r="P351" s="3" t="s">
        <v>395</v>
      </c>
      <c r="Q351" s="3" t="s">
        <v>5324</v>
      </c>
      <c r="R351" s="3" t="s">
        <v>396</v>
      </c>
      <c r="S351" s="3" t="s">
        <v>455</v>
      </c>
      <c r="T351" s="3" t="s">
        <v>2170</v>
      </c>
      <c r="U351" s="3" t="s">
        <v>43</v>
      </c>
      <c r="V351" s="3" t="s">
        <v>395</v>
      </c>
      <c r="W351" s="2"/>
      <c r="X351" s="2"/>
      <c r="Y351" s="2"/>
    </row>
    <row r="352" spans="1:25" x14ac:dyDescent="0.2">
      <c r="A352" s="3">
        <v>598</v>
      </c>
      <c r="B352" s="4" t="s">
        <v>2171</v>
      </c>
      <c r="C352" s="3" t="s">
        <v>2172</v>
      </c>
      <c r="D352" s="3" t="s">
        <v>6491</v>
      </c>
      <c r="E352" s="3" t="s">
        <v>2173</v>
      </c>
      <c r="F352" s="3" t="s">
        <v>6492</v>
      </c>
      <c r="G352" s="3" t="s">
        <v>1252</v>
      </c>
      <c r="H352" s="3" t="s">
        <v>1252</v>
      </c>
      <c r="I352" s="3" t="s">
        <v>1252</v>
      </c>
      <c r="J352" s="3" t="s">
        <v>393</v>
      </c>
      <c r="K352" s="3" t="s">
        <v>453</v>
      </c>
      <c r="L352" s="3" t="s">
        <v>453</v>
      </c>
      <c r="M352" s="2"/>
      <c r="N352" s="2"/>
      <c r="O352" s="3" t="s">
        <v>493</v>
      </c>
      <c r="P352" s="3" t="s">
        <v>2174</v>
      </c>
      <c r="Q352" s="3" t="s">
        <v>6478</v>
      </c>
      <c r="R352" s="3" t="s">
        <v>396</v>
      </c>
      <c r="S352" s="3" t="s">
        <v>405</v>
      </c>
      <c r="T352" s="3" t="s">
        <v>2175</v>
      </c>
      <c r="U352" s="3" t="s">
        <v>43</v>
      </c>
      <c r="V352" s="3" t="s">
        <v>2176</v>
      </c>
      <c r="W352" s="2"/>
      <c r="X352" s="2"/>
      <c r="Y352" s="2"/>
    </row>
    <row r="353" spans="1:25" x14ac:dyDescent="0.2">
      <c r="A353" s="3">
        <v>599</v>
      </c>
      <c r="B353" s="4" t="s">
        <v>2177</v>
      </c>
      <c r="C353" s="3" t="s">
        <v>2178</v>
      </c>
      <c r="D353" s="3" t="s">
        <v>6495</v>
      </c>
      <c r="E353" s="3" t="s">
        <v>2179</v>
      </c>
      <c r="F353" s="3" t="s">
        <v>6496</v>
      </c>
      <c r="G353" s="3" t="s">
        <v>1756</v>
      </c>
      <c r="H353" s="2"/>
      <c r="I353" s="2"/>
      <c r="J353" s="3" t="s">
        <v>393</v>
      </c>
      <c r="K353" s="3" t="s">
        <v>453</v>
      </c>
      <c r="L353" s="3" t="s">
        <v>453</v>
      </c>
      <c r="M353" s="2"/>
      <c r="N353" s="2"/>
      <c r="O353" s="3" t="s">
        <v>26</v>
      </c>
      <c r="P353" s="3" t="s">
        <v>71</v>
      </c>
      <c r="Q353" s="3" t="s">
        <v>5107</v>
      </c>
      <c r="R353" s="3" t="s">
        <v>396</v>
      </c>
      <c r="S353" s="3" t="s">
        <v>455</v>
      </c>
      <c r="T353" s="3" t="s">
        <v>2180</v>
      </c>
      <c r="U353" s="3" t="s">
        <v>43</v>
      </c>
      <c r="V353" s="3" t="s">
        <v>71</v>
      </c>
      <c r="W353" s="2"/>
      <c r="X353" s="2"/>
      <c r="Y353" s="2"/>
    </row>
    <row r="354" spans="1:25" x14ac:dyDescent="0.2">
      <c r="A354" s="3">
        <v>600</v>
      </c>
      <c r="B354" s="4" t="s">
        <v>2181</v>
      </c>
      <c r="C354" s="3" t="s">
        <v>2182</v>
      </c>
      <c r="D354" s="3" t="s">
        <v>6498</v>
      </c>
      <c r="E354" s="3" t="s">
        <v>2183</v>
      </c>
      <c r="F354" s="3" t="s">
        <v>6499</v>
      </c>
      <c r="G354" s="3" t="s">
        <v>1756</v>
      </c>
      <c r="H354" s="2"/>
      <c r="I354" s="2"/>
      <c r="J354" s="3" t="s">
        <v>393</v>
      </c>
      <c r="K354" s="3" t="s">
        <v>453</v>
      </c>
      <c r="L354" s="3" t="s">
        <v>453</v>
      </c>
      <c r="M354" s="2"/>
      <c r="N354" s="2"/>
      <c r="O354" s="3" t="s">
        <v>426</v>
      </c>
      <c r="P354" s="3" t="s">
        <v>27</v>
      </c>
      <c r="Q354" s="3" t="s">
        <v>5079</v>
      </c>
      <c r="R354" s="3" t="s">
        <v>396</v>
      </c>
      <c r="S354" s="3" t="s">
        <v>1560</v>
      </c>
      <c r="T354" s="3" t="s">
        <v>2184</v>
      </c>
      <c r="U354" s="3" t="s">
        <v>43</v>
      </c>
      <c r="V354" s="3" t="s">
        <v>27</v>
      </c>
      <c r="W354" s="2"/>
      <c r="X354" s="2"/>
      <c r="Y354" s="2"/>
    </row>
    <row r="355" spans="1:25" x14ac:dyDescent="0.2">
      <c r="A355" s="3">
        <v>601</v>
      </c>
      <c r="B355" s="4" t="s">
        <v>2185</v>
      </c>
      <c r="C355" s="3" t="s">
        <v>2186</v>
      </c>
      <c r="D355" s="3" t="s">
        <v>6501</v>
      </c>
      <c r="E355" s="3" t="s">
        <v>2187</v>
      </c>
      <c r="F355" s="3" t="s">
        <v>6502</v>
      </c>
      <c r="G355" s="3" t="s">
        <v>2188</v>
      </c>
      <c r="H355" s="2"/>
      <c r="I355" s="2"/>
      <c r="J355" s="3" t="s">
        <v>393</v>
      </c>
      <c r="K355" s="3" t="s">
        <v>453</v>
      </c>
      <c r="L355" s="3" t="s">
        <v>453</v>
      </c>
      <c r="M355" s="2"/>
      <c r="N355" s="2"/>
      <c r="O355" s="3" t="s">
        <v>426</v>
      </c>
      <c r="P355" s="3" t="s">
        <v>27</v>
      </c>
      <c r="Q355" s="3" t="s">
        <v>5079</v>
      </c>
      <c r="R355" s="3" t="s">
        <v>396</v>
      </c>
      <c r="S355" s="3" t="s">
        <v>1560</v>
      </c>
      <c r="T355" s="3" t="s">
        <v>2189</v>
      </c>
      <c r="U355" s="3" t="s">
        <v>43</v>
      </c>
      <c r="V355" s="3" t="s">
        <v>27</v>
      </c>
      <c r="W355" s="2"/>
      <c r="X355" s="2"/>
      <c r="Y355" s="2"/>
    </row>
    <row r="356" spans="1:25" x14ac:dyDescent="0.2">
      <c r="A356" s="3">
        <v>837</v>
      </c>
      <c r="B356" s="4" t="s">
        <v>2190</v>
      </c>
      <c r="C356" s="3" t="s">
        <v>2191</v>
      </c>
      <c r="D356" s="3" t="s">
        <v>6504</v>
      </c>
      <c r="E356" s="3" t="s">
        <v>2192</v>
      </c>
      <c r="F356" s="3" t="s">
        <v>6505</v>
      </c>
      <c r="G356" s="3" t="s">
        <v>988</v>
      </c>
      <c r="H356" s="2"/>
      <c r="I356" s="2"/>
      <c r="J356" s="3" t="s">
        <v>393</v>
      </c>
      <c r="K356" s="3" t="s">
        <v>453</v>
      </c>
      <c r="L356" s="3" t="s">
        <v>453</v>
      </c>
      <c r="M356" s="2"/>
      <c r="N356" s="2"/>
      <c r="O356" s="3" t="s">
        <v>645</v>
      </c>
      <c r="P356" s="3" t="s">
        <v>71</v>
      </c>
      <c r="Q356" s="3" t="s">
        <v>5107</v>
      </c>
      <c r="R356" s="3" t="s">
        <v>396</v>
      </c>
      <c r="S356" s="3" t="s">
        <v>455</v>
      </c>
      <c r="T356" s="3" t="s">
        <v>2193</v>
      </c>
      <c r="U356" s="3" t="s">
        <v>43</v>
      </c>
      <c r="V356" s="3" t="s">
        <v>71</v>
      </c>
      <c r="W356" s="2"/>
      <c r="X356" s="2"/>
      <c r="Y356" s="2"/>
    </row>
    <row r="357" spans="1:25" x14ac:dyDescent="0.2">
      <c r="A357" s="3">
        <v>838</v>
      </c>
      <c r="B357" s="4" t="s">
        <v>2194</v>
      </c>
      <c r="C357" s="3" t="s">
        <v>2195</v>
      </c>
      <c r="D357" s="3" t="s">
        <v>6507</v>
      </c>
      <c r="E357" s="3" t="s">
        <v>2196</v>
      </c>
      <c r="F357" s="3" t="s">
        <v>6508</v>
      </c>
      <c r="G357" s="3" t="s">
        <v>988</v>
      </c>
      <c r="H357" s="2"/>
      <c r="I357" s="2"/>
      <c r="J357" s="3" t="s">
        <v>393</v>
      </c>
      <c r="K357" s="3" t="s">
        <v>453</v>
      </c>
      <c r="L357" s="3" t="s">
        <v>453</v>
      </c>
      <c r="M357" s="2"/>
      <c r="N357" s="2"/>
      <c r="O357" s="3" t="s">
        <v>39</v>
      </c>
      <c r="P357" s="3" t="s">
        <v>27</v>
      </c>
      <c r="Q357" s="3" t="s">
        <v>5079</v>
      </c>
      <c r="R357" s="3" t="s">
        <v>396</v>
      </c>
      <c r="S357" s="3" t="s">
        <v>405</v>
      </c>
      <c r="T357" s="3" t="s">
        <v>2197</v>
      </c>
      <c r="U357" s="3" t="s">
        <v>43</v>
      </c>
      <c r="V357" s="3" t="s">
        <v>27</v>
      </c>
      <c r="W357" s="2"/>
      <c r="X357" s="2"/>
      <c r="Y357" s="2"/>
    </row>
    <row r="358" spans="1:25" x14ac:dyDescent="0.2">
      <c r="A358" s="3">
        <v>839</v>
      </c>
      <c r="B358" s="4" t="s">
        <v>2198</v>
      </c>
      <c r="C358" s="3" t="s">
        <v>2199</v>
      </c>
      <c r="D358" s="3" t="s">
        <v>6510</v>
      </c>
      <c r="E358" s="3" t="s">
        <v>2200</v>
      </c>
      <c r="F358" s="3" t="s">
        <v>6511</v>
      </c>
      <c r="G358" s="3" t="s">
        <v>988</v>
      </c>
      <c r="H358" s="2"/>
      <c r="I358" s="2"/>
      <c r="J358" s="3" t="s">
        <v>393</v>
      </c>
      <c r="K358" s="3" t="s">
        <v>453</v>
      </c>
      <c r="L358" s="3" t="s">
        <v>453</v>
      </c>
      <c r="M358" s="2"/>
      <c r="N358" s="2"/>
      <c r="O358" s="3" t="s">
        <v>39</v>
      </c>
      <c r="P358" s="3" t="s">
        <v>27</v>
      </c>
      <c r="Q358" s="3" t="s">
        <v>5079</v>
      </c>
      <c r="R358" s="3" t="s">
        <v>396</v>
      </c>
      <c r="S358" s="3" t="s">
        <v>455</v>
      </c>
      <c r="T358" s="3" t="s">
        <v>2201</v>
      </c>
      <c r="U358" s="3" t="s">
        <v>43</v>
      </c>
      <c r="V358" s="3" t="s">
        <v>27</v>
      </c>
      <c r="W358" s="2"/>
      <c r="X358" s="2"/>
      <c r="Y358" s="2"/>
    </row>
    <row r="359" spans="1:25" x14ac:dyDescent="0.2">
      <c r="A359" s="3">
        <v>840</v>
      </c>
      <c r="B359" s="4" t="s">
        <v>2202</v>
      </c>
      <c r="C359" s="3" t="s">
        <v>2203</v>
      </c>
      <c r="D359" s="3" t="s">
        <v>6513</v>
      </c>
      <c r="E359" s="3" t="s">
        <v>2204</v>
      </c>
      <c r="F359" s="3" t="s">
        <v>6514</v>
      </c>
      <c r="G359" s="3" t="s">
        <v>988</v>
      </c>
      <c r="H359" s="2"/>
      <c r="I359" s="2"/>
      <c r="J359" s="3" t="s">
        <v>393</v>
      </c>
      <c r="K359" s="3" t="s">
        <v>453</v>
      </c>
      <c r="L359" s="3" t="s">
        <v>453</v>
      </c>
      <c r="M359" s="2"/>
      <c r="N359" s="2"/>
      <c r="O359" s="3" t="s">
        <v>426</v>
      </c>
      <c r="P359" s="3" t="s">
        <v>27</v>
      </c>
      <c r="Q359" s="3" t="s">
        <v>5079</v>
      </c>
      <c r="R359" s="3" t="s">
        <v>396</v>
      </c>
      <c r="S359" s="3" t="s">
        <v>405</v>
      </c>
      <c r="T359" s="3" t="s">
        <v>2205</v>
      </c>
      <c r="U359" s="3" t="s">
        <v>43</v>
      </c>
      <c r="V359" s="3" t="s">
        <v>27</v>
      </c>
      <c r="W359" s="2"/>
      <c r="X359" s="2"/>
      <c r="Y359" s="2"/>
    </row>
    <row r="360" spans="1:25" x14ac:dyDescent="0.2">
      <c r="A360" s="3">
        <v>841</v>
      </c>
      <c r="B360" s="4" t="s">
        <v>2206</v>
      </c>
      <c r="C360" s="3" t="s">
        <v>2207</v>
      </c>
      <c r="D360" s="3" t="s">
        <v>6516</v>
      </c>
      <c r="E360" s="3" t="s">
        <v>2208</v>
      </c>
      <c r="F360" s="3" t="s">
        <v>6517</v>
      </c>
      <c r="G360" s="3" t="s">
        <v>988</v>
      </c>
      <c r="H360" s="2"/>
      <c r="I360" s="2"/>
      <c r="J360" s="3" t="s">
        <v>393</v>
      </c>
      <c r="K360" s="3" t="s">
        <v>453</v>
      </c>
      <c r="L360" s="3" t="s">
        <v>453</v>
      </c>
      <c r="M360" s="2"/>
      <c r="N360" s="2"/>
      <c r="O360" s="3" t="s">
        <v>426</v>
      </c>
      <c r="P360" s="3" t="s">
        <v>71</v>
      </c>
      <c r="Q360" s="3" t="s">
        <v>5107</v>
      </c>
      <c r="R360" s="3" t="s">
        <v>396</v>
      </c>
      <c r="S360" s="3" t="s">
        <v>405</v>
      </c>
      <c r="T360" s="3" t="s">
        <v>2209</v>
      </c>
      <c r="U360" s="3" t="s">
        <v>43</v>
      </c>
      <c r="V360" s="3" t="s">
        <v>71</v>
      </c>
      <c r="W360" s="2"/>
      <c r="X360" s="2"/>
      <c r="Y360" s="2"/>
    </row>
    <row r="361" spans="1:25" x14ac:dyDescent="0.2">
      <c r="A361" s="3">
        <v>245</v>
      </c>
      <c r="B361" s="4" t="s">
        <v>2210</v>
      </c>
      <c r="C361" s="3" t="s">
        <v>2211</v>
      </c>
      <c r="D361" s="3" t="s">
        <v>6519</v>
      </c>
      <c r="E361" s="3" t="s">
        <v>2212</v>
      </c>
      <c r="F361" s="3" t="s">
        <v>6520</v>
      </c>
      <c r="G361" s="3" t="s">
        <v>2213</v>
      </c>
      <c r="H361" s="2"/>
      <c r="I361" s="2"/>
      <c r="J361" s="3" t="s">
        <v>393</v>
      </c>
      <c r="K361" s="3" t="s">
        <v>756</v>
      </c>
      <c r="L361" s="3" t="s">
        <v>756</v>
      </c>
      <c r="M361" s="2"/>
      <c r="N361" s="2"/>
      <c r="O361" s="3" t="s">
        <v>412</v>
      </c>
      <c r="P361" s="3" t="s">
        <v>2214</v>
      </c>
      <c r="Q361" s="3" t="s">
        <v>6521</v>
      </c>
      <c r="R361" s="3" t="s">
        <v>396</v>
      </c>
      <c r="S361" s="3" t="s">
        <v>413</v>
      </c>
      <c r="T361" s="3" t="s">
        <v>2215</v>
      </c>
      <c r="U361" s="3" t="s">
        <v>43</v>
      </c>
      <c r="V361" s="3" t="s">
        <v>1688</v>
      </c>
      <c r="W361" s="2"/>
      <c r="X361" s="2"/>
      <c r="Y361" s="2"/>
    </row>
    <row r="362" spans="1:25" x14ac:dyDescent="0.2">
      <c r="A362" s="3">
        <v>246</v>
      </c>
      <c r="B362" s="4" t="s">
        <v>2216</v>
      </c>
      <c r="C362" s="3" t="s">
        <v>2217</v>
      </c>
      <c r="D362" s="3" t="s">
        <v>6523</v>
      </c>
      <c r="E362" s="3" t="s">
        <v>2218</v>
      </c>
      <c r="F362" s="3" t="s">
        <v>6524</v>
      </c>
      <c r="G362" s="3" t="s">
        <v>2219</v>
      </c>
      <c r="H362" s="2"/>
      <c r="I362" s="2"/>
      <c r="J362" s="3" t="s">
        <v>393</v>
      </c>
      <c r="K362" s="3" t="s">
        <v>659</v>
      </c>
      <c r="L362" s="3" t="s">
        <v>659</v>
      </c>
      <c r="M362" s="2"/>
      <c r="N362" s="2"/>
      <c r="O362" s="3" t="s">
        <v>412</v>
      </c>
      <c r="P362" s="3" t="s">
        <v>2220</v>
      </c>
      <c r="Q362" s="3" t="s">
        <v>6525</v>
      </c>
      <c r="R362" s="3" t="s">
        <v>396</v>
      </c>
      <c r="S362" s="3" t="s">
        <v>413</v>
      </c>
      <c r="T362" s="3" t="s">
        <v>2215</v>
      </c>
      <c r="U362" s="3" t="s">
        <v>43</v>
      </c>
      <c r="V362" s="3" t="s">
        <v>1083</v>
      </c>
      <c r="W362" s="2"/>
      <c r="X362" s="2"/>
      <c r="Y362" s="2"/>
    </row>
    <row r="363" spans="1:25" x14ac:dyDescent="0.2">
      <c r="A363" s="3">
        <v>247</v>
      </c>
      <c r="B363" s="4" t="s">
        <v>2221</v>
      </c>
      <c r="C363" s="3" t="s">
        <v>2222</v>
      </c>
      <c r="D363" s="3" t="s">
        <v>6526</v>
      </c>
      <c r="E363" s="3" t="s">
        <v>2223</v>
      </c>
      <c r="F363" s="3" t="s">
        <v>6527</v>
      </c>
      <c r="G363" s="3" t="s">
        <v>552</v>
      </c>
      <c r="H363" s="2"/>
      <c r="I363" s="2"/>
      <c r="J363" s="3" t="s">
        <v>393</v>
      </c>
      <c r="K363" s="3" t="s">
        <v>659</v>
      </c>
      <c r="L363" s="3" t="s">
        <v>659</v>
      </c>
      <c r="M363" s="2"/>
      <c r="N363" s="2"/>
      <c r="O363" s="3" t="s">
        <v>26</v>
      </c>
      <c r="P363" s="3" t="s">
        <v>2224</v>
      </c>
      <c r="Q363" s="3" t="s">
        <v>6528</v>
      </c>
      <c r="R363" s="3" t="s">
        <v>396</v>
      </c>
      <c r="S363" s="3" t="s">
        <v>455</v>
      </c>
      <c r="T363" s="3" t="s">
        <v>2225</v>
      </c>
      <c r="U363" s="3" t="s">
        <v>43</v>
      </c>
      <c r="V363" s="3" t="s">
        <v>2226</v>
      </c>
      <c r="W363" s="2"/>
      <c r="X363" s="2"/>
      <c r="Y363" s="2"/>
    </row>
    <row r="364" spans="1:25" x14ac:dyDescent="0.2">
      <c r="A364" s="3">
        <v>248</v>
      </c>
      <c r="B364" s="4" t="s">
        <v>2227</v>
      </c>
      <c r="C364" s="3" t="s">
        <v>2228</v>
      </c>
      <c r="D364" s="3" t="s">
        <v>6531</v>
      </c>
      <c r="E364" s="3" t="s">
        <v>2229</v>
      </c>
      <c r="F364" s="3" t="s">
        <v>6532</v>
      </c>
      <c r="G364" s="3" t="s">
        <v>2188</v>
      </c>
      <c r="H364" s="2"/>
      <c r="I364" s="2"/>
      <c r="J364" s="3" t="s">
        <v>393</v>
      </c>
      <c r="K364" s="3" t="s">
        <v>659</v>
      </c>
      <c r="L364" s="3" t="s">
        <v>659</v>
      </c>
      <c r="M364" s="2"/>
      <c r="N364" s="2"/>
      <c r="O364" s="3" t="s">
        <v>26</v>
      </c>
      <c r="P364" s="3" t="s">
        <v>395</v>
      </c>
      <c r="Q364" s="3" t="s">
        <v>5324</v>
      </c>
      <c r="R364" s="3" t="s">
        <v>396</v>
      </c>
      <c r="S364" s="3" t="s">
        <v>405</v>
      </c>
      <c r="T364" s="3" t="s">
        <v>2230</v>
      </c>
      <c r="U364" s="3" t="s">
        <v>43</v>
      </c>
      <c r="V364" s="3" t="s">
        <v>1109</v>
      </c>
      <c r="W364" s="2"/>
      <c r="X364" s="2"/>
      <c r="Y364" s="2"/>
    </row>
    <row r="365" spans="1:25" x14ac:dyDescent="0.2">
      <c r="A365" s="3">
        <v>249</v>
      </c>
      <c r="B365" s="4" t="s">
        <v>2231</v>
      </c>
      <c r="C365" s="3" t="s">
        <v>2232</v>
      </c>
      <c r="D365" s="3" t="s">
        <v>6534</v>
      </c>
      <c r="E365" s="3" t="s">
        <v>2233</v>
      </c>
      <c r="F365" s="3" t="s">
        <v>6535</v>
      </c>
      <c r="G365" s="3" t="s">
        <v>2234</v>
      </c>
      <c r="H365" s="2"/>
      <c r="I365" s="2"/>
      <c r="J365" s="3" t="s">
        <v>393</v>
      </c>
      <c r="K365" s="3" t="s">
        <v>659</v>
      </c>
      <c r="L365" s="3" t="s">
        <v>659</v>
      </c>
      <c r="M365" s="2"/>
      <c r="N365" s="2"/>
      <c r="O365" s="3" t="s">
        <v>26</v>
      </c>
      <c r="P365" s="3" t="s">
        <v>27</v>
      </c>
      <c r="Q365" s="3" t="s">
        <v>5079</v>
      </c>
      <c r="R365" s="3" t="s">
        <v>396</v>
      </c>
      <c r="S365" s="3" t="s">
        <v>405</v>
      </c>
      <c r="T365" s="3" t="s">
        <v>2235</v>
      </c>
      <c r="U365" s="3" t="s">
        <v>43</v>
      </c>
      <c r="V365" s="3" t="s">
        <v>27</v>
      </c>
      <c r="W365" s="2"/>
      <c r="X365" s="2"/>
      <c r="Y365" s="2"/>
    </row>
    <row r="366" spans="1:25" x14ac:dyDescent="0.2">
      <c r="A366" s="3">
        <v>251</v>
      </c>
      <c r="B366" s="4" t="s">
        <v>2236</v>
      </c>
      <c r="C366" s="3" t="s">
        <v>2237</v>
      </c>
      <c r="D366" s="3" t="s">
        <v>6537</v>
      </c>
      <c r="E366" s="3" t="s">
        <v>2238</v>
      </c>
      <c r="F366" s="3" t="s">
        <v>6538</v>
      </c>
      <c r="G366" s="3" t="s">
        <v>2239</v>
      </c>
      <c r="H366" s="2"/>
      <c r="I366" s="2"/>
      <c r="J366" s="3" t="s">
        <v>393</v>
      </c>
      <c r="K366" s="3" t="s">
        <v>659</v>
      </c>
      <c r="L366" s="3" t="s">
        <v>659</v>
      </c>
      <c r="M366" s="3" t="s">
        <v>1324</v>
      </c>
      <c r="N366" s="2"/>
      <c r="O366" s="3" t="s">
        <v>412</v>
      </c>
      <c r="P366" s="3" t="s">
        <v>1416</v>
      </c>
      <c r="Q366" s="3" t="s">
        <v>5965</v>
      </c>
      <c r="R366" s="3" t="s">
        <v>396</v>
      </c>
      <c r="S366" s="3" t="s">
        <v>405</v>
      </c>
      <c r="T366" s="3" t="s">
        <v>2240</v>
      </c>
      <c r="U366" s="3" t="s">
        <v>43</v>
      </c>
      <c r="V366" s="3" t="s">
        <v>1416</v>
      </c>
      <c r="W366" s="2"/>
      <c r="X366" s="2"/>
      <c r="Y366" s="2"/>
    </row>
    <row r="367" spans="1:25" x14ac:dyDescent="0.2">
      <c r="A367" s="3">
        <v>253</v>
      </c>
      <c r="B367" s="4" t="s">
        <v>2241</v>
      </c>
      <c r="C367" s="3" t="s">
        <v>2242</v>
      </c>
      <c r="D367" s="3" t="s">
        <v>6540</v>
      </c>
      <c r="E367" s="3" t="s">
        <v>2243</v>
      </c>
      <c r="F367" s="3" t="s">
        <v>6541</v>
      </c>
      <c r="G367" s="3" t="s">
        <v>688</v>
      </c>
      <c r="H367" s="2"/>
      <c r="I367" s="2"/>
      <c r="J367" s="3" t="s">
        <v>393</v>
      </c>
      <c r="K367" s="3" t="s">
        <v>659</v>
      </c>
      <c r="L367" s="3" t="s">
        <v>659</v>
      </c>
      <c r="M367" s="2"/>
      <c r="N367" s="6" t="s">
        <v>2244</v>
      </c>
      <c r="O367" s="3" t="s">
        <v>412</v>
      </c>
      <c r="P367" s="3" t="s">
        <v>2245</v>
      </c>
      <c r="Q367" s="3" t="s">
        <v>5548</v>
      </c>
      <c r="R367" s="3" t="s">
        <v>396</v>
      </c>
      <c r="S367" s="3" t="s">
        <v>413</v>
      </c>
      <c r="T367" s="3" t="s">
        <v>2246</v>
      </c>
      <c r="U367" s="3" t="s">
        <v>43</v>
      </c>
      <c r="V367" s="3" t="s">
        <v>71</v>
      </c>
      <c r="W367" s="2"/>
      <c r="X367" s="2"/>
      <c r="Y367" s="2"/>
    </row>
    <row r="368" spans="1:25" x14ac:dyDescent="0.2">
      <c r="A368" s="3">
        <v>254</v>
      </c>
      <c r="B368" s="4" t="s">
        <v>2247</v>
      </c>
      <c r="C368" s="3" t="s">
        <v>2248</v>
      </c>
      <c r="D368" s="3" t="s">
        <v>6543</v>
      </c>
      <c r="E368" s="3" t="s">
        <v>2249</v>
      </c>
      <c r="F368" s="3" t="s">
        <v>6544</v>
      </c>
      <c r="G368" s="3" t="s">
        <v>955</v>
      </c>
      <c r="H368" s="2"/>
      <c r="I368" s="2"/>
      <c r="J368" s="3" t="s">
        <v>393</v>
      </c>
      <c r="K368" s="3" t="s">
        <v>2250</v>
      </c>
      <c r="L368" s="3" t="s">
        <v>6545</v>
      </c>
      <c r="M368" s="2"/>
      <c r="N368" s="2"/>
      <c r="O368" s="3" t="s">
        <v>39</v>
      </c>
      <c r="P368" s="3" t="s">
        <v>989</v>
      </c>
      <c r="Q368" s="3" t="s">
        <v>5079</v>
      </c>
      <c r="R368" s="3" t="s">
        <v>396</v>
      </c>
      <c r="S368" s="3" t="s">
        <v>397</v>
      </c>
      <c r="T368" s="3" t="s">
        <v>2251</v>
      </c>
      <c r="U368" s="3" t="s">
        <v>43</v>
      </c>
      <c r="V368" s="3" t="s">
        <v>27</v>
      </c>
      <c r="W368" s="2"/>
      <c r="X368" s="2"/>
      <c r="Y368" s="2"/>
    </row>
    <row r="369" spans="1:25" x14ac:dyDescent="0.2">
      <c r="A369" s="3">
        <v>2228</v>
      </c>
      <c r="B369" s="4" t="s">
        <v>2252</v>
      </c>
      <c r="C369" s="3" t="s">
        <v>2253</v>
      </c>
      <c r="D369" s="3" t="s">
        <v>6547</v>
      </c>
      <c r="E369" s="3" t="s">
        <v>2254</v>
      </c>
      <c r="F369" s="3" t="s">
        <v>6548</v>
      </c>
      <c r="G369" s="3" t="s">
        <v>2255</v>
      </c>
      <c r="H369" s="3" t="s">
        <v>134</v>
      </c>
      <c r="I369" s="3" t="s">
        <v>134</v>
      </c>
      <c r="J369" s="3" t="s">
        <v>393</v>
      </c>
      <c r="K369" s="3" t="s">
        <v>1258</v>
      </c>
      <c r="L369" s="3" t="s">
        <v>1258</v>
      </c>
      <c r="M369" s="2"/>
      <c r="N369" s="2"/>
      <c r="O369" s="3" t="s">
        <v>412</v>
      </c>
      <c r="P369" s="3" t="s">
        <v>51</v>
      </c>
      <c r="Q369" s="3" t="s">
        <v>5095</v>
      </c>
      <c r="R369" s="3" t="s">
        <v>396</v>
      </c>
      <c r="S369" s="3" t="s">
        <v>413</v>
      </c>
      <c r="T369" s="3" t="s">
        <v>2256</v>
      </c>
      <c r="U369" s="3" t="s">
        <v>652</v>
      </c>
      <c r="V369" s="3" t="s">
        <v>2111</v>
      </c>
      <c r="W369" s="2"/>
      <c r="X369" s="2"/>
      <c r="Y369" s="2"/>
    </row>
    <row r="370" spans="1:25" x14ac:dyDescent="0.2">
      <c r="A370" s="3">
        <v>2229</v>
      </c>
      <c r="B370" s="4" t="s">
        <v>2257</v>
      </c>
      <c r="C370" s="3" t="s">
        <v>2258</v>
      </c>
      <c r="D370" s="3" t="s">
        <v>6550</v>
      </c>
      <c r="E370" s="3" t="s">
        <v>2259</v>
      </c>
      <c r="F370" s="3" t="s">
        <v>6551</v>
      </c>
      <c r="G370" s="3" t="s">
        <v>2260</v>
      </c>
      <c r="H370" s="3" t="s">
        <v>327</v>
      </c>
      <c r="I370" s="3" t="s">
        <v>327</v>
      </c>
      <c r="J370" s="3" t="s">
        <v>393</v>
      </c>
      <c r="K370" s="3" t="s">
        <v>1258</v>
      </c>
      <c r="L370" s="3" t="s">
        <v>1258</v>
      </c>
      <c r="M370" s="2"/>
      <c r="N370" s="2"/>
      <c r="O370" s="3" t="s">
        <v>412</v>
      </c>
      <c r="P370" s="3" t="s">
        <v>212</v>
      </c>
      <c r="Q370" s="3" t="s">
        <v>5193</v>
      </c>
      <c r="R370" s="3" t="s">
        <v>396</v>
      </c>
      <c r="S370" s="3" t="s">
        <v>405</v>
      </c>
      <c r="T370" s="3" t="s">
        <v>2261</v>
      </c>
      <c r="U370" s="3" t="s">
        <v>43</v>
      </c>
      <c r="V370" s="3" t="s">
        <v>212</v>
      </c>
      <c r="W370" s="2"/>
      <c r="X370" s="2"/>
      <c r="Y370" s="2"/>
    </row>
    <row r="371" spans="1:25" x14ac:dyDescent="0.2">
      <c r="A371" s="3">
        <v>787</v>
      </c>
      <c r="B371" s="4" t="s">
        <v>2262</v>
      </c>
      <c r="C371" s="3" t="s">
        <v>2263</v>
      </c>
      <c r="D371" s="3" t="s">
        <v>6553</v>
      </c>
      <c r="E371" s="3" t="s">
        <v>2264</v>
      </c>
      <c r="F371" s="3" t="s">
        <v>6554</v>
      </c>
      <c r="G371" s="3" t="s">
        <v>2265</v>
      </c>
      <c r="H371" s="3" t="s">
        <v>437</v>
      </c>
      <c r="I371" s="3" t="s">
        <v>437</v>
      </c>
      <c r="J371" s="3" t="s">
        <v>393</v>
      </c>
      <c r="K371" s="3" t="s">
        <v>491</v>
      </c>
      <c r="L371" s="3" t="s">
        <v>491</v>
      </c>
      <c r="M371" s="2"/>
      <c r="N371" s="2"/>
      <c r="O371" s="3" t="s">
        <v>39</v>
      </c>
      <c r="P371" s="3" t="s">
        <v>60</v>
      </c>
      <c r="Q371" s="3" t="s">
        <v>5100</v>
      </c>
      <c r="R371" s="3" t="s">
        <v>396</v>
      </c>
      <c r="S371" s="3" t="s">
        <v>455</v>
      </c>
      <c r="T371" s="3" t="s">
        <v>2266</v>
      </c>
      <c r="U371" s="2"/>
      <c r="V371" s="3" t="s">
        <v>60</v>
      </c>
      <c r="W371" s="2"/>
      <c r="X371" s="2"/>
      <c r="Y371" s="2"/>
    </row>
    <row r="372" spans="1:25" x14ac:dyDescent="0.2">
      <c r="A372" s="3">
        <v>581</v>
      </c>
      <c r="B372" s="4" t="s">
        <v>2267</v>
      </c>
      <c r="C372" s="3" t="s">
        <v>2268</v>
      </c>
      <c r="D372" s="3" t="s">
        <v>6556</v>
      </c>
      <c r="E372" s="3" t="s">
        <v>2269</v>
      </c>
      <c r="F372" s="3" t="s">
        <v>6557</v>
      </c>
      <c r="G372" s="3" t="s">
        <v>946</v>
      </c>
      <c r="H372" s="3" t="s">
        <v>946</v>
      </c>
      <c r="I372" s="3" t="s">
        <v>946</v>
      </c>
      <c r="J372" s="3" t="s">
        <v>393</v>
      </c>
      <c r="K372" s="3" t="s">
        <v>453</v>
      </c>
      <c r="L372" s="3" t="s">
        <v>453</v>
      </c>
      <c r="M372" s="2"/>
      <c r="N372" s="2"/>
      <c r="O372" s="3" t="s">
        <v>426</v>
      </c>
      <c r="P372" s="3" t="s">
        <v>395</v>
      </c>
      <c r="Q372" s="3" t="s">
        <v>5324</v>
      </c>
      <c r="R372" s="3" t="s">
        <v>396</v>
      </c>
      <c r="S372" s="3" t="s">
        <v>405</v>
      </c>
      <c r="T372" s="3" t="s">
        <v>2270</v>
      </c>
      <c r="U372" s="3" t="s">
        <v>43</v>
      </c>
      <c r="V372" s="3" t="s">
        <v>1109</v>
      </c>
      <c r="W372" s="2"/>
      <c r="X372" s="2"/>
      <c r="Y372" s="2"/>
    </row>
    <row r="373" spans="1:25" x14ac:dyDescent="0.2">
      <c r="A373" s="3">
        <v>276</v>
      </c>
      <c r="B373" s="4" t="s">
        <v>2271</v>
      </c>
      <c r="C373" s="3" t="s">
        <v>2272</v>
      </c>
      <c r="D373" s="3" t="s">
        <v>6559</v>
      </c>
      <c r="E373" s="3" t="s">
        <v>2273</v>
      </c>
      <c r="F373" s="3" t="s">
        <v>6560</v>
      </c>
      <c r="G373" s="3" t="s">
        <v>1692</v>
      </c>
      <c r="H373" s="3" t="s">
        <v>2274</v>
      </c>
      <c r="I373" s="3" t="s">
        <v>994</v>
      </c>
      <c r="J373" s="3" t="s">
        <v>393</v>
      </c>
      <c r="K373" s="3" t="s">
        <v>453</v>
      </c>
      <c r="L373" s="3" t="s">
        <v>453</v>
      </c>
      <c r="M373" s="2"/>
      <c r="N373" s="2"/>
      <c r="O373" s="3" t="s">
        <v>426</v>
      </c>
      <c r="P373" s="3" t="s">
        <v>2275</v>
      </c>
      <c r="Q373" s="3" t="s">
        <v>6561</v>
      </c>
      <c r="R373" s="3" t="s">
        <v>396</v>
      </c>
      <c r="S373" s="3" t="s">
        <v>413</v>
      </c>
      <c r="T373" s="3" t="s">
        <v>2276</v>
      </c>
      <c r="U373" s="3" t="s">
        <v>43</v>
      </c>
      <c r="V373" s="3" t="s">
        <v>2277</v>
      </c>
      <c r="W373" s="2"/>
      <c r="X373" s="2"/>
      <c r="Y373" s="2"/>
    </row>
    <row r="374" spans="1:25" x14ac:dyDescent="0.2">
      <c r="A374" s="3">
        <v>277</v>
      </c>
      <c r="B374" s="4" t="s">
        <v>2278</v>
      </c>
      <c r="C374" s="3" t="s">
        <v>2279</v>
      </c>
      <c r="D374" s="3" t="s">
        <v>6564</v>
      </c>
      <c r="E374" s="3" t="s">
        <v>2280</v>
      </c>
      <c r="F374" s="3" t="s">
        <v>6565</v>
      </c>
      <c r="G374" s="3" t="s">
        <v>705</v>
      </c>
      <c r="H374" s="2"/>
      <c r="I374" s="2"/>
      <c r="J374" s="3" t="s">
        <v>393</v>
      </c>
      <c r="K374" s="3" t="s">
        <v>453</v>
      </c>
      <c r="L374" s="3" t="s">
        <v>453</v>
      </c>
      <c r="M374" s="2"/>
      <c r="N374" s="2"/>
      <c r="O374" s="3" t="s">
        <v>426</v>
      </c>
      <c r="P374" s="3" t="s">
        <v>2281</v>
      </c>
      <c r="Q374" s="3" t="s">
        <v>6566</v>
      </c>
      <c r="R374" s="3" t="s">
        <v>396</v>
      </c>
      <c r="S374" s="3" t="s">
        <v>413</v>
      </c>
      <c r="T374" s="3" t="s">
        <v>2282</v>
      </c>
      <c r="U374" s="3" t="s">
        <v>43</v>
      </c>
      <c r="V374" s="3" t="s">
        <v>1943</v>
      </c>
      <c r="W374" s="2"/>
      <c r="X374" s="2"/>
      <c r="Y374" s="2"/>
    </row>
    <row r="375" spans="1:25" x14ac:dyDescent="0.2">
      <c r="A375" s="3">
        <v>273</v>
      </c>
      <c r="B375" s="4" t="s">
        <v>2283</v>
      </c>
      <c r="C375" s="3" t="s">
        <v>2284</v>
      </c>
      <c r="D375" s="3" t="s">
        <v>6568</v>
      </c>
      <c r="E375" s="3" t="s">
        <v>2285</v>
      </c>
      <c r="F375" s="3" t="s">
        <v>6569</v>
      </c>
      <c r="G375" s="3" t="s">
        <v>751</v>
      </c>
      <c r="H375" s="2"/>
      <c r="I375" s="2"/>
      <c r="J375" s="3" t="s">
        <v>393</v>
      </c>
      <c r="K375" s="3" t="s">
        <v>453</v>
      </c>
      <c r="L375" s="3" t="s">
        <v>453</v>
      </c>
      <c r="M375" s="2"/>
      <c r="N375" s="2"/>
      <c r="O375" s="3" t="s">
        <v>426</v>
      </c>
      <c r="P375" s="3" t="s">
        <v>989</v>
      </c>
      <c r="Q375" s="3" t="s">
        <v>5079</v>
      </c>
      <c r="R375" s="3" t="s">
        <v>396</v>
      </c>
      <c r="S375" s="3" t="s">
        <v>413</v>
      </c>
      <c r="T375" s="3" t="s">
        <v>2286</v>
      </c>
      <c r="U375" s="2"/>
      <c r="V375" s="3" t="s">
        <v>27</v>
      </c>
      <c r="W375" s="2"/>
      <c r="X375" s="2"/>
      <c r="Y375" s="2"/>
    </row>
    <row r="376" spans="1:25" x14ac:dyDescent="0.2">
      <c r="A376" s="3">
        <v>266</v>
      </c>
      <c r="B376" s="4" t="s">
        <v>2287</v>
      </c>
      <c r="C376" s="3" t="s">
        <v>2288</v>
      </c>
      <c r="D376" s="3" t="s">
        <v>6571</v>
      </c>
      <c r="E376" s="3" t="s">
        <v>2289</v>
      </c>
      <c r="F376" s="3" t="s">
        <v>6572</v>
      </c>
      <c r="G376" s="3" t="s">
        <v>789</v>
      </c>
      <c r="H376" s="2"/>
      <c r="I376" s="2"/>
      <c r="J376" s="3" t="s">
        <v>393</v>
      </c>
      <c r="K376" s="3" t="s">
        <v>453</v>
      </c>
      <c r="L376" s="3" t="s">
        <v>453</v>
      </c>
      <c r="M376" s="2"/>
      <c r="N376" s="2"/>
      <c r="O376" s="3" t="s">
        <v>426</v>
      </c>
      <c r="P376" s="3" t="s">
        <v>27</v>
      </c>
      <c r="Q376" s="3" t="s">
        <v>5079</v>
      </c>
      <c r="R376" s="3" t="s">
        <v>396</v>
      </c>
      <c r="S376" s="3" t="s">
        <v>413</v>
      </c>
      <c r="T376" s="3" t="s">
        <v>2290</v>
      </c>
      <c r="U376" s="3" t="s">
        <v>43</v>
      </c>
      <c r="V376" s="3" t="s">
        <v>27</v>
      </c>
      <c r="W376" s="2"/>
      <c r="X376" s="2"/>
      <c r="Y376" s="2"/>
    </row>
    <row r="377" spans="1:25" x14ac:dyDescent="0.2">
      <c r="A377" s="3">
        <v>268</v>
      </c>
      <c r="B377" s="4" t="s">
        <v>2291</v>
      </c>
      <c r="C377" s="3" t="s">
        <v>2292</v>
      </c>
      <c r="D377" s="3" t="s">
        <v>6574</v>
      </c>
      <c r="E377" s="3" t="s">
        <v>2293</v>
      </c>
      <c r="F377" s="3" t="s">
        <v>6575</v>
      </c>
      <c r="G377" s="3" t="s">
        <v>1098</v>
      </c>
      <c r="H377" s="2"/>
      <c r="I377" s="2"/>
      <c r="J377" s="3" t="s">
        <v>393</v>
      </c>
      <c r="K377" s="3" t="s">
        <v>453</v>
      </c>
      <c r="L377" s="3" t="s">
        <v>453</v>
      </c>
      <c r="M377" s="2"/>
      <c r="N377" s="2"/>
      <c r="O377" s="3" t="s">
        <v>26</v>
      </c>
      <c r="P377" s="3" t="s">
        <v>27</v>
      </c>
      <c r="Q377" s="3" t="s">
        <v>5079</v>
      </c>
      <c r="R377" s="3" t="s">
        <v>396</v>
      </c>
      <c r="S377" s="3" t="s">
        <v>413</v>
      </c>
      <c r="T377" s="3" t="s">
        <v>2294</v>
      </c>
      <c r="U377" s="3" t="s">
        <v>43</v>
      </c>
      <c r="V377" s="3" t="s">
        <v>27</v>
      </c>
      <c r="W377" s="2"/>
      <c r="X377" s="2"/>
      <c r="Y377" s="2"/>
    </row>
    <row r="378" spans="1:25" x14ac:dyDescent="0.2">
      <c r="A378" s="3">
        <v>270</v>
      </c>
      <c r="B378" s="4" t="s">
        <v>2295</v>
      </c>
      <c r="C378" s="3" t="s">
        <v>2296</v>
      </c>
      <c r="D378" s="3" t="s">
        <v>6577</v>
      </c>
      <c r="E378" s="3" t="s">
        <v>2297</v>
      </c>
      <c r="F378" s="3" t="s">
        <v>6578</v>
      </c>
      <c r="G378" s="3" t="s">
        <v>913</v>
      </c>
      <c r="H378" s="2"/>
      <c r="I378" s="2"/>
      <c r="J378" s="3" t="s">
        <v>393</v>
      </c>
      <c r="K378" s="3" t="s">
        <v>453</v>
      </c>
      <c r="L378" s="3" t="s">
        <v>453</v>
      </c>
      <c r="M378" s="2"/>
      <c r="N378" s="2"/>
      <c r="O378" s="3" t="s">
        <v>426</v>
      </c>
      <c r="P378" s="3" t="s">
        <v>395</v>
      </c>
      <c r="Q378" s="3" t="s">
        <v>5324</v>
      </c>
      <c r="R378" s="3" t="s">
        <v>396</v>
      </c>
      <c r="S378" s="3" t="s">
        <v>413</v>
      </c>
      <c r="T378" s="3" t="s">
        <v>2298</v>
      </c>
      <c r="U378" s="3" t="s">
        <v>43</v>
      </c>
      <c r="V378" s="3" t="s">
        <v>395</v>
      </c>
      <c r="W378" s="2"/>
      <c r="X378" s="2"/>
      <c r="Y378" s="2"/>
    </row>
    <row r="379" spans="1:25" x14ac:dyDescent="0.2">
      <c r="A379" s="3">
        <v>271</v>
      </c>
      <c r="B379" s="4" t="s">
        <v>2299</v>
      </c>
      <c r="C379" s="3" t="s">
        <v>2300</v>
      </c>
      <c r="D379" s="3" t="s">
        <v>6580</v>
      </c>
      <c r="E379" s="3" t="s">
        <v>2301</v>
      </c>
      <c r="F379" s="3" t="s">
        <v>6581</v>
      </c>
      <c r="G379" s="3" t="s">
        <v>1292</v>
      </c>
      <c r="H379" s="2"/>
      <c r="I379" s="2"/>
      <c r="J379" s="3" t="s">
        <v>393</v>
      </c>
      <c r="K379" s="3" t="s">
        <v>453</v>
      </c>
      <c r="L379" s="3" t="s">
        <v>453</v>
      </c>
      <c r="M379" s="3" t="s">
        <v>1820</v>
      </c>
      <c r="N379" s="2"/>
      <c r="O379" s="3" t="s">
        <v>26</v>
      </c>
      <c r="P379" s="3" t="s">
        <v>2302</v>
      </c>
      <c r="Q379" s="3" t="s">
        <v>6582</v>
      </c>
      <c r="R379" s="3" t="s">
        <v>396</v>
      </c>
      <c r="S379" s="3" t="s">
        <v>413</v>
      </c>
      <c r="T379" s="3" t="s">
        <v>2303</v>
      </c>
      <c r="U379" s="3" t="s">
        <v>43</v>
      </c>
      <c r="V379" s="3" t="s">
        <v>1083</v>
      </c>
      <c r="W379" s="2"/>
      <c r="X379" s="2"/>
      <c r="Y379" s="2"/>
    </row>
    <row r="380" spans="1:25" x14ac:dyDescent="0.2">
      <c r="A380" s="3">
        <v>1024</v>
      </c>
      <c r="B380" s="4" t="s">
        <v>2304</v>
      </c>
      <c r="C380" s="3" t="s">
        <v>2305</v>
      </c>
      <c r="D380" s="3" t="s">
        <v>6584</v>
      </c>
      <c r="E380" s="3" t="s">
        <v>2306</v>
      </c>
      <c r="F380" s="3" t="s">
        <v>6585</v>
      </c>
      <c r="G380" s="3" t="s">
        <v>90</v>
      </c>
      <c r="H380" s="2"/>
      <c r="I380" s="2"/>
      <c r="J380" s="3" t="s">
        <v>393</v>
      </c>
      <c r="K380" s="3" t="s">
        <v>2307</v>
      </c>
      <c r="L380" s="3" t="s">
        <v>6586</v>
      </c>
      <c r="M380" s="2"/>
      <c r="N380" s="2"/>
      <c r="O380" s="3" t="s">
        <v>26</v>
      </c>
      <c r="P380" s="3" t="s">
        <v>60</v>
      </c>
      <c r="Q380" s="3" t="s">
        <v>5100</v>
      </c>
      <c r="R380" s="3" t="s">
        <v>396</v>
      </c>
      <c r="S380" s="3" t="s">
        <v>29</v>
      </c>
      <c r="T380" s="3" t="s">
        <v>1694</v>
      </c>
      <c r="U380" s="3" t="s">
        <v>2308</v>
      </c>
      <c r="V380" s="3" t="s">
        <v>60</v>
      </c>
      <c r="W380" s="3" t="s">
        <v>2309</v>
      </c>
      <c r="X380" s="2"/>
      <c r="Y380" s="2"/>
    </row>
    <row r="381" spans="1:25" x14ac:dyDescent="0.2">
      <c r="A381" s="3">
        <v>232</v>
      </c>
      <c r="B381" s="4" t="s">
        <v>2310</v>
      </c>
      <c r="C381" s="3" t="s">
        <v>2311</v>
      </c>
      <c r="D381" s="3" t="s">
        <v>6589</v>
      </c>
      <c r="E381" s="3" t="s">
        <v>2312</v>
      </c>
      <c r="F381" s="3" t="s">
        <v>6590</v>
      </c>
      <c r="G381" s="3" t="s">
        <v>1002</v>
      </c>
      <c r="H381" s="2"/>
      <c r="I381" s="2"/>
      <c r="J381" s="3" t="s">
        <v>393</v>
      </c>
      <c r="K381" s="3" t="s">
        <v>2313</v>
      </c>
      <c r="L381" s="3" t="s">
        <v>6591</v>
      </c>
      <c r="M381" s="2"/>
      <c r="N381" s="2"/>
      <c r="O381" s="3" t="s">
        <v>39</v>
      </c>
      <c r="P381" s="3" t="s">
        <v>40</v>
      </c>
      <c r="Q381" s="3" t="s">
        <v>5088</v>
      </c>
      <c r="R381" s="3" t="s">
        <v>396</v>
      </c>
      <c r="S381" s="3" t="s">
        <v>2314</v>
      </c>
      <c r="T381" s="3" t="s">
        <v>2315</v>
      </c>
      <c r="U381" s="3" t="s">
        <v>43</v>
      </c>
      <c r="V381" s="3" t="s">
        <v>2316</v>
      </c>
      <c r="W381" s="2"/>
      <c r="X381" s="2"/>
      <c r="Y381" s="2"/>
    </row>
    <row r="382" spans="1:25" x14ac:dyDescent="0.2">
      <c r="A382" s="3">
        <v>250</v>
      </c>
      <c r="B382" s="4" t="s">
        <v>2317</v>
      </c>
      <c r="C382" s="3" t="s">
        <v>2318</v>
      </c>
      <c r="D382" s="3" t="s">
        <v>6595</v>
      </c>
      <c r="E382" s="3" t="s">
        <v>2319</v>
      </c>
      <c r="F382" s="3" t="s">
        <v>6596</v>
      </c>
      <c r="G382" s="3" t="s">
        <v>2234</v>
      </c>
      <c r="H382" s="2"/>
      <c r="I382" s="2"/>
      <c r="J382" s="3" t="s">
        <v>393</v>
      </c>
      <c r="K382" s="3" t="s">
        <v>659</v>
      </c>
      <c r="L382" s="3" t="s">
        <v>659</v>
      </c>
      <c r="M382" s="2"/>
      <c r="N382" s="2"/>
      <c r="O382" s="3" t="s">
        <v>26</v>
      </c>
      <c r="P382" s="3" t="s">
        <v>2320</v>
      </c>
      <c r="Q382" s="3" t="s">
        <v>6597</v>
      </c>
      <c r="R382" s="3" t="s">
        <v>396</v>
      </c>
      <c r="S382" s="3" t="s">
        <v>405</v>
      </c>
      <c r="T382" s="3" t="s">
        <v>2321</v>
      </c>
      <c r="U382" s="3" t="s">
        <v>2322</v>
      </c>
      <c r="V382" s="3" t="s">
        <v>2323</v>
      </c>
      <c r="W382" s="2"/>
      <c r="X382" s="2"/>
      <c r="Y382" s="2"/>
    </row>
    <row r="383" spans="1:25" x14ac:dyDescent="0.2">
      <c r="A383" s="3">
        <v>252</v>
      </c>
      <c r="B383" s="4" t="s">
        <v>2324</v>
      </c>
      <c r="C383" s="3" t="s">
        <v>2325</v>
      </c>
      <c r="D383" s="3" t="s">
        <v>6600</v>
      </c>
      <c r="E383" s="3" t="s">
        <v>2326</v>
      </c>
      <c r="F383" s="3" t="s">
        <v>6601</v>
      </c>
      <c r="G383" s="3" t="s">
        <v>2327</v>
      </c>
      <c r="H383" s="2"/>
      <c r="I383" s="2"/>
      <c r="J383" s="3" t="s">
        <v>393</v>
      </c>
      <c r="K383" s="3" t="s">
        <v>659</v>
      </c>
      <c r="L383" s="3" t="s">
        <v>659</v>
      </c>
      <c r="M383" s="2"/>
      <c r="N383" s="2"/>
      <c r="O383" s="3" t="s">
        <v>493</v>
      </c>
      <c r="P383" s="3" t="s">
        <v>2328</v>
      </c>
      <c r="Q383" s="3" t="s">
        <v>6602</v>
      </c>
      <c r="R383" s="3" t="s">
        <v>396</v>
      </c>
      <c r="S383" s="3" t="s">
        <v>405</v>
      </c>
      <c r="T383" s="3" t="s">
        <v>2329</v>
      </c>
      <c r="U383" s="3" t="s">
        <v>43</v>
      </c>
      <c r="V383" s="3" t="s">
        <v>2330</v>
      </c>
      <c r="W383" s="2"/>
      <c r="X383" s="2"/>
      <c r="Y383" s="2"/>
    </row>
    <row r="384" spans="1:25" x14ac:dyDescent="0.2">
      <c r="A384" s="3">
        <v>255</v>
      </c>
      <c r="B384" s="4" t="s">
        <v>2331</v>
      </c>
      <c r="C384" s="3" t="s">
        <v>2332</v>
      </c>
      <c r="D384" s="3" t="s">
        <v>6604</v>
      </c>
      <c r="E384" s="3" t="s">
        <v>2333</v>
      </c>
      <c r="F384" s="3" t="s">
        <v>6605</v>
      </c>
      <c r="G384" s="3" t="s">
        <v>1037</v>
      </c>
      <c r="H384" s="2"/>
      <c r="I384" s="2"/>
      <c r="J384" s="3" t="s">
        <v>393</v>
      </c>
      <c r="K384" s="3" t="s">
        <v>2334</v>
      </c>
      <c r="L384" s="3" t="s">
        <v>6606</v>
      </c>
      <c r="M384" s="2"/>
      <c r="N384" s="2"/>
      <c r="O384" s="3" t="s">
        <v>26</v>
      </c>
      <c r="P384" s="3" t="s">
        <v>989</v>
      </c>
      <c r="Q384" s="3" t="s">
        <v>5079</v>
      </c>
      <c r="R384" s="3" t="s">
        <v>396</v>
      </c>
      <c r="S384" s="3" t="s">
        <v>455</v>
      </c>
      <c r="T384" s="3" t="s">
        <v>2335</v>
      </c>
      <c r="U384" s="3" t="s">
        <v>2308</v>
      </c>
      <c r="V384" s="3" t="s">
        <v>27</v>
      </c>
      <c r="W384" s="3" t="s">
        <v>2336</v>
      </c>
      <c r="X384" s="2"/>
      <c r="Y384" s="2"/>
    </row>
    <row r="385" spans="1:25" x14ac:dyDescent="0.2">
      <c r="A385" s="3">
        <v>256</v>
      </c>
      <c r="B385" s="4" t="s">
        <v>2337</v>
      </c>
      <c r="C385" s="3" t="s">
        <v>2338</v>
      </c>
      <c r="D385" s="3" t="s">
        <v>6609</v>
      </c>
      <c r="E385" s="3" t="s">
        <v>2339</v>
      </c>
      <c r="F385" s="3" t="s">
        <v>6610</v>
      </c>
      <c r="G385" s="3" t="s">
        <v>2340</v>
      </c>
      <c r="H385" s="2"/>
      <c r="I385" s="2"/>
      <c r="J385" s="3" t="s">
        <v>393</v>
      </c>
      <c r="K385" s="3" t="s">
        <v>2341</v>
      </c>
      <c r="L385" s="3" t="s">
        <v>6611</v>
      </c>
      <c r="M385" s="2"/>
      <c r="N385" s="2"/>
      <c r="O385" s="3" t="s">
        <v>412</v>
      </c>
      <c r="P385" s="3" t="s">
        <v>2342</v>
      </c>
      <c r="Q385" s="3" t="s">
        <v>6612</v>
      </c>
      <c r="R385" s="3" t="s">
        <v>396</v>
      </c>
      <c r="S385" s="3" t="s">
        <v>405</v>
      </c>
      <c r="T385" s="3" t="s">
        <v>2343</v>
      </c>
      <c r="U385" s="3" t="s">
        <v>43</v>
      </c>
      <c r="V385" s="3" t="s">
        <v>2344</v>
      </c>
      <c r="W385" s="2"/>
      <c r="X385" s="2"/>
      <c r="Y385" s="2"/>
    </row>
    <row r="386" spans="1:25" x14ac:dyDescent="0.2">
      <c r="A386" s="3">
        <v>261</v>
      </c>
      <c r="B386" s="4" t="s">
        <v>2345</v>
      </c>
      <c r="C386" s="3" t="s">
        <v>2346</v>
      </c>
      <c r="D386" s="3" t="s">
        <v>6614</v>
      </c>
      <c r="E386" s="3" t="s">
        <v>2347</v>
      </c>
      <c r="F386" s="3" t="s">
        <v>6615</v>
      </c>
      <c r="G386" s="3" t="s">
        <v>452</v>
      </c>
      <c r="H386" s="2"/>
      <c r="I386" s="2"/>
      <c r="J386" s="3" t="s">
        <v>393</v>
      </c>
      <c r="K386" s="3" t="s">
        <v>491</v>
      </c>
      <c r="L386" s="3" t="s">
        <v>491</v>
      </c>
      <c r="M386" s="2"/>
      <c r="N386" s="2"/>
      <c r="O386" s="3" t="s">
        <v>26</v>
      </c>
      <c r="P386" s="3" t="s">
        <v>454</v>
      </c>
      <c r="Q386" s="3" t="s">
        <v>5361</v>
      </c>
      <c r="R386" s="3" t="s">
        <v>396</v>
      </c>
      <c r="S386" s="3" t="s">
        <v>413</v>
      </c>
      <c r="T386" s="3" t="s">
        <v>2348</v>
      </c>
      <c r="U386" s="3" t="s">
        <v>43</v>
      </c>
      <c r="V386" s="3" t="s">
        <v>457</v>
      </c>
      <c r="W386" s="2"/>
      <c r="X386" s="2"/>
      <c r="Y386" s="2"/>
    </row>
    <row r="387" spans="1:25" x14ac:dyDescent="0.2">
      <c r="A387" s="3">
        <v>842</v>
      </c>
      <c r="B387" s="4" t="s">
        <v>2349</v>
      </c>
      <c r="C387" s="3" t="s">
        <v>2350</v>
      </c>
      <c r="D387" s="3" t="s">
        <v>6617</v>
      </c>
      <c r="E387" s="3" t="s">
        <v>2351</v>
      </c>
      <c r="F387" s="3" t="s">
        <v>6618</v>
      </c>
      <c r="G387" s="3" t="s">
        <v>988</v>
      </c>
      <c r="H387" s="2"/>
      <c r="I387" s="2"/>
      <c r="J387" s="3" t="s">
        <v>393</v>
      </c>
      <c r="K387" s="3" t="s">
        <v>453</v>
      </c>
      <c r="L387" s="3" t="s">
        <v>453</v>
      </c>
      <c r="M387" s="2"/>
      <c r="N387" s="2"/>
      <c r="O387" s="3" t="s">
        <v>26</v>
      </c>
      <c r="P387" s="3" t="s">
        <v>439</v>
      </c>
      <c r="Q387" s="3" t="s">
        <v>5352</v>
      </c>
      <c r="R387" s="3" t="s">
        <v>396</v>
      </c>
      <c r="S387" s="3" t="s">
        <v>455</v>
      </c>
      <c r="T387" s="3" t="s">
        <v>2352</v>
      </c>
      <c r="U387" s="3" t="s">
        <v>43</v>
      </c>
      <c r="V387" s="3" t="s">
        <v>439</v>
      </c>
      <c r="W387" s="2"/>
      <c r="X387" s="2"/>
      <c r="Y387" s="2"/>
    </row>
    <row r="388" spans="1:25" x14ac:dyDescent="0.2">
      <c r="A388" s="3">
        <v>843</v>
      </c>
      <c r="B388" s="4" t="s">
        <v>2353</v>
      </c>
      <c r="C388" s="3" t="s">
        <v>2354</v>
      </c>
      <c r="D388" s="3" t="s">
        <v>6620</v>
      </c>
      <c r="E388" s="3" t="s">
        <v>2355</v>
      </c>
      <c r="F388" s="3" t="s">
        <v>6621</v>
      </c>
      <c r="G388" s="3" t="s">
        <v>988</v>
      </c>
      <c r="H388" s="2"/>
      <c r="I388" s="2"/>
      <c r="J388" s="3" t="s">
        <v>393</v>
      </c>
      <c r="K388" s="3" t="s">
        <v>453</v>
      </c>
      <c r="L388" s="3" t="s">
        <v>453</v>
      </c>
      <c r="M388" s="2"/>
      <c r="N388" s="2"/>
      <c r="O388" s="3" t="s">
        <v>26</v>
      </c>
      <c r="P388" s="3" t="s">
        <v>71</v>
      </c>
      <c r="Q388" s="3" t="s">
        <v>5107</v>
      </c>
      <c r="R388" s="3" t="s">
        <v>396</v>
      </c>
      <c r="S388" s="3" t="s">
        <v>455</v>
      </c>
      <c r="T388" s="3" t="s">
        <v>1236</v>
      </c>
      <c r="U388" s="3" t="s">
        <v>43</v>
      </c>
      <c r="V388" s="3" t="s">
        <v>71</v>
      </c>
      <c r="W388" s="2"/>
      <c r="X388" s="2"/>
      <c r="Y388" s="2"/>
    </row>
    <row r="389" spans="1:25" x14ac:dyDescent="0.2">
      <c r="A389" s="3">
        <v>844</v>
      </c>
      <c r="B389" s="4" t="s">
        <v>2356</v>
      </c>
      <c r="C389" s="3" t="s">
        <v>2357</v>
      </c>
      <c r="D389" s="3" t="s">
        <v>6622</v>
      </c>
      <c r="E389" s="3" t="s">
        <v>2358</v>
      </c>
      <c r="F389" s="3" t="s">
        <v>6623</v>
      </c>
      <c r="G389" s="3" t="s">
        <v>2359</v>
      </c>
      <c r="H389" s="3" t="s">
        <v>2359</v>
      </c>
      <c r="I389" s="3" t="s">
        <v>2359</v>
      </c>
      <c r="J389" s="3" t="s">
        <v>393</v>
      </c>
      <c r="K389" s="3" t="s">
        <v>2360</v>
      </c>
      <c r="L389" s="3" t="s">
        <v>2360</v>
      </c>
      <c r="M389" s="2"/>
      <c r="N389" s="2"/>
      <c r="O389" s="3" t="s">
        <v>426</v>
      </c>
      <c r="P389" s="3" t="s">
        <v>60</v>
      </c>
      <c r="Q389" s="3" t="s">
        <v>5100</v>
      </c>
      <c r="R389" s="3" t="s">
        <v>396</v>
      </c>
      <c r="S389" s="3" t="s">
        <v>405</v>
      </c>
      <c r="T389" s="3" t="s">
        <v>2361</v>
      </c>
      <c r="U389" s="2"/>
      <c r="V389" s="3" t="s">
        <v>60</v>
      </c>
      <c r="W389" s="2"/>
      <c r="X389" s="2"/>
      <c r="Y389" s="2"/>
    </row>
    <row r="390" spans="1:25" x14ac:dyDescent="0.2">
      <c r="A390" s="3">
        <v>845</v>
      </c>
      <c r="B390" s="4" t="s">
        <v>2362</v>
      </c>
      <c r="C390" s="3" t="s">
        <v>2363</v>
      </c>
      <c r="D390" s="3" t="s">
        <v>6625</v>
      </c>
      <c r="E390" s="3" t="s">
        <v>2364</v>
      </c>
      <c r="F390" s="3" t="s">
        <v>6626</v>
      </c>
      <c r="G390" s="3" t="s">
        <v>988</v>
      </c>
      <c r="H390" s="2"/>
      <c r="I390" s="2"/>
      <c r="J390" s="3" t="s">
        <v>393</v>
      </c>
      <c r="K390" s="3" t="s">
        <v>2360</v>
      </c>
      <c r="L390" s="3" t="s">
        <v>2360</v>
      </c>
      <c r="M390" s="2"/>
      <c r="N390" s="2"/>
      <c r="O390" s="3" t="s">
        <v>26</v>
      </c>
      <c r="P390" s="3" t="s">
        <v>60</v>
      </c>
      <c r="Q390" s="3" t="s">
        <v>5100</v>
      </c>
      <c r="R390" s="3" t="s">
        <v>396</v>
      </c>
      <c r="S390" s="3" t="s">
        <v>455</v>
      </c>
      <c r="T390" s="3" t="s">
        <v>2365</v>
      </c>
      <c r="U390" s="2"/>
      <c r="V390" s="3" t="s">
        <v>60</v>
      </c>
      <c r="W390" s="2"/>
      <c r="X390" s="2"/>
      <c r="Y390" s="2"/>
    </row>
    <row r="391" spans="1:25" x14ac:dyDescent="0.2">
      <c r="A391" s="3">
        <v>1232</v>
      </c>
      <c r="B391" s="4" t="s">
        <v>2366</v>
      </c>
      <c r="C391" s="3" t="s">
        <v>2367</v>
      </c>
      <c r="D391" s="3" t="s">
        <v>6628</v>
      </c>
      <c r="E391" s="3" t="s">
        <v>2368</v>
      </c>
      <c r="F391" s="3" t="s">
        <v>6629</v>
      </c>
      <c r="G391" s="3" t="s">
        <v>2369</v>
      </c>
      <c r="H391" s="3" t="s">
        <v>2370</v>
      </c>
      <c r="I391" s="3" t="s">
        <v>1631</v>
      </c>
      <c r="J391" s="3" t="s">
        <v>393</v>
      </c>
      <c r="K391" s="3" t="s">
        <v>453</v>
      </c>
      <c r="L391" s="3" t="s">
        <v>453</v>
      </c>
      <c r="M391" s="2"/>
      <c r="N391" s="2"/>
      <c r="O391" s="3" t="s">
        <v>26</v>
      </c>
      <c r="P391" s="3" t="s">
        <v>2371</v>
      </c>
      <c r="Q391" s="3" t="s">
        <v>6630</v>
      </c>
      <c r="R391" s="3" t="s">
        <v>396</v>
      </c>
      <c r="S391" s="3" t="s">
        <v>397</v>
      </c>
      <c r="T391" s="3" t="s">
        <v>2372</v>
      </c>
      <c r="U391" s="3" t="s">
        <v>43</v>
      </c>
      <c r="V391" s="3" t="s">
        <v>2373</v>
      </c>
      <c r="W391" s="2"/>
      <c r="X391" s="2"/>
      <c r="Y391" s="2"/>
    </row>
    <row r="392" spans="1:25" x14ac:dyDescent="0.2">
      <c r="A392" s="3">
        <v>1233</v>
      </c>
      <c r="B392" s="4" t="s">
        <v>2374</v>
      </c>
      <c r="C392" s="3" t="s">
        <v>2375</v>
      </c>
      <c r="D392" s="3" t="s">
        <v>6633</v>
      </c>
      <c r="E392" s="3" t="s">
        <v>2376</v>
      </c>
      <c r="F392" s="3" t="s">
        <v>6634</v>
      </c>
      <c r="G392" s="3" t="s">
        <v>979</v>
      </c>
      <c r="H392" s="2"/>
      <c r="I392" s="2"/>
      <c r="J392" s="3" t="s">
        <v>393</v>
      </c>
      <c r="K392" s="3" t="s">
        <v>453</v>
      </c>
      <c r="L392" s="3" t="s">
        <v>453</v>
      </c>
      <c r="M392" s="2"/>
      <c r="N392" s="2"/>
      <c r="O392" s="3" t="s">
        <v>26</v>
      </c>
      <c r="P392" s="3" t="s">
        <v>71</v>
      </c>
      <c r="Q392" s="3" t="s">
        <v>5107</v>
      </c>
      <c r="R392" s="3" t="s">
        <v>396</v>
      </c>
      <c r="S392" s="3" t="s">
        <v>405</v>
      </c>
      <c r="T392" s="3" t="s">
        <v>2377</v>
      </c>
      <c r="U392" s="3" t="s">
        <v>43</v>
      </c>
      <c r="V392" s="3" t="s">
        <v>71</v>
      </c>
      <c r="W392" s="2"/>
      <c r="X392" s="2"/>
      <c r="Y392" s="2"/>
    </row>
    <row r="393" spans="1:25" x14ac:dyDescent="0.2">
      <c r="A393" s="3">
        <v>1360</v>
      </c>
      <c r="B393" s="4" t="s">
        <v>2378</v>
      </c>
      <c r="C393" s="3" t="s">
        <v>2379</v>
      </c>
      <c r="D393" s="3" t="s">
        <v>6636</v>
      </c>
      <c r="E393" s="3" t="s">
        <v>2380</v>
      </c>
      <c r="F393" s="3" t="s">
        <v>6637</v>
      </c>
      <c r="G393" s="3" t="s">
        <v>2381</v>
      </c>
      <c r="H393" s="2"/>
      <c r="I393" s="2"/>
      <c r="J393" s="3" t="s">
        <v>393</v>
      </c>
      <c r="K393" s="3" t="s">
        <v>2382</v>
      </c>
      <c r="L393" s="3" t="s">
        <v>2382</v>
      </c>
      <c r="M393" s="2"/>
      <c r="N393" s="2"/>
      <c r="O393" s="3" t="s">
        <v>26</v>
      </c>
      <c r="P393" s="3" t="s">
        <v>2383</v>
      </c>
      <c r="Q393" s="3" t="s">
        <v>6638</v>
      </c>
      <c r="R393" s="3" t="s">
        <v>396</v>
      </c>
      <c r="S393" s="3" t="s">
        <v>455</v>
      </c>
      <c r="T393" s="3" t="s">
        <v>2384</v>
      </c>
      <c r="U393" s="3" t="s">
        <v>43</v>
      </c>
      <c r="V393" s="3" t="s">
        <v>2385</v>
      </c>
      <c r="W393" s="2"/>
      <c r="X393" s="2"/>
      <c r="Y393" s="2"/>
    </row>
    <row r="394" spans="1:25" x14ac:dyDescent="0.2">
      <c r="A394" s="3">
        <v>1362</v>
      </c>
      <c r="B394" s="4" t="s">
        <v>2386</v>
      </c>
      <c r="C394" s="3" t="s">
        <v>2387</v>
      </c>
      <c r="D394" s="3" t="s">
        <v>6640</v>
      </c>
      <c r="E394" s="3" t="s">
        <v>2388</v>
      </c>
      <c r="F394" s="3" t="s">
        <v>6641</v>
      </c>
      <c r="G394" s="3" t="s">
        <v>77</v>
      </c>
      <c r="H394" s="3" t="s">
        <v>77</v>
      </c>
      <c r="I394" s="3" t="s">
        <v>77</v>
      </c>
      <c r="J394" s="3" t="s">
        <v>393</v>
      </c>
      <c r="K394" s="3" t="s">
        <v>1258</v>
      </c>
      <c r="L394" s="3" t="s">
        <v>1258</v>
      </c>
      <c r="M394" s="2"/>
      <c r="N394" s="2"/>
      <c r="O394" s="3" t="s">
        <v>26</v>
      </c>
      <c r="P394" s="3" t="s">
        <v>461</v>
      </c>
      <c r="Q394" s="3" t="s">
        <v>5367</v>
      </c>
      <c r="R394" s="3" t="s">
        <v>396</v>
      </c>
      <c r="S394" s="3" t="s">
        <v>29</v>
      </c>
      <c r="T394" s="3" t="s">
        <v>2389</v>
      </c>
      <c r="U394" s="3" t="s">
        <v>43</v>
      </c>
      <c r="V394" s="3" t="s">
        <v>461</v>
      </c>
      <c r="W394" s="2"/>
      <c r="X394" s="2"/>
      <c r="Y394" s="2"/>
    </row>
    <row r="395" spans="1:25" x14ac:dyDescent="0.2">
      <c r="A395" s="3">
        <v>1364</v>
      </c>
      <c r="B395" s="4" t="s">
        <v>2390</v>
      </c>
      <c r="C395" s="3" t="s">
        <v>2391</v>
      </c>
      <c r="D395" s="3" t="s">
        <v>6643</v>
      </c>
      <c r="E395" s="3" t="s">
        <v>2392</v>
      </c>
      <c r="F395" s="3" t="s">
        <v>6644</v>
      </c>
      <c r="G395" s="3" t="s">
        <v>410</v>
      </c>
      <c r="H395" s="2"/>
      <c r="I395" s="2"/>
      <c r="J395" s="3" t="s">
        <v>393</v>
      </c>
      <c r="K395" s="3" t="s">
        <v>739</v>
      </c>
      <c r="L395" s="3" t="s">
        <v>739</v>
      </c>
      <c r="M395" s="2"/>
      <c r="N395" s="2"/>
      <c r="O395" s="3" t="s">
        <v>26</v>
      </c>
      <c r="P395" s="3" t="s">
        <v>2393</v>
      </c>
      <c r="Q395" s="3" t="s">
        <v>6645</v>
      </c>
      <c r="R395" s="3" t="s">
        <v>396</v>
      </c>
      <c r="S395" s="3" t="s">
        <v>413</v>
      </c>
      <c r="T395" s="3" t="s">
        <v>2394</v>
      </c>
      <c r="U395" s="2"/>
      <c r="V395" s="3" t="s">
        <v>2395</v>
      </c>
      <c r="W395" s="2"/>
      <c r="X395" s="2"/>
      <c r="Y395" s="2"/>
    </row>
    <row r="396" spans="1:25" x14ac:dyDescent="0.2">
      <c r="A396" s="3">
        <v>1365</v>
      </c>
      <c r="B396" s="4" t="s">
        <v>2396</v>
      </c>
      <c r="C396" s="3" t="s">
        <v>2397</v>
      </c>
      <c r="D396" s="3" t="s">
        <v>6648</v>
      </c>
      <c r="E396" s="3" t="s">
        <v>2398</v>
      </c>
      <c r="F396" s="3" t="s">
        <v>6649</v>
      </c>
      <c r="G396" s="3" t="s">
        <v>858</v>
      </c>
      <c r="H396" s="3" t="s">
        <v>402</v>
      </c>
      <c r="I396" s="3" t="s">
        <v>858</v>
      </c>
      <c r="J396" s="3" t="s">
        <v>393</v>
      </c>
      <c r="K396" s="3" t="s">
        <v>2399</v>
      </c>
      <c r="L396" s="3" t="s">
        <v>2399</v>
      </c>
      <c r="M396" s="2"/>
      <c r="N396" s="2"/>
      <c r="O396" s="3" t="s">
        <v>26</v>
      </c>
      <c r="P396" s="3" t="s">
        <v>2400</v>
      </c>
      <c r="Q396" s="3" t="s">
        <v>6650</v>
      </c>
      <c r="R396" s="3" t="s">
        <v>396</v>
      </c>
      <c r="S396" s="3" t="s">
        <v>29</v>
      </c>
      <c r="T396" s="3" t="s">
        <v>2401</v>
      </c>
      <c r="U396" s="3" t="s">
        <v>43</v>
      </c>
      <c r="V396" s="3" t="s">
        <v>1494</v>
      </c>
      <c r="W396" s="2"/>
      <c r="X396" s="2"/>
      <c r="Y396" s="2"/>
    </row>
    <row r="397" spans="1:25" x14ac:dyDescent="0.2">
      <c r="A397" s="3">
        <v>1368</v>
      </c>
      <c r="B397" s="4" t="s">
        <v>2402</v>
      </c>
      <c r="C397" s="3" t="s">
        <v>2403</v>
      </c>
      <c r="D397" s="3" t="s">
        <v>6652</v>
      </c>
      <c r="E397" s="3" t="s">
        <v>2404</v>
      </c>
      <c r="F397" s="3" t="s">
        <v>6653</v>
      </c>
      <c r="G397" s="3" t="s">
        <v>2405</v>
      </c>
      <c r="H397" s="2"/>
      <c r="I397" s="2"/>
      <c r="J397" s="3" t="s">
        <v>393</v>
      </c>
      <c r="K397" s="3" t="s">
        <v>713</v>
      </c>
      <c r="L397" s="3" t="s">
        <v>713</v>
      </c>
      <c r="M397" s="2"/>
      <c r="N397" s="2"/>
      <c r="O397" s="3" t="s">
        <v>26</v>
      </c>
      <c r="P397" s="3" t="s">
        <v>439</v>
      </c>
      <c r="Q397" s="3" t="s">
        <v>5352</v>
      </c>
      <c r="R397" s="3" t="s">
        <v>396</v>
      </c>
      <c r="S397" s="3" t="s">
        <v>405</v>
      </c>
      <c r="T397" s="3" t="s">
        <v>2406</v>
      </c>
      <c r="U397" s="2"/>
      <c r="V397" s="3" t="s">
        <v>439</v>
      </c>
      <c r="W397" s="2"/>
      <c r="X397" s="2"/>
      <c r="Y397" s="2"/>
    </row>
    <row r="398" spans="1:25" x14ac:dyDescent="0.2">
      <c r="A398" s="3">
        <v>1370</v>
      </c>
      <c r="B398" s="4" t="s">
        <v>2407</v>
      </c>
      <c r="C398" s="3" t="s">
        <v>2408</v>
      </c>
      <c r="D398" s="3" t="s">
        <v>6655</v>
      </c>
      <c r="E398" s="3" t="s">
        <v>2409</v>
      </c>
      <c r="F398" s="3" t="s">
        <v>6656</v>
      </c>
      <c r="G398" s="3" t="s">
        <v>490</v>
      </c>
      <c r="H398" s="2"/>
      <c r="I398" s="2"/>
      <c r="J398" s="3" t="s">
        <v>393</v>
      </c>
      <c r="K398" s="3" t="s">
        <v>453</v>
      </c>
      <c r="L398" s="3" t="s">
        <v>453</v>
      </c>
      <c r="M398" s="2"/>
      <c r="N398" s="2"/>
      <c r="O398" s="3" t="s">
        <v>26</v>
      </c>
      <c r="P398" s="3" t="s">
        <v>27</v>
      </c>
      <c r="Q398" s="3" t="s">
        <v>5079</v>
      </c>
      <c r="R398" s="3" t="s">
        <v>396</v>
      </c>
      <c r="S398" s="3" t="s">
        <v>455</v>
      </c>
      <c r="T398" s="3" t="s">
        <v>2410</v>
      </c>
      <c r="U398" s="3" t="s">
        <v>43</v>
      </c>
      <c r="V398" s="3" t="s">
        <v>27</v>
      </c>
      <c r="W398" s="2"/>
      <c r="X398" s="2"/>
      <c r="Y398" s="2"/>
    </row>
    <row r="399" spans="1:25" x14ac:dyDescent="0.2">
      <c r="A399" s="3">
        <v>1231</v>
      </c>
      <c r="B399" s="4" t="s">
        <v>2411</v>
      </c>
      <c r="C399" s="3" t="s">
        <v>2412</v>
      </c>
      <c r="D399" s="3" t="s">
        <v>6658</v>
      </c>
      <c r="E399" s="3" t="s">
        <v>2413</v>
      </c>
      <c r="F399" s="3" t="s">
        <v>6659</v>
      </c>
      <c r="G399" s="3" t="s">
        <v>2414</v>
      </c>
      <c r="H399" s="3" t="s">
        <v>778</v>
      </c>
      <c r="I399" s="3" t="s">
        <v>778</v>
      </c>
      <c r="J399" s="3" t="s">
        <v>393</v>
      </c>
      <c r="K399" s="3" t="s">
        <v>453</v>
      </c>
      <c r="L399" s="3" t="s">
        <v>453</v>
      </c>
      <c r="M399" s="2"/>
      <c r="N399" s="2"/>
      <c r="O399" s="3" t="s">
        <v>26</v>
      </c>
      <c r="P399" s="3" t="s">
        <v>2415</v>
      </c>
      <c r="Q399" s="3" t="s">
        <v>5088</v>
      </c>
      <c r="R399" s="3" t="s">
        <v>396</v>
      </c>
      <c r="S399" s="3" t="s">
        <v>455</v>
      </c>
      <c r="T399" s="3" t="s">
        <v>2416</v>
      </c>
      <c r="U399" s="3" t="s">
        <v>43</v>
      </c>
      <c r="V399" s="3" t="s">
        <v>40</v>
      </c>
      <c r="W399" s="2"/>
      <c r="X399" s="2"/>
      <c r="Y399" s="2"/>
    </row>
    <row r="400" spans="1:25" x14ac:dyDescent="0.2">
      <c r="A400" s="3">
        <v>2309</v>
      </c>
      <c r="B400" s="4" t="s">
        <v>2417</v>
      </c>
      <c r="C400" s="3" t="s">
        <v>2418</v>
      </c>
      <c r="D400" s="3" t="s">
        <v>6661</v>
      </c>
      <c r="E400" s="3" t="s">
        <v>2419</v>
      </c>
      <c r="F400" s="3" t="s">
        <v>6662</v>
      </c>
      <c r="G400" s="3" t="s">
        <v>625</v>
      </c>
      <c r="H400" s="3" t="s">
        <v>625</v>
      </c>
      <c r="I400" s="7">
        <v>45589</v>
      </c>
      <c r="J400" s="3" t="s">
        <v>393</v>
      </c>
      <c r="K400" s="3" t="s">
        <v>2420</v>
      </c>
      <c r="L400" s="3" t="s">
        <v>6663</v>
      </c>
      <c r="M400" s="2"/>
      <c r="N400" s="2"/>
      <c r="O400" s="3" t="s">
        <v>26</v>
      </c>
      <c r="P400" s="3" t="s">
        <v>2421</v>
      </c>
      <c r="Q400" s="3" t="s">
        <v>6664</v>
      </c>
      <c r="R400" s="3" t="s">
        <v>396</v>
      </c>
      <c r="S400" s="3" t="s">
        <v>29</v>
      </c>
      <c r="T400" s="3" t="s">
        <v>2422</v>
      </c>
      <c r="U400" s="3" t="s">
        <v>43</v>
      </c>
      <c r="V400" s="3" t="s">
        <v>461</v>
      </c>
      <c r="W400" s="2"/>
      <c r="X400" s="2"/>
      <c r="Y400" s="2"/>
    </row>
    <row r="401" spans="1:25" x14ac:dyDescent="0.2">
      <c r="A401" s="3">
        <v>2310</v>
      </c>
      <c r="B401" s="4" t="s">
        <v>2423</v>
      </c>
      <c r="C401" s="3" t="s">
        <v>2424</v>
      </c>
      <c r="D401" s="3" t="s">
        <v>6666</v>
      </c>
      <c r="E401" s="3" t="s">
        <v>2425</v>
      </c>
      <c r="F401" s="3" t="s">
        <v>6667</v>
      </c>
      <c r="G401" s="7">
        <v>45587</v>
      </c>
      <c r="H401" s="3" t="s">
        <v>223</v>
      </c>
      <c r="I401" s="3" t="s">
        <v>22</v>
      </c>
      <c r="J401" s="3" t="s">
        <v>393</v>
      </c>
      <c r="K401" s="3" t="s">
        <v>2426</v>
      </c>
      <c r="L401" s="3" t="s">
        <v>6668</v>
      </c>
      <c r="M401" s="3" t="s">
        <v>492</v>
      </c>
      <c r="N401" s="2"/>
      <c r="O401" s="3" t="s">
        <v>39</v>
      </c>
      <c r="P401" s="3" t="s">
        <v>212</v>
      </c>
      <c r="Q401" s="3" t="s">
        <v>5193</v>
      </c>
      <c r="R401" s="3" t="s">
        <v>396</v>
      </c>
      <c r="S401" s="3" t="s">
        <v>413</v>
      </c>
      <c r="T401" s="3" t="s">
        <v>2427</v>
      </c>
      <c r="U401" s="3" t="s">
        <v>2428</v>
      </c>
      <c r="V401" s="3" t="s">
        <v>1341</v>
      </c>
      <c r="W401" s="3" t="s">
        <v>2429</v>
      </c>
      <c r="X401" s="2"/>
      <c r="Y401" s="2"/>
    </row>
    <row r="402" spans="1:25" x14ac:dyDescent="0.2">
      <c r="A402" s="3">
        <v>2311</v>
      </c>
      <c r="B402" s="4" t="s">
        <v>2430</v>
      </c>
      <c r="C402" s="3" t="s">
        <v>2431</v>
      </c>
      <c r="D402" s="3" t="s">
        <v>6672</v>
      </c>
      <c r="E402" s="3" t="s">
        <v>2432</v>
      </c>
      <c r="F402" s="3" t="s">
        <v>6673</v>
      </c>
      <c r="G402" s="7">
        <v>45603</v>
      </c>
      <c r="H402" s="7">
        <v>45603</v>
      </c>
      <c r="I402" s="7">
        <v>45603</v>
      </c>
      <c r="J402" s="3" t="s">
        <v>393</v>
      </c>
      <c r="K402" s="3" t="s">
        <v>2426</v>
      </c>
      <c r="L402" s="3" t="s">
        <v>6668</v>
      </c>
      <c r="M402" s="3" t="s">
        <v>36</v>
      </c>
      <c r="N402" s="4" t="s">
        <v>2433</v>
      </c>
      <c r="O402" s="3" t="s">
        <v>39</v>
      </c>
      <c r="P402" s="3" t="s">
        <v>212</v>
      </c>
      <c r="Q402" s="3" t="s">
        <v>5193</v>
      </c>
      <c r="R402" s="3" t="s">
        <v>396</v>
      </c>
      <c r="S402" s="3" t="s">
        <v>397</v>
      </c>
      <c r="T402" s="3" t="s">
        <v>2434</v>
      </c>
      <c r="U402" s="3" t="s">
        <v>420</v>
      </c>
      <c r="V402" s="3" t="s">
        <v>212</v>
      </c>
      <c r="W402" s="3" t="s">
        <v>2435</v>
      </c>
      <c r="X402" s="2"/>
      <c r="Y402" s="2"/>
    </row>
    <row r="403" spans="1:25" x14ac:dyDescent="0.2">
      <c r="A403" s="3">
        <v>2312</v>
      </c>
      <c r="B403" s="4" t="s">
        <v>2436</v>
      </c>
      <c r="C403" s="3" t="s">
        <v>2437</v>
      </c>
      <c r="D403" s="3" t="s">
        <v>6676</v>
      </c>
      <c r="E403" s="3" t="s">
        <v>2438</v>
      </c>
      <c r="F403" s="3" t="s">
        <v>6677</v>
      </c>
      <c r="G403" s="3" t="s">
        <v>1410</v>
      </c>
      <c r="H403" s="2"/>
      <c r="I403" s="2"/>
      <c r="J403" s="3" t="s">
        <v>393</v>
      </c>
      <c r="K403" s="3" t="s">
        <v>2426</v>
      </c>
      <c r="L403" s="3" t="s">
        <v>6668</v>
      </c>
      <c r="M403" s="3" t="s">
        <v>201</v>
      </c>
      <c r="N403" s="6" t="s">
        <v>2439</v>
      </c>
      <c r="O403" s="3" t="s">
        <v>39</v>
      </c>
      <c r="P403" s="3" t="s">
        <v>212</v>
      </c>
      <c r="Q403" s="3" t="s">
        <v>5193</v>
      </c>
      <c r="R403" s="3" t="s">
        <v>396</v>
      </c>
      <c r="S403" s="3" t="s">
        <v>29</v>
      </c>
      <c r="T403" s="3" t="s">
        <v>2440</v>
      </c>
      <c r="U403" s="3" t="s">
        <v>420</v>
      </c>
      <c r="V403" s="3" t="s">
        <v>212</v>
      </c>
      <c r="W403" s="3" t="s">
        <v>2441</v>
      </c>
      <c r="X403" s="2"/>
      <c r="Y403" s="2"/>
    </row>
    <row r="404" spans="1:25" x14ac:dyDescent="0.2">
      <c r="A404" s="3">
        <v>2313</v>
      </c>
      <c r="B404" s="4" t="s">
        <v>2442</v>
      </c>
      <c r="C404" s="3" t="s">
        <v>2443</v>
      </c>
      <c r="D404" s="3" t="s">
        <v>6680</v>
      </c>
      <c r="E404" s="3" t="s">
        <v>2444</v>
      </c>
      <c r="F404" s="3" t="s">
        <v>6681</v>
      </c>
      <c r="G404" s="3" t="s">
        <v>2445</v>
      </c>
      <c r="H404" s="2"/>
      <c r="I404" s="2"/>
      <c r="J404" s="3" t="s">
        <v>393</v>
      </c>
      <c r="K404" s="3" t="s">
        <v>2426</v>
      </c>
      <c r="L404" s="3" t="s">
        <v>6668</v>
      </c>
      <c r="M404" s="3" t="s">
        <v>492</v>
      </c>
      <c r="N404" s="2"/>
      <c r="O404" s="3" t="s">
        <v>39</v>
      </c>
      <c r="P404" s="3" t="s">
        <v>212</v>
      </c>
      <c r="Q404" s="3" t="s">
        <v>5193</v>
      </c>
      <c r="R404" s="3" t="s">
        <v>396</v>
      </c>
      <c r="S404" s="3" t="s">
        <v>397</v>
      </c>
      <c r="T404" s="3" t="s">
        <v>2446</v>
      </c>
      <c r="U404" s="3" t="s">
        <v>2447</v>
      </c>
      <c r="V404" s="3" t="s">
        <v>1341</v>
      </c>
      <c r="W404" s="3" t="s">
        <v>2448</v>
      </c>
      <c r="X404" s="2"/>
      <c r="Y404" s="2"/>
    </row>
    <row r="405" spans="1:25" x14ac:dyDescent="0.2">
      <c r="A405" s="3">
        <v>2314</v>
      </c>
      <c r="B405" s="4" t="s">
        <v>2449</v>
      </c>
      <c r="C405" s="3" t="s">
        <v>2450</v>
      </c>
      <c r="D405" s="3" t="s">
        <v>6685</v>
      </c>
      <c r="E405" s="3" t="s">
        <v>2451</v>
      </c>
      <c r="F405" s="3" t="s">
        <v>6686</v>
      </c>
      <c r="G405" s="3" t="s">
        <v>2452</v>
      </c>
      <c r="H405" s="3" t="s">
        <v>2453</v>
      </c>
      <c r="I405" s="3" t="s">
        <v>2453</v>
      </c>
      <c r="J405" s="3" t="s">
        <v>393</v>
      </c>
      <c r="K405" s="3" t="s">
        <v>2426</v>
      </c>
      <c r="L405" s="3" t="s">
        <v>6668</v>
      </c>
      <c r="M405" s="3" t="s">
        <v>2454</v>
      </c>
      <c r="N405" s="2"/>
      <c r="O405" s="3" t="s">
        <v>39</v>
      </c>
      <c r="P405" s="3" t="s">
        <v>212</v>
      </c>
      <c r="Q405" s="3" t="s">
        <v>5193</v>
      </c>
      <c r="R405" s="3" t="s">
        <v>396</v>
      </c>
      <c r="S405" s="3" t="s">
        <v>397</v>
      </c>
      <c r="T405" s="3" t="s">
        <v>2455</v>
      </c>
      <c r="U405" s="3" t="s">
        <v>420</v>
      </c>
      <c r="V405" s="3" t="s">
        <v>2111</v>
      </c>
      <c r="W405" s="3" t="s">
        <v>2456</v>
      </c>
      <c r="X405" s="2"/>
      <c r="Y405" s="2"/>
    </row>
    <row r="406" spans="1:25" x14ac:dyDescent="0.2">
      <c r="A406" s="3">
        <v>2315</v>
      </c>
      <c r="B406" s="4" t="s">
        <v>2457</v>
      </c>
      <c r="C406" s="3" t="s">
        <v>2458</v>
      </c>
      <c r="D406" s="3" t="s">
        <v>6689</v>
      </c>
      <c r="E406" s="3" t="s">
        <v>2459</v>
      </c>
      <c r="F406" s="3" t="s">
        <v>6690</v>
      </c>
      <c r="G406" s="3" t="s">
        <v>608</v>
      </c>
      <c r="H406" s="3" t="s">
        <v>1907</v>
      </c>
      <c r="I406" s="3" t="s">
        <v>2460</v>
      </c>
      <c r="J406" s="3" t="s">
        <v>393</v>
      </c>
      <c r="K406" s="3" t="s">
        <v>2461</v>
      </c>
      <c r="L406" s="3" t="s">
        <v>6691</v>
      </c>
      <c r="M406" s="3" t="s">
        <v>2462</v>
      </c>
      <c r="N406" s="2"/>
      <c r="O406" s="3" t="s">
        <v>26</v>
      </c>
      <c r="P406" s="3" t="s">
        <v>51</v>
      </c>
      <c r="Q406" s="3" t="s">
        <v>5095</v>
      </c>
      <c r="R406" s="3" t="s">
        <v>396</v>
      </c>
      <c r="S406" s="3" t="s">
        <v>413</v>
      </c>
      <c r="T406" s="3" t="s">
        <v>2463</v>
      </c>
      <c r="U406" s="3" t="s">
        <v>2464</v>
      </c>
      <c r="V406" s="3" t="s">
        <v>51</v>
      </c>
      <c r="W406" s="2"/>
      <c r="X406" s="2"/>
      <c r="Y406" s="2"/>
    </row>
    <row r="407" spans="1:25" x14ac:dyDescent="0.2">
      <c r="A407" s="3">
        <v>2317</v>
      </c>
      <c r="B407" s="4" t="s">
        <v>2465</v>
      </c>
      <c r="C407" s="3" t="s">
        <v>2466</v>
      </c>
      <c r="D407" s="3" t="s">
        <v>6695</v>
      </c>
      <c r="E407" s="3" t="s">
        <v>2467</v>
      </c>
      <c r="F407" s="3" t="s">
        <v>6696</v>
      </c>
      <c r="G407" s="3" t="s">
        <v>100</v>
      </c>
      <c r="H407" s="2"/>
      <c r="I407" s="2"/>
      <c r="J407" s="3" t="s">
        <v>393</v>
      </c>
      <c r="K407" s="3" t="s">
        <v>2468</v>
      </c>
      <c r="L407" s="3" t="s">
        <v>2468</v>
      </c>
      <c r="M407" s="3" t="s">
        <v>36</v>
      </c>
      <c r="N407" s="6" t="s">
        <v>2469</v>
      </c>
      <c r="O407" s="3" t="s">
        <v>39</v>
      </c>
      <c r="P407" s="3" t="s">
        <v>461</v>
      </c>
      <c r="Q407" s="3" t="s">
        <v>5367</v>
      </c>
      <c r="R407" s="3" t="s">
        <v>396</v>
      </c>
      <c r="S407" s="3" t="s">
        <v>397</v>
      </c>
      <c r="T407" s="3" t="s">
        <v>2470</v>
      </c>
      <c r="U407" s="3" t="s">
        <v>420</v>
      </c>
      <c r="V407" s="3" t="s">
        <v>461</v>
      </c>
      <c r="W407" s="2"/>
      <c r="X407" s="2"/>
      <c r="Y407" s="2"/>
    </row>
    <row r="408" spans="1:25" x14ac:dyDescent="0.2">
      <c r="A408" s="3">
        <v>2214</v>
      </c>
      <c r="B408" s="4" t="s">
        <v>2471</v>
      </c>
      <c r="C408" s="3" t="s">
        <v>2472</v>
      </c>
      <c r="D408" s="3" t="s">
        <v>6698</v>
      </c>
      <c r="E408" s="3" t="s">
        <v>2473</v>
      </c>
      <c r="F408" s="3" t="s">
        <v>6699</v>
      </c>
      <c r="G408" s="3" t="s">
        <v>1415</v>
      </c>
      <c r="H408" s="3" t="s">
        <v>1415</v>
      </c>
      <c r="I408" s="3" t="s">
        <v>1415</v>
      </c>
      <c r="J408" s="3" t="s">
        <v>393</v>
      </c>
      <c r="K408" s="3" t="s">
        <v>1258</v>
      </c>
      <c r="L408" s="3" t="s">
        <v>1258</v>
      </c>
      <c r="M408" s="2"/>
      <c r="N408" s="2"/>
      <c r="O408" s="3" t="s">
        <v>645</v>
      </c>
      <c r="P408" s="3" t="s">
        <v>1416</v>
      </c>
      <c r="Q408" s="3" t="s">
        <v>5965</v>
      </c>
      <c r="R408" s="3" t="s">
        <v>396</v>
      </c>
      <c r="S408" s="3" t="s">
        <v>413</v>
      </c>
      <c r="T408" s="3" t="s">
        <v>2474</v>
      </c>
      <c r="U408" s="3" t="s">
        <v>43</v>
      </c>
      <c r="V408" s="3" t="s">
        <v>1416</v>
      </c>
      <c r="W408" s="2"/>
      <c r="X408" s="2"/>
      <c r="Y408" s="2"/>
    </row>
    <row r="409" spans="1:25" x14ac:dyDescent="0.2">
      <c r="A409" s="3">
        <v>2218</v>
      </c>
      <c r="B409" s="4" t="s">
        <v>2475</v>
      </c>
      <c r="C409" s="3" t="s">
        <v>2476</v>
      </c>
      <c r="D409" s="3" t="s">
        <v>6701</v>
      </c>
      <c r="E409" s="3" t="s">
        <v>2477</v>
      </c>
      <c r="F409" s="3" t="s">
        <v>6702</v>
      </c>
      <c r="G409" s="3" t="s">
        <v>2478</v>
      </c>
      <c r="H409" s="2"/>
      <c r="I409" s="2"/>
      <c r="J409" s="3" t="s">
        <v>393</v>
      </c>
      <c r="K409" s="3" t="s">
        <v>1258</v>
      </c>
      <c r="L409" s="3" t="s">
        <v>1258</v>
      </c>
      <c r="M409" s="2"/>
      <c r="N409" s="2"/>
      <c r="O409" s="3" t="s">
        <v>1011</v>
      </c>
      <c r="P409" s="3" t="s">
        <v>2479</v>
      </c>
      <c r="Q409" s="3" t="s">
        <v>6703</v>
      </c>
      <c r="R409" s="3" t="s">
        <v>396</v>
      </c>
      <c r="S409" s="3" t="s">
        <v>405</v>
      </c>
      <c r="T409" s="3" t="s">
        <v>2480</v>
      </c>
      <c r="U409" s="3" t="s">
        <v>43</v>
      </c>
      <c r="V409" s="3" t="s">
        <v>2226</v>
      </c>
      <c r="W409" s="2"/>
      <c r="X409" s="2"/>
      <c r="Y409" s="2"/>
    </row>
    <row r="410" spans="1:25" x14ac:dyDescent="0.2">
      <c r="A410" s="3">
        <v>2220</v>
      </c>
      <c r="B410" s="4" t="s">
        <v>2481</v>
      </c>
      <c r="C410" s="3" t="s">
        <v>2482</v>
      </c>
      <c r="D410" s="3" t="s">
        <v>6705</v>
      </c>
      <c r="E410" s="3" t="s">
        <v>2483</v>
      </c>
      <c r="F410" s="3" t="s">
        <v>6706</v>
      </c>
      <c r="G410" s="3" t="s">
        <v>2478</v>
      </c>
      <c r="H410" s="2"/>
      <c r="I410" s="2"/>
      <c r="J410" s="3" t="s">
        <v>393</v>
      </c>
      <c r="K410" s="3" t="s">
        <v>1258</v>
      </c>
      <c r="L410" s="3" t="s">
        <v>1258</v>
      </c>
      <c r="M410" s="2"/>
      <c r="N410" s="2"/>
      <c r="O410" s="3" t="s">
        <v>1011</v>
      </c>
      <c r="P410" s="3" t="s">
        <v>2484</v>
      </c>
      <c r="Q410" s="3" t="s">
        <v>6707</v>
      </c>
      <c r="R410" s="3" t="s">
        <v>396</v>
      </c>
      <c r="S410" s="3" t="s">
        <v>405</v>
      </c>
      <c r="T410" s="3" t="s">
        <v>2485</v>
      </c>
      <c r="U410" s="3" t="s">
        <v>43</v>
      </c>
      <c r="V410" s="3" t="s">
        <v>71</v>
      </c>
      <c r="W410" s="2"/>
      <c r="X410" s="2"/>
      <c r="Y410" s="2"/>
    </row>
    <row r="411" spans="1:25" x14ac:dyDescent="0.2">
      <c r="A411" s="3">
        <v>2221</v>
      </c>
      <c r="B411" s="4" t="s">
        <v>2486</v>
      </c>
      <c r="C411" s="3" t="s">
        <v>2487</v>
      </c>
      <c r="D411" s="3" t="s">
        <v>6709</v>
      </c>
      <c r="E411" s="3" t="s">
        <v>2488</v>
      </c>
      <c r="F411" s="3" t="s">
        <v>6710</v>
      </c>
      <c r="G411" s="3" t="s">
        <v>2445</v>
      </c>
      <c r="H411" s="2"/>
      <c r="I411" s="2"/>
      <c r="J411" s="3" t="s">
        <v>393</v>
      </c>
      <c r="K411" s="3" t="s">
        <v>1258</v>
      </c>
      <c r="L411" s="3" t="s">
        <v>1258</v>
      </c>
      <c r="M411" s="2"/>
      <c r="N411" s="2"/>
      <c r="O411" s="3" t="s">
        <v>645</v>
      </c>
      <c r="P411" s="3" t="s">
        <v>105</v>
      </c>
      <c r="Q411" s="3" t="s">
        <v>5128</v>
      </c>
      <c r="R411" s="3" t="s">
        <v>396</v>
      </c>
      <c r="S411" s="3" t="s">
        <v>29</v>
      </c>
      <c r="T411" s="3" t="s">
        <v>2489</v>
      </c>
      <c r="U411" s="3" t="s">
        <v>43</v>
      </c>
      <c r="V411" s="3" t="s">
        <v>105</v>
      </c>
      <c r="W411" s="2"/>
      <c r="X411" s="2"/>
      <c r="Y411" s="2"/>
    </row>
    <row r="412" spans="1:25" x14ac:dyDescent="0.2">
      <c r="A412" s="3">
        <v>2226</v>
      </c>
      <c r="B412" s="4" t="s">
        <v>2490</v>
      </c>
      <c r="C412" s="3" t="s">
        <v>2491</v>
      </c>
      <c r="D412" s="3" t="s">
        <v>6712</v>
      </c>
      <c r="E412" s="3" t="s">
        <v>2492</v>
      </c>
      <c r="F412" s="3" t="s">
        <v>6713</v>
      </c>
      <c r="G412" s="3" t="s">
        <v>199</v>
      </c>
      <c r="H412" s="2"/>
      <c r="I412" s="2"/>
      <c r="J412" s="3" t="s">
        <v>393</v>
      </c>
      <c r="K412" s="3" t="s">
        <v>1258</v>
      </c>
      <c r="L412" s="3" t="s">
        <v>1258</v>
      </c>
      <c r="M412" s="2"/>
      <c r="N412" s="2"/>
      <c r="O412" s="3" t="s">
        <v>645</v>
      </c>
      <c r="P412" s="3" t="s">
        <v>27</v>
      </c>
      <c r="Q412" s="3" t="s">
        <v>5079</v>
      </c>
      <c r="R412" s="3" t="s">
        <v>396</v>
      </c>
      <c r="S412" s="3" t="s">
        <v>29</v>
      </c>
      <c r="T412" s="3" t="s">
        <v>2493</v>
      </c>
      <c r="U412" s="2"/>
      <c r="V412" s="3" t="s">
        <v>27</v>
      </c>
      <c r="W412" s="3" t="s">
        <v>334</v>
      </c>
      <c r="X412" s="2"/>
      <c r="Y412" s="2"/>
    </row>
    <row r="413" spans="1:25" x14ac:dyDescent="0.2">
      <c r="A413" s="3">
        <v>823</v>
      </c>
      <c r="B413" s="4" t="s">
        <v>2494</v>
      </c>
      <c r="C413" s="3" t="s">
        <v>2495</v>
      </c>
      <c r="D413" s="3" t="s">
        <v>6715</v>
      </c>
      <c r="E413" s="3" t="s">
        <v>2496</v>
      </c>
      <c r="F413" s="3" t="s">
        <v>6716</v>
      </c>
      <c r="G413" s="3" t="s">
        <v>410</v>
      </c>
      <c r="H413" s="2"/>
      <c r="I413" s="2"/>
      <c r="J413" s="3" t="s">
        <v>393</v>
      </c>
      <c r="K413" s="3" t="s">
        <v>453</v>
      </c>
      <c r="L413" s="3" t="s">
        <v>453</v>
      </c>
      <c r="M413" s="2"/>
      <c r="N413" s="2"/>
      <c r="O413" s="3" t="s">
        <v>645</v>
      </c>
      <c r="P413" s="3" t="s">
        <v>395</v>
      </c>
      <c r="Q413" s="3" t="s">
        <v>5324</v>
      </c>
      <c r="R413" s="3" t="s">
        <v>396</v>
      </c>
      <c r="S413" s="3" t="s">
        <v>455</v>
      </c>
      <c r="T413" s="3" t="s">
        <v>2497</v>
      </c>
      <c r="U413" s="3" t="s">
        <v>43</v>
      </c>
      <c r="V413" s="3" t="s">
        <v>395</v>
      </c>
      <c r="W413" s="2"/>
      <c r="X413" s="2"/>
      <c r="Y413" s="2"/>
    </row>
    <row r="414" spans="1:25" x14ac:dyDescent="0.2">
      <c r="A414" s="3">
        <v>279</v>
      </c>
      <c r="B414" s="4" t="s">
        <v>2498</v>
      </c>
      <c r="C414" s="3" t="s">
        <v>2499</v>
      </c>
      <c r="D414" s="3" t="s">
        <v>6718</v>
      </c>
      <c r="E414" s="3" t="s">
        <v>2500</v>
      </c>
      <c r="F414" s="3" t="s">
        <v>6719</v>
      </c>
      <c r="G414" s="3" t="s">
        <v>2501</v>
      </c>
      <c r="H414" s="3" t="s">
        <v>2502</v>
      </c>
      <c r="I414" s="3" t="s">
        <v>2503</v>
      </c>
      <c r="J414" s="3" t="s">
        <v>393</v>
      </c>
      <c r="K414" s="3" t="s">
        <v>453</v>
      </c>
      <c r="L414" s="3" t="s">
        <v>453</v>
      </c>
      <c r="M414" s="2"/>
      <c r="N414" s="2"/>
      <c r="O414" s="3" t="s">
        <v>426</v>
      </c>
      <c r="P414" s="3" t="s">
        <v>71</v>
      </c>
      <c r="Q414" s="3" t="s">
        <v>5107</v>
      </c>
      <c r="R414" s="3" t="s">
        <v>396</v>
      </c>
      <c r="S414" s="3" t="s">
        <v>397</v>
      </c>
      <c r="T414" s="3" t="s">
        <v>2504</v>
      </c>
      <c r="U414" s="3" t="s">
        <v>43</v>
      </c>
      <c r="V414" s="3" t="s">
        <v>2505</v>
      </c>
      <c r="W414" s="2"/>
      <c r="X414" s="2"/>
      <c r="Y414" s="2"/>
    </row>
    <row r="415" spans="1:25" x14ac:dyDescent="0.2">
      <c r="A415" s="3">
        <v>280</v>
      </c>
      <c r="B415" s="4" t="s">
        <v>2506</v>
      </c>
      <c r="C415" s="3" t="s">
        <v>2507</v>
      </c>
      <c r="D415" s="3" t="s">
        <v>6722</v>
      </c>
      <c r="E415" s="3" t="s">
        <v>2508</v>
      </c>
      <c r="F415" s="3" t="s">
        <v>6723</v>
      </c>
      <c r="G415" s="3" t="s">
        <v>979</v>
      </c>
      <c r="H415" s="3" t="s">
        <v>2503</v>
      </c>
      <c r="I415" s="3" t="s">
        <v>2503</v>
      </c>
      <c r="J415" s="3" t="s">
        <v>393</v>
      </c>
      <c r="K415" s="3" t="s">
        <v>453</v>
      </c>
      <c r="L415" s="3" t="s">
        <v>453</v>
      </c>
      <c r="M415" s="2"/>
      <c r="N415" s="2"/>
      <c r="O415" s="3" t="s">
        <v>426</v>
      </c>
      <c r="P415" s="3" t="s">
        <v>27</v>
      </c>
      <c r="Q415" s="3" t="s">
        <v>5079</v>
      </c>
      <c r="R415" s="3" t="s">
        <v>396</v>
      </c>
      <c r="S415" s="3" t="s">
        <v>1186</v>
      </c>
      <c r="T415" s="3" t="s">
        <v>2509</v>
      </c>
      <c r="U415" s="3" t="s">
        <v>43</v>
      </c>
      <c r="V415" s="3" t="s">
        <v>27</v>
      </c>
      <c r="W415" s="2"/>
      <c r="X415" s="2"/>
      <c r="Y415" s="2"/>
    </row>
    <row r="416" spans="1:25" x14ac:dyDescent="0.2">
      <c r="A416" s="3">
        <v>1186</v>
      </c>
      <c r="B416" s="4" t="s">
        <v>2510</v>
      </c>
      <c r="C416" s="3" t="s">
        <v>2511</v>
      </c>
      <c r="D416" s="3" t="s">
        <v>6725</v>
      </c>
      <c r="E416" s="3" t="s">
        <v>2512</v>
      </c>
      <c r="F416" s="3" t="s">
        <v>6726</v>
      </c>
      <c r="G416" s="3" t="s">
        <v>531</v>
      </c>
      <c r="H416" s="2"/>
      <c r="I416" s="2"/>
      <c r="J416" s="3" t="s">
        <v>393</v>
      </c>
      <c r="K416" s="3" t="s">
        <v>1360</v>
      </c>
      <c r="L416" s="3" t="s">
        <v>1360</v>
      </c>
      <c r="M416" s="2"/>
      <c r="N416" s="4" t="s">
        <v>2513</v>
      </c>
      <c r="O416" s="3" t="s">
        <v>26</v>
      </c>
      <c r="P416" s="3" t="s">
        <v>27</v>
      </c>
      <c r="Q416" s="3" t="s">
        <v>5079</v>
      </c>
      <c r="R416" s="3" t="s">
        <v>396</v>
      </c>
      <c r="S416" s="3" t="s">
        <v>455</v>
      </c>
      <c r="T416" s="3" t="s">
        <v>2514</v>
      </c>
      <c r="U416" s="3" t="s">
        <v>43</v>
      </c>
      <c r="V416" s="3" t="s">
        <v>2515</v>
      </c>
      <c r="W416" s="2"/>
      <c r="X416" s="2"/>
      <c r="Y416" s="2"/>
    </row>
    <row r="417" spans="1:25" x14ac:dyDescent="0.2">
      <c r="A417" s="3">
        <v>1188</v>
      </c>
      <c r="B417" s="4" t="s">
        <v>2516</v>
      </c>
      <c r="C417" s="3" t="s">
        <v>2517</v>
      </c>
      <c r="D417" s="3" t="s">
        <v>6729</v>
      </c>
      <c r="E417" s="3" t="s">
        <v>2518</v>
      </c>
      <c r="F417" s="3" t="s">
        <v>6730</v>
      </c>
      <c r="G417" s="3" t="s">
        <v>2519</v>
      </c>
      <c r="H417" s="3" t="s">
        <v>67</v>
      </c>
      <c r="I417" s="3" t="s">
        <v>2520</v>
      </c>
      <c r="J417" s="3" t="s">
        <v>393</v>
      </c>
      <c r="K417" s="3" t="s">
        <v>2521</v>
      </c>
      <c r="L417" s="3" t="s">
        <v>2521</v>
      </c>
      <c r="M417" s="2"/>
      <c r="N417" s="2"/>
      <c r="O417" s="3" t="s">
        <v>26</v>
      </c>
      <c r="P417" s="3" t="s">
        <v>2522</v>
      </c>
      <c r="Q417" s="3" t="s">
        <v>6731</v>
      </c>
      <c r="R417" s="3" t="s">
        <v>396</v>
      </c>
      <c r="S417" s="3" t="s">
        <v>455</v>
      </c>
      <c r="T417" s="3" t="s">
        <v>2523</v>
      </c>
      <c r="U417" s="3" t="s">
        <v>43</v>
      </c>
      <c r="V417" s="3" t="s">
        <v>27</v>
      </c>
      <c r="W417" s="2"/>
      <c r="X417" s="2"/>
      <c r="Y417" s="2"/>
    </row>
    <row r="418" spans="1:25" x14ac:dyDescent="0.2">
      <c r="A418" s="3">
        <v>1850</v>
      </c>
      <c r="B418" s="4" t="s">
        <v>2524</v>
      </c>
      <c r="C418" s="3" t="s">
        <v>2525</v>
      </c>
      <c r="D418" s="3" t="s">
        <v>6733</v>
      </c>
      <c r="E418" s="3" t="s">
        <v>2526</v>
      </c>
      <c r="F418" s="3" t="s">
        <v>6734</v>
      </c>
      <c r="G418" s="3" t="s">
        <v>2527</v>
      </c>
      <c r="H418" s="3" t="s">
        <v>2528</v>
      </c>
      <c r="I418" s="3" t="s">
        <v>2527</v>
      </c>
      <c r="J418" s="3" t="s">
        <v>258</v>
      </c>
      <c r="K418" s="3" t="s">
        <v>2529</v>
      </c>
      <c r="L418" s="3" t="s">
        <v>2529</v>
      </c>
      <c r="M418" s="2"/>
      <c r="N418" s="4" t="s">
        <v>2530</v>
      </c>
      <c r="O418" s="3" t="s">
        <v>39</v>
      </c>
      <c r="P418" s="3" t="s">
        <v>439</v>
      </c>
      <c r="Q418" s="3" t="s">
        <v>5352</v>
      </c>
      <c r="R418" s="3" t="s">
        <v>1215</v>
      </c>
      <c r="S418" s="3" t="s">
        <v>413</v>
      </c>
      <c r="T418" s="3" t="s">
        <v>2531</v>
      </c>
      <c r="U418" s="3" t="s">
        <v>95</v>
      </c>
      <c r="V418" s="3" t="s">
        <v>2532</v>
      </c>
      <c r="W418" s="3" t="s">
        <v>2533</v>
      </c>
      <c r="X418" s="2"/>
      <c r="Y418" s="2"/>
    </row>
    <row r="419" spans="1:25" x14ac:dyDescent="0.2">
      <c r="A419" s="3">
        <v>1947</v>
      </c>
      <c r="B419" s="4" t="s">
        <v>2534</v>
      </c>
      <c r="C419" s="3" t="s">
        <v>2535</v>
      </c>
      <c r="D419" s="3" t="s">
        <v>6738</v>
      </c>
      <c r="E419" s="3" t="s">
        <v>2536</v>
      </c>
      <c r="F419" s="3" t="s">
        <v>6739</v>
      </c>
      <c r="G419" s="3" t="s">
        <v>2501</v>
      </c>
      <c r="H419" s="3" t="s">
        <v>677</v>
      </c>
      <c r="I419" s="3" t="s">
        <v>2537</v>
      </c>
      <c r="J419" s="3" t="s">
        <v>110</v>
      </c>
      <c r="K419" s="3" t="s">
        <v>2538</v>
      </c>
      <c r="L419" s="3" t="s">
        <v>2538</v>
      </c>
      <c r="M419" s="3" t="s">
        <v>2539</v>
      </c>
      <c r="N419" s="6" t="s">
        <v>2540</v>
      </c>
      <c r="O419" s="3" t="s">
        <v>26</v>
      </c>
      <c r="P419" s="3" t="s">
        <v>95</v>
      </c>
      <c r="Q419" s="3" t="s">
        <v>5297</v>
      </c>
      <c r="R419" s="3" t="s">
        <v>1215</v>
      </c>
      <c r="S419" s="3" t="s">
        <v>397</v>
      </c>
      <c r="T419" s="3" t="s">
        <v>2541</v>
      </c>
      <c r="U419" s="3" t="s">
        <v>95</v>
      </c>
      <c r="V419" s="3" t="s">
        <v>357</v>
      </c>
      <c r="W419" s="3" t="s">
        <v>2533</v>
      </c>
      <c r="X419" s="2"/>
      <c r="Y419" s="2"/>
    </row>
    <row r="420" spans="1:25" x14ac:dyDescent="0.2">
      <c r="A420" s="3">
        <v>710</v>
      </c>
      <c r="B420" s="6" t="s">
        <v>2542</v>
      </c>
      <c r="C420" s="3" t="s">
        <v>2543</v>
      </c>
      <c r="D420" s="3" t="s">
        <v>6741</v>
      </c>
      <c r="E420" s="3" t="s">
        <v>2544</v>
      </c>
      <c r="F420" s="3" t="s">
        <v>6742</v>
      </c>
      <c r="G420" s="3" t="s">
        <v>2545</v>
      </c>
      <c r="H420" s="2"/>
      <c r="I420" s="2"/>
      <c r="J420" s="3" t="s">
        <v>348</v>
      </c>
      <c r="K420" s="3" t="s">
        <v>2546</v>
      </c>
      <c r="L420" s="3" t="s">
        <v>6743</v>
      </c>
      <c r="M420" s="3" t="s">
        <v>2547</v>
      </c>
      <c r="N420" s="2"/>
      <c r="O420" s="3" t="s">
        <v>39</v>
      </c>
      <c r="P420" s="3" t="s">
        <v>60</v>
      </c>
      <c r="Q420" s="3" t="s">
        <v>5100</v>
      </c>
      <c r="R420" s="3" t="s">
        <v>72</v>
      </c>
      <c r="S420" s="3" t="s">
        <v>413</v>
      </c>
      <c r="T420" s="3" t="s">
        <v>2548</v>
      </c>
      <c r="U420" s="3" t="s">
        <v>2549</v>
      </c>
      <c r="V420" s="3" t="s">
        <v>60</v>
      </c>
      <c r="W420" s="2"/>
      <c r="X420" s="2"/>
      <c r="Y420" s="2"/>
    </row>
    <row r="421" spans="1:25" x14ac:dyDescent="0.2">
      <c r="A421" s="3">
        <v>224</v>
      </c>
      <c r="B421" s="4" t="s">
        <v>2550</v>
      </c>
      <c r="C421" s="3" t="s">
        <v>2551</v>
      </c>
      <c r="D421" s="3" t="s">
        <v>6746</v>
      </c>
      <c r="E421" s="3" t="s">
        <v>2552</v>
      </c>
      <c r="F421" s="3" t="s">
        <v>6747</v>
      </c>
      <c r="G421" s="3" t="s">
        <v>1069</v>
      </c>
      <c r="H421" s="2"/>
      <c r="I421" s="2"/>
      <c r="J421" s="3" t="s">
        <v>2553</v>
      </c>
      <c r="K421" s="3" t="s">
        <v>2554</v>
      </c>
      <c r="L421" s="3" t="s">
        <v>6748</v>
      </c>
      <c r="M421" s="2"/>
      <c r="N421" s="2"/>
      <c r="O421" s="3" t="s">
        <v>26</v>
      </c>
      <c r="P421" s="3" t="s">
        <v>60</v>
      </c>
      <c r="Q421" s="3" t="s">
        <v>5100</v>
      </c>
      <c r="R421" s="3" t="s">
        <v>28</v>
      </c>
      <c r="S421" s="3" t="s">
        <v>397</v>
      </c>
      <c r="T421" s="3" t="s">
        <v>2555</v>
      </c>
      <c r="U421" s="3" t="s">
        <v>2556</v>
      </c>
      <c r="V421" s="3" t="s">
        <v>2557</v>
      </c>
      <c r="W421" s="2"/>
      <c r="X421" s="2"/>
      <c r="Y421" s="2"/>
    </row>
    <row r="422" spans="1:25" x14ac:dyDescent="0.2">
      <c r="A422" s="3">
        <v>908</v>
      </c>
      <c r="B422" s="4" t="s">
        <v>2558</v>
      </c>
      <c r="C422" s="3" t="s">
        <v>2559</v>
      </c>
      <c r="D422" s="3" t="s">
        <v>6752</v>
      </c>
      <c r="E422" s="3" t="s">
        <v>2560</v>
      </c>
      <c r="F422" s="3" t="s">
        <v>6753</v>
      </c>
      <c r="G422" s="3" t="s">
        <v>2561</v>
      </c>
      <c r="H422" s="2"/>
      <c r="I422" s="2"/>
      <c r="J422" s="3" t="s">
        <v>2562</v>
      </c>
      <c r="K422" s="3" t="s">
        <v>2562</v>
      </c>
      <c r="L422" s="3" t="s">
        <v>6755</v>
      </c>
      <c r="M422" s="2"/>
      <c r="N422" s="2"/>
      <c r="O422" s="3" t="s">
        <v>39</v>
      </c>
      <c r="P422" s="3" t="s">
        <v>60</v>
      </c>
      <c r="Q422" s="3" t="s">
        <v>5100</v>
      </c>
      <c r="R422" s="3" t="s">
        <v>2563</v>
      </c>
      <c r="S422" s="3" t="s">
        <v>29</v>
      </c>
      <c r="T422" s="3" t="s">
        <v>2564</v>
      </c>
      <c r="U422" s="3" t="s">
        <v>2565</v>
      </c>
      <c r="V422" s="3" t="s">
        <v>2532</v>
      </c>
      <c r="W422" s="2"/>
      <c r="X422" s="2"/>
      <c r="Y422" s="2"/>
    </row>
    <row r="423" spans="1:25" x14ac:dyDescent="0.2">
      <c r="A423" s="3">
        <v>944</v>
      </c>
      <c r="B423" s="6" t="s">
        <v>2566</v>
      </c>
      <c r="C423" s="3" t="s">
        <v>2567</v>
      </c>
      <c r="D423" s="3" t="s">
        <v>6759</v>
      </c>
      <c r="E423" s="3" t="s">
        <v>2568</v>
      </c>
      <c r="F423" s="3" t="s">
        <v>6760</v>
      </c>
      <c r="G423" s="3" t="s">
        <v>2569</v>
      </c>
      <c r="H423" s="3" t="s">
        <v>2570</v>
      </c>
      <c r="I423" s="3" t="s">
        <v>2571</v>
      </c>
      <c r="J423" s="3" t="s">
        <v>57</v>
      </c>
      <c r="K423" s="3" t="s">
        <v>2572</v>
      </c>
      <c r="L423" s="3" t="s">
        <v>6761</v>
      </c>
      <c r="M423" s="3" t="s">
        <v>57</v>
      </c>
      <c r="N423" s="2"/>
      <c r="O423" s="3" t="s">
        <v>39</v>
      </c>
      <c r="P423" s="3" t="s">
        <v>60</v>
      </c>
      <c r="Q423" s="3" t="s">
        <v>5100</v>
      </c>
      <c r="R423" s="3" t="s">
        <v>2563</v>
      </c>
      <c r="S423" s="3" t="s">
        <v>29</v>
      </c>
      <c r="T423" s="3" t="s">
        <v>2573</v>
      </c>
      <c r="U423" s="3" t="s">
        <v>2574</v>
      </c>
      <c r="V423" s="3" t="s">
        <v>1459</v>
      </c>
      <c r="W423" s="3" t="s">
        <v>1356</v>
      </c>
      <c r="X423" s="2"/>
      <c r="Y423" s="2"/>
    </row>
    <row r="424" spans="1:25" x14ac:dyDescent="0.2">
      <c r="A424" s="3">
        <v>941</v>
      </c>
      <c r="B424" s="4" t="s">
        <v>2575</v>
      </c>
      <c r="C424" s="3" t="s">
        <v>2576</v>
      </c>
      <c r="D424" s="3" t="s">
        <v>6764</v>
      </c>
      <c r="E424" s="3" t="s">
        <v>2577</v>
      </c>
      <c r="F424" s="3" t="s">
        <v>6765</v>
      </c>
      <c r="G424" s="3" t="s">
        <v>2578</v>
      </c>
      <c r="H424" s="3" t="s">
        <v>2579</v>
      </c>
      <c r="I424" s="3" t="s">
        <v>2580</v>
      </c>
      <c r="J424" s="3" t="s">
        <v>57</v>
      </c>
      <c r="K424" s="3" t="s">
        <v>2581</v>
      </c>
      <c r="L424" s="3" t="s">
        <v>6766</v>
      </c>
      <c r="M424" s="3" t="s">
        <v>57</v>
      </c>
      <c r="N424" s="2"/>
      <c r="O424" s="3" t="s">
        <v>39</v>
      </c>
      <c r="P424" s="3" t="s">
        <v>60</v>
      </c>
      <c r="Q424" s="3" t="s">
        <v>5100</v>
      </c>
      <c r="R424" s="3" t="s">
        <v>2563</v>
      </c>
      <c r="S424" s="3" t="s">
        <v>29</v>
      </c>
      <c r="T424" s="3" t="s">
        <v>2582</v>
      </c>
      <c r="U424" s="3" t="s">
        <v>2583</v>
      </c>
      <c r="V424" s="3" t="s">
        <v>2584</v>
      </c>
      <c r="W424" s="2"/>
      <c r="X424" s="2"/>
      <c r="Y424" s="2"/>
    </row>
    <row r="425" spans="1:25" x14ac:dyDescent="0.2">
      <c r="A425" s="3">
        <v>960</v>
      </c>
      <c r="B425" s="4" t="s">
        <v>2585</v>
      </c>
      <c r="C425" s="3" t="s">
        <v>2586</v>
      </c>
      <c r="D425" s="3" t="s">
        <v>6770</v>
      </c>
      <c r="E425" s="3" t="s">
        <v>2587</v>
      </c>
      <c r="F425" s="3" t="s">
        <v>6771</v>
      </c>
      <c r="G425" s="3" t="s">
        <v>2588</v>
      </c>
      <c r="H425" s="2"/>
      <c r="I425" s="2"/>
      <c r="J425" s="3" t="s">
        <v>2589</v>
      </c>
      <c r="K425" s="3" t="s">
        <v>2590</v>
      </c>
      <c r="L425" s="3" t="s">
        <v>6772</v>
      </c>
      <c r="M425" s="2"/>
      <c r="N425" s="2"/>
      <c r="O425" s="3" t="s">
        <v>26</v>
      </c>
      <c r="P425" s="2"/>
      <c r="Q425" s="3">
        <v>0</v>
      </c>
      <c r="R425" s="3" t="s">
        <v>1215</v>
      </c>
      <c r="S425" s="3" t="s">
        <v>29</v>
      </c>
      <c r="T425" s="3" t="s">
        <v>2591</v>
      </c>
      <c r="U425" s="3" t="s">
        <v>2592</v>
      </c>
      <c r="V425" s="3" t="s">
        <v>2593</v>
      </c>
      <c r="W425" s="2"/>
      <c r="X425" s="2"/>
      <c r="Y425" s="2"/>
    </row>
    <row r="426" spans="1:25" x14ac:dyDescent="0.2">
      <c r="A426" s="3">
        <v>1821</v>
      </c>
      <c r="B426" s="4" t="s">
        <v>2594</v>
      </c>
      <c r="C426" s="3" t="s">
        <v>2595</v>
      </c>
      <c r="D426" s="3" t="s">
        <v>6776</v>
      </c>
      <c r="E426" s="3" t="s">
        <v>2596</v>
      </c>
      <c r="F426" s="3" t="s">
        <v>6777</v>
      </c>
      <c r="G426" s="3" t="s">
        <v>77</v>
      </c>
      <c r="H426" s="3" t="s">
        <v>2501</v>
      </c>
      <c r="I426" s="3" t="s">
        <v>2501</v>
      </c>
      <c r="J426" s="3" t="s">
        <v>110</v>
      </c>
      <c r="K426" s="3" t="s">
        <v>2597</v>
      </c>
      <c r="L426" s="3" t="s">
        <v>6778</v>
      </c>
      <c r="M426" s="2"/>
      <c r="N426" s="2"/>
      <c r="O426" s="3" t="s">
        <v>26</v>
      </c>
      <c r="P426" s="3" t="s">
        <v>95</v>
      </c>
      <c r="Q426" s="3" t="s">
        <v>5297</v>
      </c>
      <c r="R426" s="3" t="s">
        <v>1215</v>
      </c>
      <c r="S426" s="3" t="s">
        <v>29</v>
      </c>
      <c r="T426" s="3" t="s">
        <v>2598</v>
      </c>
      <c r="U426" s="3" t="s">
        <v>2599</v>
      </c>
      <c r="V426" s="3" t="s">
        <v>357</v>
      </c>
      <c r="W426" s="2"/>
      <c r="X426" s="2"/>
      <c r="Y426" s="2"/>
    </row>
    <row r="427" spans="1:25" x14ac:dyDescent="0.2">
      <c r="A427" s="3">
        <v>2102</v>
      </c>
      <c r="B427" s="4" t="s">
        <v>2600</v>
      </c>
      <c r="C427" s="3" t="s">
        <v>2601</v>
      </c>
      <c r="D427" s="3" t="s">
        <v>6781</v>
      </c>
      <c r="E427" s="3" t="s">
        <v>2602</v>
      </c>
      <c r="F427" s="3" t="s">
        <v>6782</v>
      </c>
      <c r="G427" s="3" t="s">
        <v>2578</v>
      </c>
      <c r="H427" s="2"/>
      <c r="I427" s="2"/>
      <c r="J427" s="3" t="s">
        <v>258</v>
      </c>
      <c r="K427" s="3" t="s">
        <v>2603</v>
      </c>
      <c r="L427" s="3" t="s">
        <v>6783</v>
      </c>
      <c r="M427" s="2"/>
      <c r="N427" s="2"/>
      <c r="O427" s="3" t="s">
        <v>39</v>
      </c>
      <c r="P427" s="3" t="s">
        <v>27</v>
      </c>
      <c r="Q427" s="3" t="s">
        <v>5079</v>
      </c>
      <c r="R427" s="3" t="s">
        <v>1215</v>
      </c>
      <c r="S427" s="3" t="s">
        <v>29</v>
      </c>
      <c r="T427" s="3" t="s">
        <v>2604</v>
      </c>
      <c r="U427" s="3" t="s">
        <v>314</v>
      </c>
      <c r="V427" s="3" t="s">
        <v>27</v>
      </c>
      <c r="W427" s="2"/>
      <c r="X427" s="2"/>
      <c r="Y427" s="2"/>
    </row>
    <row r="428" spans="1:25" x14ac:dyDescent="0.2">
      <c r="A428" s="3">
        <v>336</v>
      </c>
      <c r="B428" s="4" t="s">
        <v>2605</v>
      </c>
      <c r="C428" s="3" t="s">
        <v>2606</v>
      </c>
      <c r="D428" s="3" t="s">
        <v>6785</v>
      </c>
      <c r="E428" s="3" t="s">
        <v>2607</v>
      </c>
      <c r="F428" s="3" t="s">
        <v>6786</v>
      </c>
      <c r="G428" s="3" t="s">
        <v>467</v>
      </c>
      <c r="H428" s="3" t="s">
        <v>2608</v>
      </c>
      <c r="I428" s="3" t="s">
        <v>2609</v>
      </c>
      <c r="J428" s="3" t="s">
        <v>110</v>
      </c>
      <c r="K428" s="3" t="s">
        <v>2610</v>
      </c>
      <c r="L428" s="3" t="s">
        <v>6787</v>
      </c>
      <c r="M428" s="2"/>
      <c r="N428" s="2"/>
      <c r="O428" s="3" t="s">
        <v>26</v>
      </c>
      <c r="P428" s="3" t="s">
        <v>27</v>
      </c>
      <c r="Q428" s="3" t="s">
        <v>5079</v>
      </c>
      <c r="R428" s="3" t="s">
        <v>1215</v>
      </c>
      <c r="S428" s="3" t="s">
        <v>2611</v>
      </c>
      <c r="T428" s="3" t="s">
        <v>2612</v>
      </c>
      <c r="U428" s="3" t="s">
        <v>314</v>
      </c>
      <c r="V428" s="3" t="s">
        <v>2613</v>
      </c>
      <c r="W428" s="2"/>
      <c r="X428" s="2"/>
      <c r="Y428" s="2"/>
    </row>
    <row r="429" spans="1:25" x14ac:dyDescent="0.2">
      <c r="A429" s="3">
        <v>939</v>
      </c>
      <c r="B429" s="4" t="s">
        <v>2614</v>
      </c>
      <c r="C429" s="3" t="s">
        <v>2615</v>
      </c>
      <c r="D429" s="3" t="s">
        <v>6791</v>
      </c>
      <c r="E429" s="3" t="s">
        <v>2616</v>
      </c>
      <c r="F429" s="3" t="s">
        <v>6792</v>
      </c>
      <c r="G429" s="3" t="s">
        <v>2617</v>
      </c>
      <c r="H429" s="3" t="s">
        <v>2618</v>
      </c>
      <c r="I429" s="3" t="s">
        <v>2619</v>
      </c>
      <c r="J429" s="3" t="s">
        <v>57</v>
      </c>
      <c r="K429" s="3" t="s">
        <v>2581</v>
      </c>
      <c r="L429" s="3" t="s">
        <v>6766</v>
      </c>
      <c r="M429" s="3" t="s">
        <v>57</v>
      </c>
      <c r="N429" s="2"/>
      <c r="O429" s="3" t="s">
        <v>39</v>
      </c>
      <c r="P429" s="3" t="s">
        <v>60</v>
      </c>
      <c r="Q429" s="3" t="s">
        <v>5100</v>
      </c>
      <c r="R429" s="3" t="s">
        <v>2563</v>
      </c>
      <c r="S429" s="3" t="s">
        <v>29</v>
      </c>
      <c r="T429" s="3" t="s">
        <v>2620</v>
      </c>
      <c r="U429" s="3" t="s">
        <v>43</v>
      </c>
      <c r="V429" s="3" t="s">
        <v>60</v>
      </c>
      <c r="W429" s="2"/>
      <c r="X429" s="2"/>
      <c r="Y429" s="2"/>
    </row>
    <row r="430" spans="1:25" x14ac:dyDescent="0.2">
      <c r="A430" s="3">
        <v>1506</v>
      </c>
      <c r="B430" s="4" t="s">
        <v>2621</v>
      </c>
      <c r="C430" s="3" t="s">
        <v>2622</v>
      </c>
      <c r="D430" s="3" t="s">
        <v>6794</v>
      </c>
      <c r="E430" s="3" t="s">
        <v>2623</v>
      </c>
      <c r="F430" s="3" t="s">
        <v>6795</v>
      </c>
      <c r="G430" s="3" t="s">
        <v>2213</v>
      </c>
      <c r="H430" s="3" t="s">
        <v>2608</v>
      </c>
      <c r="I430" s="2"/>
      <c r="J430" s="3" t="s">
        <v>36</v>
      </c>
      <c r="K430" s="3" t="s">
        <v>2624</v>
      </c>
      <c r="L430" s="3" t="s">
        <v>6796</v>
      </c>
      <c r="M430" s="2"/>
      <c r="N430" s="2"/>
      <c r="O430" s="3" t="s">
        <v>39</v>
      </c>
      <c r="P430" s="3" t="s">
        <v>60</v>
      </c>
      <c r="Q430" s="3" t="s">
        <v>5100</v>
      </c>
      <c r="R430" s="3" t="s">
        <v>1215</v>
      </c>
      <c r="S430" s="3" t="s">
        <v>29</v>
      </c>
      <c r="T430" s="3" t="s">
        <v>2625</v>
      </c>
      <c r="U430" s="3" t="s">
        <v>43</v>
      </c>
      <c r="V430" s="3" t="s">
        <v>60</v>
      </c>
      <c r="W430" s="3" t="s">
        <v>2626</v>
      </c>
      <c r="X430" s="2"/>
      <c r="Y430" s="2"/>
    </row>
    <row r="431" spans="1:25" x14ac:dyDescent="0.2">
      <c r="A431" s="3">
        <v>1691</v>
      </c>
      <c r="B431" s="4" t="s">
        <v>2627</v>
      </c>
      <c r="C431" s="3" t="s">
        <v>2628</v>
      </c>
      <c r="D431" s="3" t="s">
        <v>6799</v>
      </c>
      <c r="E431" s="3" t="s">
        <v>2629</v>
      </c>
      <c r="F431" s="3" t="s">
        <v>6800</v>
      </c>
      <c r="G431" s="3" t="s">
        <v>2369</v>
      </c>
      <c r="H431" s="3" t="s">
        <v>1727</v>
      </c>
      <c r="I431" s="3" t="s">
        <v>1955</v>
      </c>
      <c r="J431" s="3" t="s">
        <v>2630</v>
      </c>
      <c r="K431" s="3" t="s">
        <v>2631</v>
      </c>
      <c r="L431" s="3" t="s">
        <v>6801</v>
      </c>
      <c r="M431" s="3" t="s">
        <v>2630</v>
      </c>
      <c r="N431" s="2"/>
      <c r="O431" s="3" t="s">
        <v>26</v>
      </c>
      <c r="P431" s="3" t="s">
        <v>95</v>
      </c>
      <c r="Q431" s="3" t="s">
        <v>5297</v>
      </c>
      <c r="R431" s="3" t="s">
        <v>2563</v>
      </c>
      <c r="S431" s="3" t="s">
        <v>29</v>
      </c>
      <c r="T431" s="3" t="s">
        <v>2632</v>
      </c>
      <c r="U431" s="2"/>
      <c r="V431" s="3" t="s">
        <v>357</v>
      </c>
      <c r="W431" s="2"/>
      <c r="X431" s="2"/>
      <c r="Y431" s="2"/>
    </row>
    <row r="432" spans="1:25" x14ac:dyDescent="0.2">
      <c r="A432" s="3">
        <v>1858</v>
      </c>
      <c r="B432" s="4" t="s">
        <v>2633</v>
      </c>
      <c r="C432" s="3" t="s">
        <v>2634</v>
      </c>
      <c r="D432" s="3" t="s">
        <v>6803</v>
      </c>
      <c r="E432" s="3" t="s">
        <v>2635</v>
      </c>
      <c r="F432" s="3" t="s">
        <v>6804</v>
      </c>
      <c r="G432" s="3" t="s">
        <v>2527</v>
      </c>
      <c r="H432" s="3" t="s">
        <v>531</v>
      </c>
      <c r="I432" s="3" t="s">
        <v>2327</v>
      </c>
      <c r="J432" s="3" t="s">
        <v>84</v>
      </c>
      <c r="K432" s="3" t="s">
        <v>2636</v>
      </c>
      <c r="L432" s="3" t="s">
        <v>6805</v>
      </c>
      <c r="M432" s="2"/>
      <c r="N432" s="2"/>
      <c r="O432" s="3" t="s">
        <v>26</v>
      </c>
      <c r="P432" s="3" t="s">
        <v>95</v>
      </c>
      <c r="Q432" s="3" t="s">
        <v>5297</v>
      </c>
      <c r="R432" s="3" t="s">
        <v>1215</v>
      </c>
      <c r="S432" s="3" t="s">
        <v>29</v>
      </c>
      <c r="T432" s="3" t="s">
        <v>2637</v>
      </c>
      <c r="U432" s="3" t="s">
        <v>43</v>
      </c>
      <c r="V432" s="3" t="s">
        <v>357</v>
      </c>
      <c r="W432" s="3" t="s">
        <v>1348</v>
      </c>
      <c r="X432" s="2"/>
      <c r="Y432" s="2"/>
    </row>
    <row r="433" spans="1:25" x14ac:dyDescent="0.2">
      <c r="A433" s="3">
        <v>1530</v>
      </c>
      <c r="B433" s="4" t="s">
        <v>2638</v>
      </c>
      <c r="C433" s="3" t="s">
        <v>2639</v>
      </c>
      <c r="D433" s="3" t="s">
        <v>6807</v>
      </c>
      <c r="E433" s="3" t="s">
        <v>2640</v>
      </c>
      <c r="F433" s="3" t="s">
        <v>6808</v>
      </c>
      <c r="G433" s="3" t="s">
        <v>2641</v>
      </c>
      <c r="H433" s="3" t="s">
        <v>1498</v>
      </c>
      <c r="I433" s="3" t="s">
        <v>2642</v>
      </c>
      <c r="J433" s="3" t="s">
        <v>57</v>
      </c>
      <c r="K433" s="3" t="s">
        <v>2581</v>
      </c>
      <c r="L433" s="3" t="s">
        <v>6766</v>
      </c>
      <c r="M433" s="2"/>
      <c r="N433" s="2"/>
      <c r="O433" s="3" t="s">
        <v>39</v>
      </c>
      <c r="P433" s="3" t="s">
        <v>60</v>
      </c>
      <c r="Q433" s="3" t="s">
        <v>5100</v>
      </c>
      <c r="R433" s="3" t="s">
        <v>28</v>
      </c>
      <c r="S433" s="3" t="s">
        <v>29</v>
      </c>
      <c r="T433" s="3" t="s">
        <v>2643</v>
      </c>
      <c r="U433" s="3" t="s">
        <v>2644</v>
      </c>
      <c r="V433" s="3" t="s">
        <v>60</v>
      </c>
      <c r="W433" s="3" t="s">
        <v>219</v>
      </c>
      <c r="X433" s="2"/>
      <c r="Y433" s="2"/>
    </row>
    <row r="434" spans="1:25" x14ac:dyDescent="0.2">
      <c r="A434" s="3">
        <v>1276</v>
      </c>
      <c r="B434" s="4" t="s">
        <v>2645</v>
      </c>
      <c r="C434" s="3" t="s">
        <v>2646</v>
      </c>
      <c r="D434" s="3" t="s">
        <v>6811</v>
      </c>
      <c r="E434" s="3" t="s">
        <v>2647</v>
      </c>
      <c r="F434" s="3" t="s">
        <v>6812</v>
      </c>
      <c r="G434" s="3" t="s">
        <v>2648</v>
      </c>
      <c r="H434" s="3" t="s">
        <v>2649</v>
      </c>
      <c r="I434" s="3" t="s">
        <v>823</v>
      </c>
      <c r="J434" s="3" t="s">
        <v>57</v>
      </c>
      <c r="K434" s="3" t="s">
        <v>2650</v>
      </c>
      <c r="L434" s="3" t="s">
        <v>6813</v>
      </c>
      <c r="M434" s="2"/>
      <c r="N434" s="2"/>
      <c r="O434" s="3" t="s">
        <v>39</v>
      </c>
      <c r="P434" s="3" t="s">
        <v>60</v>
      </c>
      <c r="Q434" s="3" t="s">
        <v>5100</v>
      </c>
      <c r="R434" s="3" t="s">
        <v>28</v>
      </c>
      <c r="S434" s="3" t="s">
        <v>29</v>
      </c>
      <c r="T434" s="3" t="s">
        <v>2651</v>
      </c>
      <c r="U434" s="3" t="s">
        <v>2652</v>
      </c>
      <c r="V434" s="3" t="s">
        <v>60</v>
      </c>
      <c r="W434" s="3" t="s">
        <v>2653</v>
      </c>
      <c r="X434" s="2"/>
      <c r="Y434" s="2"/>
    </row>
    <row r="435" spans="1:25" x14ac:dyDescent="0.2">
      <c r="A435" s="3">
        <v>1281</v>
      </c>
      <c r="B435" s="4" t="s">
        <v>2654</v>
      </c>
      <c r="C435" s="3" t="s">
        <v>2655</v>
      </c>
      <c r="D435" s="3" t="s">
        <v>6817</v>
      </c>
      <c r="E435" s="3" t="s">
        <v>2656</v>
      </c>
      <c r="F435" s="3" t="s">
        <v>6818</v>
      </c>
      <c r="G435" s="3" t="s">
        <v>1727</v>
      </c>
      <c r="H435" s="3" t="s">
        <v>658</v>
      </c>
      <c r="I435" s="3" t="s">
        <v>658</v>
      </c>
      <c r="J435" s="3" t="s">
        <v>660</v>
      </c>
      <c r="K435" s="3" t="s">
        <v>2657</v>
      </c>
      <c r="L435" s="3" t="s">
        <v>6819</v>
      </c>
      <c r="M435" s="2"/>
      <c r="N435" s="2"/>
      <c r="O435" s="3" t="s">
        <v>26</v>
      </c>
      <c r="P435" s="3" t="s">
        <v>2658</v>
      </c>
      <c r="Q435" s="3" t="s">
        <v>6820</v>
      </c>
      <c r="R435" s="3" t="s">
        <v>1215</v>
      </c>
      <c r="S435" s="3" t="s">
        <v>2314</v>
      </c>
      <c r="T435" s="3" t="s">
        <v>2659</v>
      </c>
      <c r="U435" s="3" t="s">
        <v>43</v>
      </c>
      <c r="V435" s="3" t="s">
        <v>2660</v>
      </c>
      <c r="W435" s="2"/>
      <c r="X435" s="2"/>
      <c r="Y435" s="2"/>
    </row>
    <row r="436" spans="1:25" x14ac:dyDescent="0.2">
      <c r="A436" s="3">
        <v>2104</v>
      </c>
      <c r="B436" s="4" t="s">
        <v>2661</v>
      </c>
      <c r="C436" s="3" t="s">
        <v>2662</v>
      </c>
      <c r="D436" s="3" t="s">
        <v>6823</v>
      </c>
      <c r="E436" s="3" t="s">
        <v>2663</v>
      </c>
      <c r="F436" s="3" t="s">
        <v>6824</v>
      </c>
      <c r="G436" s="3" t="s">
        <v>608</v>
      </c>
      <c r="H436" s="3" t="s">
        <v>1655</v>
      </c>
      <c r="I436" s="3" t="s">
        <v>1655</v>
      </c>
      <c r="J436" s="3" t="s">
        <v>258</v>
      </c>
      <c r="K436" s="3" t="s">
        <v>258</v>
      </c>
      <c r="L436" s="3" t="s">
        <v>5227</v>
      </c>
      <c r="M436" s="2"/>
      <c r="N436" s="6" t="s">
        <v>2664</v>
      </c>
      <c r="O436" s="3" t="s">
        <v>39</v>
      </c>
      <c r="P436" s="3" t="s">
        <v>461</v>
      </c>
      <c r="Q436" s="3" t="s">
        <v>5367</v>
      </c>
      <c r="R436" s="3" t="s">
        <v>1215</v>
      </c>
      <c r="S436" s="3" t="s">
        <v>413</v>
      </c>
      <c r="T436" s="3" t="s">
        <v>2665</v>
      </c>
      <c r="U436" s="3" t="s">
        <v>43</v>
      </c>
      <c r="V436" s="3" t="s">
        <v>461</v>
      </c>
      <c r="W436" s="2"/>
      <c r="X436" s="2"/>
      <c r="Y436" s="2"/>
    </row>
    <row r="437" spans="1:25" x14ac:dyDescent="0.2">
      <c r="A437" s="3">
        <v>689</v>
      </c>
      <c r="B437" s="4" t="s">
        <v>2666</v>
      </c>
      <c r="C437" s="3" t="s">
        <v>2667</v>
      </c>
      <c r="D437" s="3" t="s">
        <v>6826</v>
      </c>
      <c r="E437" s="3" t="s">
        <v>2668</v>
      </c>
      <c r="F437" s="3" t="s">
        <v>6827</v>
      </c>
      <c r="G437" s="3" t="s">
        <v>2669</v>
      </c>
      <c r="H437" s="2"/>
      <c r="I437" s="2"/>
      <c r="J437" s="3" t="s">
        <v>36</v>
      </c>
      <c r="K437" s="3" t="s">
        <v>2670</v>
      </c>
      <c r="L437" s="3" t="s">
        <v>6828</v>
      </c>
      <c r="M437" s="2"/>
      <c r="N437" s="2"/>
      <c r="O437" s="3" t="s">
        <v>39</v>
      </c>
      <c r="P437" s="3" t="s">
        <v>2671</v>
      </c>
      <c r="Q437" s="3" t="s">
        <v>6829</v>
      </c>
      <c r="R437" s="3" t="s">
        <v>1215</v>
      </c>
      <c r="S437" s="3" t="s">
        <v>29</v>
      </c>
      <c r="T437" s="3" t="s">
        <v>2672</v>
      </c>
      <c r="U437" s="2"/>
      <c r="V437" s="3" t="s">
        <v>2673</v>
      </c>
      <c r="W437" s="2"/>
      <c r="X437" s="2"/>
      <c r="Y437" s="2"/>
    </row>
    <row r="438" spans="1:25" x14ac:dyDescent="0.2">
      <c r="A438" s="3">
        <v>1164</v>
      </c>
      <c r="B438" s="4" t="s">
        <v>2674</v>
      </c>
      <c r="C438" s="3" t="s">
        <v>2675</v>
      </c>
      <c r="D438" s="3" t="s">
        <v>6832</v>
      </c>
      <c r="E438" s="3" t="s">
        <v>2676</v>
      </c>
      <c r="F438" s="3" t="s">
        <v>6833</v>
      </c>
      <c r="G438" s="3" t="s">
        <v>2677</v>
      </c>
      <c r="H438" s="2"/>
      <c r="I438" s="2"/>
      <c r="J438" s="3" t="s">
        <v>2678</v>
      </c>
      <c r="K438" s="3" t="s">
        <v>2678</v>
      </c>
      <c r="L438" s="3" t="s">
        <v>6834</v>
      </c>
      <c r="M438" s="2"/>
      <c r="N438" s="6" t="s">
        <v>2674</v>
      </c>
      <c r="O438" s="3" t="s">
        <v>26</v>
      </c>
      <c r="P438" s="3" t="s">
        <v>27</v>
      </c>
      <c r="Q438" s="3" t="s">
        <v>5079</v>
      </c>
      <c r="R438" s="3" t="s">
        <v>28</v>
      </c>
      <c r="S438" s="3" t="s">
        <v>29</v>
      </c>
      <c r="T438" s="3" t="s">
        <v>2679</v>
      </c>
      <c r="U438" s="3" t="s">
        <v>43</v>
      </c>
      <c r="V438" s="3" t="s">
        <v>27</v>
      </c>
      <c r="W438" s="2"/>
      <c r="X438" s="2"/>
      <c r="Y438" s="2"/>
    </row>
    <row r="439" spans="1:25" x14ac:dyDescent="0.2">
      <c r="A439" s="3">
        <v>1277</v>
      </c>
      <c r="B439" s="4" t="s">
        <v>2680</v>
      </c>
      <c r="C439" s="3" t="s">
        <v>2681</v>
      </c>
      <c r="D439" s="3" t="s">
        <v>6836</v>
      </c>
      <c r="E439" s="3" t="s">
        <v>2682</v>
      </c>
      <c r="F439" s="3" t="s">
        <v>6837</v>
      </c>
      <c r="G439" s="3" t="s">
        <v>445</v>
      </c>
      <c r="H439" s="3" t="s">
        <v>1997</v>
      </c>
      <c r="I439" s="3" t="s">
        <v>2683</v>
      </c>
      <c r="J439" s="3" t="s">
        <v>57</v>
      </c>
      <c r="K439" s="3" t="s">
        <v>2684</v>
      </c>
      <c r="L439" s="3" t="s">
        <v>6838</v>
      </c>
      <c r="M439" s="2"/>
      <c r="N439" s="2"/>
      <c r="O439" s="3" t="s">
        <v>39</v>
      </c>
      <c r="P439" s="3" t="s">
        <v>60</v>
      </c>
      <c r="Q439" s="3" t="s">
        <v>5100</v>
      </c>
      <c r="R439" s="3" t="s">
        <v>2563</v>
      </c>
      <c r="S439" s="3" t="s">
        <v>29</v>
      </c>
      <c r="T439" s="3" t="s">
        <v>2685</v>
      </c>
      <c r="U439" s="3" t="s">
        <v>253</v>
      </c>
      <c r="V439" s="3" t="s">
        <v>60</v>
      </c>
      <c r="W439" s="2"/>
      <c r="X439" s="2"/>
      <c r="Y439" s="2"/>
    </row>
    <row r="440" spans="1:25" x14ac:dyDescent="0.2">
      <c r="A440" s="3">
        <v>992</v>
      </c>
      <c r="B440" s="4" t="s">
        <v>2686</v>
      </c>
      <c r="C440" s="3" t="s">
        <v>2687</v>
      </c>
      <c r="D440" s="3" t="s">
        <v>6840</v>
      </c>
      <c r="E440" s="3" t="s">
        <v>2688</v>
      </c>
      <c r="F440" s="3" t="s">
        <v>6841</v>
      </c>
      <c r="G440" s="3" t="s">
        <v>2689</v>
      </c>
      <c r="H440" s="3" t="s">
        <v>1280</v>
      </c>
      <c r="I440" s="3" t="s">
        <v>1280</v>
      </c>
      <c r="J440" s="3" t="s">
        <v>110</v>
      </c>
      <c r="K440" s="3" t="s">
        <v>2597</v>
      </c>
      <c r="L440" s="3" t="s">
        <v>6778</v>
      </c>
      <c r="M440" s="2"/>
      <c r="N440" s="6" t="s">
        <v>2690</v>
      </c>
      <c r="O440" s="3" t="s">
        <v>26</v>
      </c>
      <c r="P440" s="3" t="s">
        <v>2691</v>
      </c>
      <c r="Q440" s="3" t="s">
        <v>6842</v>
      </c>
      <c r="R440" s="3" t="s">
        <v>1215</v>
      </c>
      <c r="S440" s="3" t="s">
        <v>29</v>
      </c>
      <c r="T440" s="3" t="s">
        <v>2692</v>
      </c>
      <c r="U440" s="3" t="s">
        <v>2693</v>
      </c>
      <c r="V440" s="3" t="s">
        <v>357</v>
      </c>
      <c r="W440" s="2"/>
      <c r="X440" s="2"/>
      <c r="Y440" s="2"/>
    </row>
    <row r="441" spans="1:25" x14ac:dyDescent="0.2">
      <c r="A441" s="3">
        <v>940</v>
      </c>
      <c r="B441" s="4" t="s">
        <v>2694</v>
      </c>
      <c r="C441" s="3" t="s">
        <v>2695</v>
      </c>
      <c r="D441" s="3" t="s">
        <v>6845</v>
      </c>
      <c r="E441" s="3" t="s">
        <v>2696</v>
      </c>
      <c r="F441" s="3" t="s">
        <v>6846</v>
      </c>
      <c r="G441" s="3" t="s">
        <v>2697</v>
      </c>
      <c r="H441" s="3" t="s">
        <v>2698</v>
      </c>
      <c r="I441" s="3" t="s">
        <v>2699</v>
      </c>
      <c r="J441" s="3" t="s">
        <v>57</v>
      </c>
      <c r="K441" s="3" t="s">
        <v>2581</v>
      </c>
      <c r="L441" s="3" t="s">
        <v>6766</v>
      </c>
      <c r="M441" s="2"/>
      <c r="N441" s="2"/>
      <c r="O441" s="3" t="s">
        <v>39</v>
      </c>
      <c r="P441" s="3" t="s">
        <v>60</v>
      </c>
      <c r="Q441" s="3" t="s">
        <v>5100</v>
      </c>
      <c r="R441" s="3" t="s">
        <v>2563</v>
      </c>
      <c r="S441" s="3" t="s">
        <v>29</v>
      </c>
      <c r="T441" s="3" t="s">
        <v>2700</v>
      </c>
      <c r="U441" s="3" t="s">
        <v>253</v>
      </c>
      <c r="V441" s="3" t="s">
        <v>2701</v>
      </c>
      <c r="W441" s="2"/>
      <c r="X441" s="2"/>
      <c r="Y441" s="2"/>
    </row>
    <row r="442" spans="1:25" x14ac:dyDescent="0.2">
      <c r="A442" s="3">
        <v>894</v>
      </c>
      <c r="B442" s="4" t="s">
        <v>2702</v>
      </c>
      <c r="C442" s="3" t="s">
        <v>2703</v>
      </c>
      <c r="D442" s="3" t="s">
        <v>6849</v>
      </c>
      <c r="E442" s="3" t="s">
        <v>2704</v>
      </c>
      <c r="F442" s="3" t="s">
        <v>6850</v>
      </c>
      <c r="G442" s="3" t="s">
        <v>2705</v>
      </c>
      <c r="H442" s="3" t="s">
        <v>431</v>
      </c>
      <c r="I442" s="3" t="s">
        <v>2706</v>
      </c>
      <c r="J442" s="3" t="s">
        <v>2707</v>
      </c>
      <c r="K442" s="3" t="s">
        <v>2708</v>
      </c>
      <c r="L442" s="3" t="s">
        <v>6851</v>
      </c>
      <c r="M442" s="2"/>
      <c r="N442" s="6" t="s">
        <v>2709</v>
      </c>
      <c r="O442" s="3" t="s">
        <v>26</v>
      </c>
      <c r="P442" s="3" t="s">
        <v>357</v>
      </c>
      <c r="Q442" s="3" t="s">
        <v>5297</v>
      </c>
      <c r="R442" s="3" t="s">
        <v>2563</v>
      </c>
      <c r="S442" s="3" t="s">
        <v>29</v>
      </c>
      <c r="T442" s="3" t="s">
        <v>2710</v>
      </c>
      <c r="U442" s="3" t="s">
        <v>1374</v>
      </c>
      <c r="V442" s="3" t="s">
        <v>357</v>
      </c>
      <c r="W442" s="3" t="s">
        <v>2533</v>
      </c>
      <c r="X442" s="2"/>
      <c r="Y442" s="2"/>
    </row>
    <row r="443" spans="1:25" x14ac:dyDescent="0.2">
      <c r="A443" s="3">
        <v>218</v>
      </c>
      <c r="B443" s="4" t="s">
        <v>2711</v>
      </c>
      <c r="C443" s="3" t="s">
        <v>2712</v>
      </c>
      <c r="D443" s="3" t="s">
        <v>6853</v>
      </c>
      <c r="E443" s="3" t="s">
        <v>2713</v>
      </c>
      <c r="F443" s="3" t="s">
        <v>6854</v>
      </c>
      <c r="G443" s="3" t="s">
        <v>705</v>
      </c>
      <c r="H443" s="3" t="s">
        <v>2714</v>
      </c>
      <c r="I443" s="3" t="s">
        <v>1031</v>
      </c>
      <c r="J443" s="3" t="s">
        <v>57</v>
      </c>
      <c r="K443" s="3" t="s">
        <v>2581</v>
      </c>
      <c r="L443" s="3" t="s">
        <v>6766</v>
      </c>
      <c r="M443" s="2"/>
      <c r="N443" s="2"/>
      <c r="O443" s="3" t="s">
        <v>26</v>
      </c>
      <c r="P443" s="3" t="s">
        <v>60</v>
      </c>
      <c r="Q443" s="3" t="s">
        <v>5100</v>
      </c>
      <c r="R443" s="3" t="s">
        <v>2563</v>
      </c>
      <c r="S443" s="3" t="s">
        <v>29</v>
      </c>
      <c r="T443" s="3" t="s">
        <v>2715</v>
      </c>
      <c r="U443" s="3" t="s">
        <v>2716</v>
      </c>
      <c r="V443" s="3" t="s">
        <v>1459</v>
      </c>
      <c r="W443" s="2"/>
      <c r="X443" s="2"/>
      <c r="Y443" s="2"/>
    </row>
    <row r="444" spans="1:25" x14ac:dyDescent="0.2">
      <c r="A444" s="3">
        <v>123</v>
      </c>
      <c r="B444" s="4" t="s">
        <v>2717</v>
      </c>
      <c r="C444" s="3" t="s">
        <v>2718</v>
      </c>
      <c r="D444" s="3" t="s">
        <v>6857</v>
      </c>
      <c r="E444" s="3" t="s">
        <v>2719</v>
      </c>
      <c r="F444" s="3" t="s">
        <v>6858</v>
      </c>
      <c r="G444" s="3" t="s">
        <v>1212</v>
      </c>
      <c r="H444" s="3" t="s">
        <v>1275</v>
      </c>
      <c r="I444" s="3" t="s">
        <v>2168</v>
      </c>
      <c r="J444" s="3" t="s">
        <v>57</v>
      </c>
      <c r="K444" s="3" t="s">
        <v>2684</v>
      </c>
      <c r="L444" s="3" t="s">
        <v>6838</v>
      </c>
      <c r="M444" s="2"/>
      <c r="N444" s="2"/>
      <c r="O444" s="3" t="s">
        <v>39</v>
      </c>
      <c r="P444" s="3" t="s">
        <v>60</v>
      </c>
      <c r="Q444" s="3" t="s">
        <v>5100</v>
      </c>
      <c r="R444" s="3" t="s">
        <v>2563</v>
      </c>
      <c r="S444" s="3" t="s">
        <v>397</v>
      </c>
      <c r="T444" s="3" t="s">
        <v>2720</v>
      </c>
      <c r="U444" s="3" t="s">
        <v>2721</v>
      </c>
      <c r="V444" s="3" t="s">
        <v>60</v>
      </c>
      <c r="W444" s="3" t="s">
        <v>1460</v>
      </c>
      <c r="X444" s="2"/>
      <c r="Y444" s="2"/>
    </row>
    <row r="445" spans="1:25" x14ac:dyDescent="0.2">
      <c r="A445" s="3">
        <v>195</v>
      </c>
      <c r="B445" s="4" t="s">
        <v>2722</v>
      </c>
      <c r="C445" s="3" t="s">
        <v>2723</v>
      </c>
      <c r="D445" s="3" t="s">
        <v>6861</v>
      </c>
      <c r="E445" s="3" t="s">
        <v>2724</v>
      </c>
      <c r="F445" s="3" t="s">
        <v>6862</v>
      </c>
      <c r="G445" s="3" t="s">
        <v>2706</v>
      </c>
      <c r="H445" s="3" t="s">
        <v>2725</v>
      </c>
      <c r="I445" s="3" t="s">
        <v>683</v>
      </c>
      <c r="J445" s="3" t="s">
        <v>258</v>
      </c>
      <c r="K445" s="3" t="s">
        <v>2603</v>
      </c>
      <c r="L445" s="3" t="s">
        <v>6863</v>
      </c>
      <c r="M445" s="2"/>
      <c r="N445" s="4" t="s">
        <v>2726</v>
      </c>
      <c r="O445" s="3" t="s">
        <v>39</v>
      </c>
      <c r="P445" s="3" t="s">
        <v>27</v>
      </c>
      <c r="Q445" s="3" t="s">
        <v>5079</v>
      </c>
      <c r="R445" s="3" t="s">
        <v>72</v>
      </c>
      <c r="S445" s="3" t="s">
        <v>29</v>
      </c>
      <c r="T445" s="3" t="s">
        <v>2727</v>
      </c>
      <c r="U445" s="3" t="s">
        <v>1973</v>
      </c>
      <c r="V445" s="3" t="s">
        <v>27</v>
      </c>
      <c r="W445" s="2"/>
      <c r="X445" s="2"/>
      <c r="Y445" s="2"/>
    </row>
    <row r="446" spans="1:25" x14ac:dyDescent="0.2">
      <c r="A446" s="3">
        <v>41</v>
      </c>
      <c r="B446" s="4" t="s">
        <v>2728</v>
      </c>
      <c r="C446" s="3" t="s">
        <v>2729</v>
      </c>
      <c r="D446" s="3" t="s">
        <v>6866</v>
      </c>
      <c r="E446" s="3" t="s">
        <v>2730</v>
      </c>
      <c r="F446" s="3" t="s">
        <v>6867</v>
      </c>
      <c r="G446" s="3" t="s">
        <v>2327</v>
      </c>
      <c r="H446" s="3" t="s">
        <v>2731</v>
      </c>
      <c r="I446" s="3" t="s">
        <v>810</v>
      </c>
      <c r="J446" s="3" t="s">
        <v>48</v>
      </c>
      <c r="K446" s="3" t="s">
        <v>2732</v>
      </c>
      <c r="L446" s="3" t="s">
        <v>6868</v>
      </c>
      <c r="M446" s="2"/>
      <c r="N446" s="6" t="s">
        <v>2733</v>
      </c>
      <c r="O446" s="3" t="s">
        <v>26</v>
      </c>
      <c r="P446" s="3" t="s">
        <v>27</v>
      </c>
      <c r="Q446" s="3" t="s">
        <v>5079</v>
      </c>
      <c r="R446" s="3" t="s">
        <v>28</v>
      </c>
      <c r="S446" s="3" t="s">
        <v>29</v>
      </c>
      <c r="T446" s="3" t="s">
        <v>2734</v>
      </c>
      <c r="U446" s="3" t="s">
        <v>612</v>
      </c>
      <c r="V446" s="3" t="s">
        <v>2735</v>
      </c>
      <c r="W446" s="3" t="s">
        <v>1160</v>
      </c>
      <c r="X446" s="2"/>
      <c r="Y446" s="2"/>
    </row>
    <row r="447" spans="1:25" x14ac:dyDescent="0.2">
      <c r="A447" s="3">
        <v>27</v>
      </c>
      <c r="B447" s="4" t="s">
        <v>2736</v>
      </c>
      <c r="C447" s="3" t="s">
        <v>2737</v>
      </c>
      <c r="D447" s="3" t="s">
        <v>6871</v>
      </c>
      <c r="E447" s="3" t="s">
        <v>2738</v>
      </c>
      <c r="F447" s="3" t="s">
        <v>6872</v>
      </c>
      <c r="G447" s="3" t="s">
        <v>677</v>
      </c>
      <c r="H447" s="2"/>
      <c r="I447" s="2"/>
      <c r="J447" s="3" t="s">
        <v>2739</v>
      </c>
      <c r="K447" s="3" t="s">
        <v>2740</v>
      </c>
      <c r="L447" s="3" t="s">
        <v>6874</v>
      </c>
      <c r="M447" s="2"/>
      <c r="N447" s="2"/>
      <c r="O447" s="3" t="s">
        <v>39</v>
      </c>
      <c r="P447" s="3" t="s">
        <v>27</v>
      </c>
      <c r="Q447" s="3" t="s">
        <v>5079</v>
      </c>
      <c r="R447" s="3" t="s">
        <v>61</v>
      </c>
      <c r="S447" s="3" t="s">
        <v>29</v>
      </c>
      <c r="T447" s="3" t="s">
        <v>2741</v>
      </c>
      <c r="U447" s="3" t="s">
        <v>2742</v>
      </c>
      <c r="V447" s="3" t="s">
        <v>27</v>
      </c>
      <c r="W447" s="2"/>
      <c r="X447" s="2"/>
      <c r="Y447" s="2"/>
    </row>
    <row r="448" spans="1:25" x14ac:dyDescent="0.2">
      <c r="A448" s="3">
        <v>33</v>
      </c>
      <c r="B448" s="4" t="s">
        <v>2743</v>
      </c>
      <c r="C448" s="3" t="s">
        <v>2744</v>
      </c>
      <c r="D448" s="3" t="s">
        <v>6877</v>
      </c>
      <c r="E448" s="3" t="s">
        <v>2745</v>
      </c>
      <c r="F448" s="3" t="s">
        <v>6878</v>
      </c>
      <c r="G448" s="3" t="s">
        <v>2746</v>
      </c>
      <c r="H448" s="3" t="s">
        <v>2608</v>
      </c>
      <c r="I448" s="2"/>
      <c r="J448" s="3" t="s">
        <v>275</v>
      </c>
      <c r="K448" s="3" t="s">
        <v>2747</v>
      </c>
      <c r="L448" s="3" t="s">
        <v>2747</v>
      </c>
      <c r="M448" s="2"/>
      <c r="N448" s="2"/>
      <c r="O448" s="3" t="s">
        <v>26</v>
      </c>
      <c r="P448" s="3" t="s">
        <v>27</v>
      </c>
      <c r="Q448" s="3" t="s">
        <v>5079</v>
      </c>
      <c r="R448" s="3" t="s">
        <v>1215</v>
      </c>
      <c r="S448" s="3" t="s">
        <v>29</v>
      </c>
      <c r="T448" s="3" t="s">
        <v>2748</v>
      </c>
      <c r="U448" s="3" t="s">
        <v>275</v>
      </c>
      <c r="V448" s="3" t="s">
        <v>27</v>
      </c>
      <c r="W448" s="2"/>
      <c r="X448" s="2"/>
      <c r="Y448" s="2"/>
    </row>
    <row r="449" spans="1:25" x14ac:dyDescent="0.2">
      <c r="A449" s="3">
        <v>31</v>
      </c>
      <c r="B449" s="4" t="s">
        <v>2749</v>
      </c>
      <c r="C449" s="3" t="s">
        <v>2750</v>
      </c>
      <c r="D449" s="3" t="s">
        <v>6880</v>
      </c>
      <c r="E449" s="3" t="s">
        <v>2751</v>
      </c>
      <c r="F449" s="3" t="s">
        <v>6881</v>
      </c>
      <c r="G449" s="3" t="s">
        <v>2752</v>
      </c>
      <c r="H449" s="3" t="s">
        <v>2608</v>
      </c>
      <c r="I449" s="3" t="s">
        <v>2753</v>
      </c>
      <c r="J449" s="3" t="s">
        <v>275</v>
      </c>
      <c r="K449" s="3" t="s">
        <v>2747</v>
      </c>
      <c r="L449" s="3" t="s">
        <v>2747</v>
      </c>
      <c r="M449" s="2"/>
      <c r="N449" s="2"/>
      <c r="O449" s="3" t="s">
        <v>26</v>
      </c>
      <c r="P449" s="3" t="s">
        <v>27</v>
      </c>
      <c r="Q449" s="3" t="s">
        <v>5079</v>
      </c>
      <c r="R449" s="3" t="s">
        <v>1215</v>
      </c>
      <c r="S449" s="3" t="s">
        <v>29</v>
      </c>
      <c r="T449" s="3" t="s">
        <v>2754</v>
      </c>
      <c r="U449" s="3" t="s">
        <v>2755</v>
      </c>
      <c r="V449" s="3" t="s">
        <v>27</v>
      </c>
      <c r="W449" s="2"/>
      <c r="X449" s="2"/>
      <c r="Y449" s="2"/>
    </row>
    <row r="450" spans="1:25" x14ac:dyDescent="0.2">
      <c r="A450" s="3">
        <v>1008</v>
      </c>
      <c r="B450" s="4" t="s">
        <v>19</v>
      </c>
      <c r="C450" s="3" t="s">
        <v>2756</v>
      </c>
      <c r="D450" s="3" t="s">
        <v>6884</v>
      </c>
      <c r="E450" s="3" t="s">
        <v>2757</v>
      </c>
      <c r="F450" s="3" t="s">
        <v>6885</v>
      </c>
      <c r="G450" s="3" t="s">
        <v>22</v>
      </c>
      <c r="H450" s="2"/>
      <c r="I450" s="2"/>
      <c r="J450" s="3" t="s">
        <v>23</v>
      </c>
      <c r="K450" s="3" t="s">
        <v>2758</v>
      </c>
      <c r="L450" s="3" t="s">
        <v>2758</v>
      </c>
      <c r="M450" s="2"/>
      <c r="N450" s="2"/>
      <c r="O450" s="3" t="s">
        <v>26</v>
      </c>
      <c r="P450" s="3" t="s">
        <v>27</v>
      </c>
      <c r="Q450" s="3" t="s">
        <v>5079</v>
      </c>
      <c r="R450" s="3" t="s">
        <v>28</v>
      </c>
      <c r="S450" s="3" t="s">
        <v>29</v>
      </c>
      <c r="T450" s="3" t="s">
        <v>2759</v>
      </c>
      <c r="U450" s="3" t="s">
        <v>275</v>
      </c>
      <c r="V450" s="3" t="s">
        <v>27</v>
      </c>
      <c r="W450" s="2"/>
      <c r="X450" s="2"/>
      <c r="Y450" s="2"/>
    </row>
    <row r="451" spans="1:25" x14ac:dyDescent="0.2">
      <c r="A451" s="3">
        <v>1042</v>
      </c>
      <c r="B451" s="4" t="s">
        <v>2760</v>
      </c>
      <c r="C451" s="3" t="s">
        <v>2761</v>
      </c>
      <c r="D451" s="3" t="s">
        <v>6887</v>
      </c>
      <c r="E451" s="3" t="s">
        <v>2762</v>
      </c>
      <c r="F451" s="3" t="s">
        <v>6888</v>
      </c>
      <c r="G451" s="3" t="s">
        <v>2763</v>
      </c>
      <c r="H451" s="3" t="s">
        <v>1222</v>
      </c>
      <c r="I451" s="3" t="s">
        <v>2763</v>
      </c>
      <c r="J451" s="3" t="s">
        <v>1684</v>
      </c>
      <c r="K451" s="3" t="s">
        <v>2764</v>
      </c>
      <c r="L451" s="3" t="s">
        <v>2764</v>
      </c>
      <c r="M451" s="2"/>
      <c r="N451" s="2"/>
      <c r="O451" s="3" t="s">
        <v>26</v>
      </c>
      <c r="P451" s="3" t="s">
        <v>2765</v>
      </c>
      <c r="Q451" s="3" t="s">
        <v>6889</v>
      </c>
      <c r="R451" s="3" t="s">
        <v>1215</v>
      </c>
      <c r="S451" s="3" t="s">
        <v>29</v>
      </c>
      <c r="T451" s="3" t="s">
        <v>2766</v>
      </c>
      <c r="U451" s="2"/>
      <c r="V451" s="3" t="s">
        <v>245</v>
      </c>
      <c r="W451" s="2"/>
      <c r="X451" s="2"/>
      <c r="Y451" s="2"/>
    </row>
    <row r="452" spans="1:25" x14ac:dyDescent="0.2">
      <c r="A452" s="3">
        <v>708</v>
      </c>
      <c r="B452" s="4" t="s">
        <v>2767</v>
      </c>
      <c r="C452" s="3" t="s">
        <v>2768</v>
      </c>
      <c r="D452" s="3" t="s">
        <v>6891</v>
      </c>
      <c r="E452" s="3" t="s">
        <v>2769</v>
      </c>
      <c r="F452" s="3" t="s">
        <v>6892</v>
      </c>
      <c r="G452" s="3" t="s">
        <v>523</v>
      </c>
      <c r="H452" s="3" t="s">
        <v>523</v>
      </c>
      <c r="I452" s="2"/>
      <c r="J452" s="3" t="s">
        <v>2087</v>
      </c>
      <c r="K452" s="3" t="s">
        <v>2770</v>
      </c>
      <c r="L452" s="3" t="s">
        <v>2770</v>
      </c>
      <c r="M452" s="2"/>
      <c r="N452" s="2"/>
      <c r="O452" s="3" t="s">
        <v>26</v>
      </c>
      <c r="P452" s="3" t="s">
        <v>2771</v>
      </c>
      <c r="Q452" s="3" t="s">
        <v>5679</v>
      </c>
      <c r="R452" s="3" t="s">
        <v>396</v>
      </c>
      <c r="S452" s="3" t="s">
        <v>700</v>
      </c>
      <c r="T452" s="3" t="s">
        <v>2772</v>
      </c>
      <c r="U452" s="3" t="s">
        <v>43</v>
      </c>
      <c r="V452" s="3" t="s">
        <v>2771</v>
      </c>
      <c r="W452" s="2"/>
      <c r="X452" s="2"/>
      <c r="Y452" s="2"/>
    </row>
    <row r="453" spans="1:25" x14ac:dyDescent="0.2">
      <c r="A453" s="3">
        <v>230</v>
      </c>
      <c r="B453" s="4" t="s">
        <v>2773</v>
      </c>
      <c r="C453" s="3" t="s">
        <v>2774</v>
      </c>
      <c r="D453" s="3" t="s">
        <v>6894</v>
      </c>
      <c r="E453" s="3" t="s">
        <v>2775</v>
      </c>
      <c r="F453" s="3" t="s">
        <v>6895</v>
      </c>
      <c r="G453" s="3" t="s">
        <v>2369</v>
      </c>
      <c r="H453" s="3" t="s">
        <v>2776</v>
      </c>
      <c r="I453" s="2"/>
      <c r="J453" s="6" t="s">
        <v>2777</v>
      </c>
      <c r="K453" s="3" t="s">
        <v>2778</v>
      </c>
      <c r="L453" s="3" t="s">
        <v>2778</v>
      </c>
      <c r="M453" s="2"/>
      <c r="N453" s="2"/>
      <c r="O453" s="3" t="s">
        <v>26</v>
      </c>
      <c r="P453" s="3" t="s">
        <v>2779</v>
      </c>
      <c r="Q453" s="3" t="s">
        <v>6896</v>
      </c>
      <c r="R453" s="3" t="s">
        <v>1225</v>
      </c>
      <c r="S453" s="3" t="s">
        <v>29</v>
      </c>
      <c r="T453" s="3" t="s">
        <v>2780</v>
      </c>
      <c r="U453" s="3" t="s">
        <v>43</v>
      </c>
      <c r="V453" s="3" t="s">
        <v>2781</v>
      </c>
      <c r="W453" s="2"/>
      <c r="X453" s="2"/>
      <c r="Y453" s="2"/>
    </row>
    <row r="454" spans="1:25" x14ac:dyDescent="0.2">
      <c r="A454" s="3">
        <v>1812</v>
      </c>
      <c r="B454" s="4" t="s">
        <v>2782</v>
      </c>
      <c r="C454" s="3" t="s">
        <v>2783</v>
      </c>
      <c r="D454" s="3" t="s">
        <v>6899</v>
      </c>
      <c r="E454" s="3" t="s">
        <v>2784</v>
      </c>
      <c r="F454" s="3" t="s">
        <v>6900</v>
      </c>
      <c r="G454" s="3" t="s">
        <v>657</v>
      </c>
      <c r="H454" s="3" t="s">
        <v>2213</v>
      </c>
      <c r="I454" s="3" t="s">
        <v>1087</v>
      </c>
      <c r="J454" s="3" t="s">
        <v>110</v>
      </c>
      <c r="K454" s="3" t="s">
        <v>2785</v>
      </c>
      <c r="L454" s="3" t="s">
        <v>2785</v>
      </c>
      <c r="M454" s="2"/>
      <c r="N454" s="4" t="s">
        <v>2786</v>
      </c>
      <c r="O454" s="3" t="s">
        <v>26</v>
      </c>
      <c r="P454" s="3" t="s">
        <v>95</v>
      </c>
      <c r="Q454" s="3" t="s">
        <v>5297</v>
      </c>
      <c r="R454" s="3" t="s">
        <v>2563</v>
      </c>
      <c r="S454" s="3" t="s">
        <v>29</v>
      </c>
      <c r="T454" s="3" t="s">
        <v>2787</v>
      </c>
      <c r="U454" s="3" t="s">
        <v>2788</v>
      </c>
      <c r="V454" s="3" t="s">
        <v>1459</v>
      </c>
      <c r="W454" s="2"/>
      <c r="X454" s="2"/>
      <c r="Y454" s="2"/>
    </row>
    <row r="455" spans="1:25" x14ac:dyDescent="0.2">
      <c r="A455" s="3">
        <v>942</v>
      </c>
      <c r="B455" s="4" t="s">
        <v>2789</v>
      </c>
      <c r="C455" s="3" t="s">
        <v>2790</v>
      </c>
      <c r="D455" s="3" t="s">
        <v>6903</v>
      </c>
      <c r="E455" s="3" t="s">
        <v>2791</v>
      </c>
      <c r="F455" s="3" t="s">
        <v>6904</v>
      </c>
      <c r="G455" s="3" t="s">
        <v>2792</v>
      </c>
      <c r="H455" s="3" t="s">
        <v>2793</v>
      </c>
      <c r="I455" s="3" t="s">
        <v>2794</v>
      </c>
      <c r="J455" s="3" t="s">
        <v>57</v>
      </c>
      <c r="K455" s="3" t="s">
        <v>2581</v>
      </c>
      <c r="L455" s="3" t="s">
        <v>6766</v>
      </c>
      <c r="M455" s="2"/>
      <c r="N455" s="2"/>
      <c r="O455" s="3" t="s">
        <v>39</v>
      </c>
      <c r="P455" s="3" t="s">
        <v>60</v>
      </c>
      <c r="Q455" s="3" t="s">
        <v>5100</v>
      </c>
      <c r="R455" s="3" t="s">
        <v>28</v>
      </c>
      <c r="S455" s="3" t="s">
        <v>29</v>
      </c>
      <c r="T455" s="3" t="s">
        <v>2795</v>
      </c>
      <c r="U455" s="2"/>
      <c r="V455" s="3" t="s">
        <v>60</v>
      </c>
      <c r="W455" s="2"/>
      <c r="X455" s="2"/>
      <c r="Y455" s="2"/>
    </row>
    <row r="456" spans="1:25" x14ac:dyDescent="0.2">
      <c r="A456" s="3">
        <v>943</v>
      </c>
      <c r="B456" s="4" t="s">
        <v>2796</v>
      </c>
      <c r="C456" s="3" t="s">
        <v>2797</v>
      </c>
      <c r="D456" s="3" t="s">
        <v>6906</v>
      </c>
      <c r="E456" s="3" t="s">
        <v>2798</v>
      </c>
      <c r="F456" s="3" t="s">
        <v>6907</v>
      </c>
      <c r="G456" s="3" t="s">
        <v>2799</v>
      </c>
      <c r="H456" s="3" t="s">
        <v>2800</v>
      </c>
      <c r="I456" s="3" t="s">
        <v>156</v>
      </c>
      <c r="J456" s="3" t="s">
        <v>57</v>
      </c>
      <c r="K456" s="3" t="s">
        <v>2581</v>
      </c>
      <c r="L456" s="3" t="s">
        <v>6766</v>
      </c>
      <c r="M456" s="2"/>
      <c r="N456" s="2"/>
      <c r="O456" s="3" t="s">
        <v>39</v>
      </c>
      <c r="P456" s="3" t="s">
        <v>60</v>
      </c>
      <c r="Q456" s="3" t="s">
        <v>5100</v>
      </c>
      <c r="R456" s="3" t="s">
        <v>28</v>
      </c>
      <c r="S456" s="3" t="s">
        <v>29</v>
      </c>
      <c r="T456" s="3" t="s">
        <v>2801</v>
      </c>
      <c r="U456" s="3" t="s">
        <v>2802</v>
      </c>
      <c r="V456" s="3" t="s">
        <v>2803</v>
      </c>
      <c r="W456" s="3" t="s">
        <v>1160</v>
      </c>
      <c r="X456" s="2"/>
      <c r="Y456" s="2"/>
    </row>
    <row r="457" spans="1:25" x14ac:dyDescent="0.2">
      <c r="A457" s="3">
        <v>1685</v>
      </c>
      <c r="B457" s="4" t="s">
        <v>2804</v>
      </c>
      <c r="C457" s="3" t="s">
        <v>2805</v>
      </c>
      <c r="D457" s="3" t="s">
        <v>6911</v>
      </c>
      <c r="E457" s="3" t="s">
        <v>2806</v>
      </c>
      <c r="F457" s="3" t="s">
        <v>6912</v>
      </c>
      <c r="G457" s="3" t="s">
        <v>2163</v>
      </c>
      <c r="H457" s="3" t="s">
        <v>1002</v>
      </c>
      <c r="I457" s="3" t="s">
        <v>1727</v>
      </c>
      <c r="J457" s="3" t="s">
        <v>2807</v>
      </c>
      <c r="K457" s="3" t="s">
        <v>2807</v>
      </c>
      <c r="L457" s="3" t="s">
        <v>6913</v>
      </c>
      <c r="M457" s="2"/>
      <c r="N457" s="2"/>
      <c r="O457" s="3" t="s">
        <v>26</v>
      </c>
      <c r="P457" s="3" t="s">
        <v>357</v>
      </c>
      <c r="Q457" s="3" t="s">
        <v>5297</v>
      </c>
      <c r="R457" s="3" t="s">
        <v>1694</v>
      </c>
      <c r="S457" s="3" t="s">
        <v>29</v>
      </c>
      <c r="T457" s="3" t="s">
        <v>2808</v>
      </c>
      <c r="U457" s="3" t="s">
        <v>95</v>
      </c>
      <c r="V457" s="3" t="s">
        <v>27</v>
      </c>
      <c r="W457" s="3" t="s">
        <v>2533</v>
      </c>
      <c r="X457" s="2"/>
      <c r="Y457" s="2"/>
    </row>
    <row r="458" spans="1:25" x14ac:dyDescent="0.2">
      <c r="A458" s="3">
        <v>911</v>
      </c>
      <c r="B458" s="4" t="s">
        <v>2809</v>
      </c>
      <c r="C458" s="3" t="s">
        <v>2810</v>
      </c>
      <c r="D458" s="3" t="s">
        <v>6915</v>
      </c>
      <c r="E458" s="3" t="s">
        <v>2811</v>
      </c>
      <c r="F458" s="3" t="s">
        <v>6916</v>
      </c>
      <c r="G458" s="3" t="s">
        <v>1512</v>
      </c>
      <c r="H458" s="2"/>
      <c r="I458" s="2"/>
      <c r="J458" s="3" t="s">
        <v>36</v>
      </c>
      <c r="K458" s="3" t="s">
        <v>2812</v>
      </c>
      <c r="L458" s="3" t="s">
        <v>6917</v>
      </c>
      <c r="M458" s="3" t="s">
        <v>2813</v>
      </c>
      <c r="N458" s="6" t="s">
        <v>2814</v>
      </c>
      <c r="O458" s="3" t="s">
        <v>39</v>
      </c>
      <c r="P458" s="3" t="s">
        <v>27</v>
      </c>
      <c r="Q458" s="3" t="s">
        <v>5079</v>
      </c>
      <c r="R458" s="3" t="s">
        <v>28</v>
      </c>
      <c r="S458" s="3" t="s">
        <v>29</v>
      </c>
      <c r="T458" s="3" t="s">
        <v>2815</v>
      </c>
      <c r="U458" s="3" t="s">
        <v>2816</v>
      </c>
      <c r="V458" s="3" t="s">
        <v>1459</v>
      </c>
      <c r="W458" s="2"/>
      <c r="X458" s="2"/>
      <c r="Y458" s="2"/>
    </row>
    <row r="459" spans="1:25" x14ac:dyDescent="0.2">
      <c r="A459" s="3">
        <v>324</v>
      </c>
      <c r="B459" s="4" t="s">
        <v>2817</v>
      </c>
      <c r="C459" s="3" t="s">
        <v>2818</v>
      </c>
      <c r="D459" s="3" t="s">
        <v>6920</v>
      </c>
      <c r="E459" s="3" t="s">
        <v>2819</v>
      </c>
      <c r="F459" s="3" t="s">
        <v>6921</v>
      </c>
      <c r="G459" s="3" t="s">
        <v>2820</v>
      </c>
      <c r="H459" s="3" t="s">
        <v>2608</v>
      </c>
      <c r="I459" s="2"/>
      <c r="J459" s="3" t="s">
        <v>2821</v>
      </c>
      <c r="K459" s="3" t="s">
        <v>2822</v>
      </c>
      <c r="L459" s="3" t="s">
        <v>6922</v>
      </c>
      <c r="M459" s="3" t="s">
        <v>2823</v>
      </c>
      <c r="N459" s="4" t="s">
        <v>2824</v>
      </c>
      <c r="O459" s="3" t="s">
        <v>26</v>
      </c>
      <c r="P459" s="3" t="s">
        <v>27</v>
      </c>
      <c r="Q459" s="3" t="s">
        <v>5079</v>
      </c>
      <c r="R459" s="3" t="s">
        <v>1215</v>
      </c>
      <c r="S459" s="3" t="s">
        <v>397</v>
      </c>
      <c r="T459" s="3" t="s">
        <v>2825</v>
      </c>
      <c r="U459" s="3" t="s">
        <v>43</v>
      </c>
      <c r="V459" s="3" t="s">
        <v>27</v>
      </c>
      <c r="W459" s="2"/>
      <c r="X459" s="2"/>
      <c r="Y459" s="2"/>
    </row>
    <row r="460" spans="1:25" x14ac:dyDescent="0.2">
      <c r="A460" s="3">
        <v>1637</v>
      </c>
      <c r="B460" s="4" t="s">
        <v>2826</v>
      </c>
      <c r="C460" s="3" t="s">
        <v>2827</v>
      </c>
      <c r="D460" s="3" t="s">
        <v>6924</v>
      </c>
      <c r="E460" s="3" t="s">
        <v>2828</v>
      </c>
      <c r="F460" s="3" t="s">
        <v>6925</v>
      </c>
      <c r="G460" s="3" t="s">
        <v>2829</v>
      </c>
      <c r="H460" s="3" t="s">
        <v>2830</v>
      </c>
      <c r="I460" s="2"/>
      <c r="J460" s="3" t="s">
        <v>2831</v>
      </c>
      <c r="K460" s="3" t="s">
        <v>2832</v>
      </c>
      <c r="L460" s="3" t="s">
        <v>6926</v>
      </c>
      <c r="M460" s="3" t="s">
        <v>2833</v>
      </c>
      <c r="N460" s="4" t="s">
        <v>2834</v>
      </c>
      <c r="O460" s="3" t="s">
        <v>26</v>
      </c>
      <c r="P460" s="3" t="s">
        <v>27</v>
      </c>
      <c r="Q460" s="3" t="s">
        <v>5079</v>
      </c>
      <c r="R460" s="3" t="s">
        <v>1215</v>
      </c>
      <c r="S460" s="3" t="s">
        <v>29</v>
      </c>
      <c r="T460" s="3" t="s">
        <v>2835</v>
      </c>
      <c r="U460" s="3" t="s">
        <v>2836</v>
      </c>
      <c r="V460" s="3" t="s">
        <v>1459</v>
      </c>
      <c r="W460" s="3" t="s">
        <v>2837</v>
      </c>
      <c r="X460" s="2"/>
      <c r="Y460" s="2"/>
    </row>
    <row r="461" spans="1:25" x14ac:dyDescent="0.2">
      <c r="A461" s="3">
        <v>138</v>
      </c>
      <c r="B461" s="4" t="s">
        <v>2838</v>
      </c>
      <c r="C461" s="3" t="s">
        <v>2839</v>
      </c>
      <c r="D461" s="3" t="s">
        <v>6930</v>
      </c>
      <c r="E461" s="3" t="s">
        <v>2840</v>
      </c>
      <c r="F461" s="3" t="s">
        <v>6931</v>
      </c>
      <c r="G461" s="3" t="s">
        <v>531</v>
      </c>
      <c r="H461" s="3" t="s">
        <v>2608</v>
      </c>
      <c r="I461" s="3" t="s">
        <v>531</v>
      </c>
      <c r="J461" s="3" t="s">
        <v>173</v>
      </c>
      <c r="K461" s="3" t="s">
        <v>2841</v>
      </c>
      <c r="L461" s="3" t="s">
        <v>6932</v>
      </c>
      <c r="M461" s="2"/>
      <c r="N461" s="2"/>
      <c r="O461" s="3" t="s">
        <v>26</v>
      </c>
      <c r="P461" s="3" t="s">
        <v>27</v>
      </c>
      <c r="Q461" s="3" t="s">
        <v>5079</v>
      </c>
      <c r="R461" s="3" t="s">
        <v>1215</v>
      </c>
      <c r="S461" s="3" t="s">
        <v>29</v>
      </c>
      <c r="T461" s="3" t="s">
        <v>2842</v>
      </c>
      <c r="U461" s="3" t="s">
        <v>43</v>
      </c>
      <c r="V461" s="3" t="s">
        <v>2843</v>
      </c>
      <c r="W461" s="2"/>
      <c r="X461" s="2"/>
      <c r="Y461" s="2"/>
    </row>
    <row r="462" spans="1:25" x14ac:dyDescent="0.2">
      <c r="A462" s="3">
        <v>136</v>
      </c>
      <c r="B462" s="4" t="s">
        <v>2844</v>
      </c>
      <c r="C462" s="3" t="s">
        <v>2845</v>
      </c>
      <c r="D462" s="3" t="s">
        <v>6935</v>
      </c>
      <c r="E462" s="3" t="s">
        <v>2846</v>
      </c>
      <c r="F462" s="3" t="s">
        <v>6936</v>
      </c>
      <c r="G462" s="3" t="s">
        <v>2847</v>
      </c>
      <c r="H462" s="2"/>
      <c r="I462" s="2"/>
      <c r="J462" s="3" t="s">
        <v>173</v>
      </c>
      <c r="K462" s="3" t="s">
        <v>2848</v>
      </c>
      <c r="L462" s="3" t="s">
        <v>6937</v>
      </c>
      <c r="M462" s="2"/>
      <c r="N462" s="2"/>
      <c r="O462" s="3" t="s">
        <v>26</v>
      </c>
      <c r="P462" s="3" t="s">
        <v>27</v>
      </c>
      <c r="Q462" s="3" t="s">
        <v>5079</v>
      </c>
      <c r="R462" s="3" t="s">
        <v>1215</v>
      </c>
      <c r="S462" s="3" t="s">
        <v>29</v>
      </c>
      <c r="T462" s="3" t="s">
        <v>2849</v>
      </c>
      <c r="U462" s="3" t="s">
        <v>2850</v>
      </c>
      <c r="V462" s="3" t="s">
        <v>27</v>
      </c>
      <c r="W462" s="2"/>
      <c r="X462" s="2"/>
      <c r="Y462" s="2"/>
    </row>
    <row r="463" spans="1:25" x14ac:dyDescent="0.2">
      <c r="A463" s="3">
        <v>938</v>
      </c>
      <c r="B463" s="4" t="s">
        <v>2851</v>
      </c>
      <c r="C463" s="3" t="s">
        <v>2852</v>
      </c>
      <c r="D463" s="3" t="s">
        <v>6940</v>
      </c>
      <c r="E463" s="3" t="s">
        <v>2853</v>
      </c>
      <c r="F463" s="3" t="s">
        <v>6941</v>
      </c>
      <c r="G463" s="3" t="s">
        <v>1631</v>
      </c>
      <c r="H463" s="3" t="s">
        <v>523</v>
      </c>
      <c r="I463" s="3" t="s">
        <v>927</v>
      </c>
      <c r="J463" s="3" t="s">
        <v>57</v>
      </c>
      <c r="K463" s="3" t="s">
        <v>2581</v>
      </c>
      <c r="L463" s="3" t="s">
        <v>6766</v>
      </c>
      <c r="M463" s="2"/>
      <c r="N463" s="2"/>
      <c r="O463" s="3" t="s">
        <v>39</v>
      </c>
      <c r="P463" s="3" t="s">
        <v>60</v>
      </c>
      <c r="Q463" s="3" t="s">
        <v>5100</v>
      </c>
      <c r="R463" s="3" t="s">
        <v>2563</v>
      </c>
      <c r="S463" s="3" t="s">
        <v>29</v>
      </c>
      <c r="T463" s="3" t="s">
        <v>2854</v>
      </c>
      <c r="U463" s="3" t="s">
        <v>420</v>
      </c>
      <c r="V463" s="3" t="s">
        <v>60</v>
      </c>
      <c r="W463" s="3" t="s">
        <v>2855</v>
      </c>
      <c r="X463" s="2"/>
      <c r="Y463" s="2"/>
    </row>
    <row r="464" spans="1:25" x14ac:dyDescent="0.2">
      <c r="A464" s="3">
        <v>313</v>
      </c>
      <c r="B464" s="6" t="s">
        <v>2856</v>
      </c>
      <c r="C464" s="3" t="s">
        <v>2857</v>
      </c>
      <c r="D464" s="3" t="s">
        <v>6944</v>
      </c>
      <c r="E464" s="3" t="s">
        <v>2858</v>
      </c>
      <c r="F464" s="3" t="s">
        <v>6945</v>
      </c>
      <c r="G464" s="3" t="s">
        <v>2859</v>
      </c>
      <c r="H464" s="3" t="s">
        <v>2860</v>
      </c>
      <c r="I464" s="3" t="s">
        <v>2860</v>
      </c>
      <c r="J464" s="3" t="s">
        <v>1193</v>
      </c>
      <c r="K464" s="3" t="s">
        <v>2861</v>
      </c>
      <c r="L464" s="3" t="s">
        <v>6946</v>
      </c>
      <c r="M464" s="3" t="s">
        <v>2862</v>
      </c>
      <c r="N464" s="2"/>
      <c r="O464" s="3" t="s">
        <v>39</v>
      </c>
      <c r="P464" s="3" t="s">
        <v>60</v>
      </c>
      <c r="Q464" s="3" t="s">
        <v>5100</v>
      </c>
      <c r="R464" s="3" t="s">
        <v>2563</v>
      </c>
      <c r="S464" s="3" t="s">
        <v>29</v>
      </c>
      <c r="T464" s="3" t="s">
        <v>2863</v>
      </c>
      <c r="U464" s="2"/>
      <c r="V464" s="3" t="s">
        <v>60</v>
      </c>
      <c r="W464" s="2"/>
      <c r="X464" s="2"/>
      <c r="Y464" s="2"/>
    </row>
    <row r="465" spans="1:25" x14ac:dyDescent="0.2">
      <c r="A465" s="3">
        <v>238</v>
      </c>
      <c r="B465" s="4" t="s">
        <v>2864</v>
      </c>
      <c r="C465" s="3" t="s">
        <v>2865</v>
      </c>
      <c r="D465" s="3" t="s">
        <v>6949</v>
      </c>
      <c r="E465" s="3" t="s">
        <v>2866</v>
      </c>
      <c r="F465" s="3" t="s">
        <v>6950</v>
      </c>
      <c r="G465" s="3" t="s">
        <v>2867</v>
      </c>
      <c r="H465" s="2"/>
      <c r="I465" s="2"/>
      <c r="J465" s="3" t="s">
        <v>393</v>
      </c>
      <c r="K465" s="3" t="s">
        <v>411</v>
      </c>
      <c r="L465" s="3" t="s">
        <v>411</v>
      </c>
      <c r="M465" s="2"/>
      <c r="N465" s="2"/>
      <c r="O465" s="3" t="s">
        <v>26</v>
      </c>
      <c r="P465" s="3" t="s">
        <v>27</v>
      </c>
      <c r="Q465" s="3" t="s">
        <v>5079</v>
      </c>
      <c r="R465" s="3" t="s">
        <v>396</v>
      </c>
      <c r="S465" s="3" t="s">
        <v>413</v>
      </c>
      <c r="T465" s="3" t="s">
        <v>2868</v>
      </c>
      <c r="U465" s="3" t="s">
        <v>43</v>
      </c>
      <c r="V465" s="3" t="s">
        <v>27</v>
      </c>
      <c r="W465" s="2"/>
      <c r="X465" s="2"/>
      <c r="Y465" s="2"/>
    </row>
    <row r="466" spans="1:25" x14ac:dyDescent="0.2">
      <c r="A466" s="3">
        <v>239</v>
      </c>
      <c r="B466" s="4" t="s">
        <v>2869</v>
      </c>
      <c r="C466" s="3" t="s">
        <v>2870</v>
      </c>
      <c r="D466" s="3" t="s">
        <v>6952</v>
      </c>
      <c r="E466" s="3" t="s">
        <v>2871</v>
      </c>
      <c r="F466" s="3" t="s">
        <v>6953</v>
      </c>
      <c r="G466" s="3" t="s">
        <v>1127</v>
      </c>
      <c r="H466" s="2"/>
      <c r="I466" s="2"/>
      <c r="J466" s="3" t="s">
        <v>393</v>
      </c>
      <c r="K466" s="3" t="s">
        <v>802</v>
      </c>
      <c r="L466" s="3" t="s">
        <v>802</v>
      </c>
      <c r="M466" s="2"/>
      <c r="N466" s="2"/>
      <c r="O466" s="3" t="s">
        <v>39</v>
      </c>
      <c r="P466" s="3" t="s">
        <v>27</v>
      </c>
      <c r="Q466" s="3" t="s">
        <v>5079</v>
      </c>
      <c r="R466" s="3" t="s">
        <v>396</v>
      </c>
      <c r="S466" s="3" t="s">
        <v>413</v>
      </c>
      <c r="T466" s="3" t="s">
        <v>2872</v>
      </c>
      <c r="U466" s="3" t="s">
        <v>43</v>
      </c>
      <c r="V466" s="3" t="s">
        <v>27</v>
      </c>
      <c r="W466" s="2"/>
      <c r="X466" s="2"/>
      <c r="Y466" s="2"/>
    </row>
    <row r="467" spans="1:25" x14ac:dyDescent="0.2">
      <c r="A467" s="3">
        <v>240</v>
      </c>
      <c r="B467" s="4" t="s">
        <v>2873</v>
      </c>
      <c r="C467" s="3" t="s">
        <v>2874</v>
      </c>
      <c r="D467" s="3" t="s">
        <v>6955</v>
      </c>
      <c r="E467" s="3" t="s">
        <v>2875</v>
      </c>
      <c r="F467" s="3" t="s">
        <v>6956</v>
      </c>
      <c r="G467" s="3" t="s">
        <v>1069</v>
      </c>
      <c r="H467" s="2"/>
      <c r="I467" s="2"/>
      <c r="J467" s="3" t="s">
        <v>393</v>
      </c>
      <c r="K467" s="3" t="s">
        <v>2876</v>
      </c>
      <c r="L467" s="3" t="s">
        <v>6957</v>
      </c>
      <c r="M467" s="2"/>
      <c r="N467" s="2"/>
      <c r="O467" s="3" t="s">
        <v>39</v>
      </c>
      <c r="P467" s="3" t="s">
        <v>27</v>
      </c>
      <c r="Q467" s="3" t="s">
        <v>5079</v>
      </c>
      <c r="R467" s="3" t="s">
        <v>396</v>
      </c>
      <c r="S467" s="3" t="s">
        <v>413</v>
      </c>
      <c r="T467" s="3" t="s">
        <v>2877</v>
      </c>
      <c r="U467" s="3" t="s">
        <v>43</v>
      </c>
      <c r="V467" s="3" t="s">
        <v>2878</v>
      </c>
      <c r="W467" s="2"/>
      <c r="X467" s="2"/>
      <c r="Y467" s="2"/>
    </row>
    <row r="468" spans="1:25" x14ac:dyDescent="0.2">
      <c r="A468" s="3">
        <v>241</v>
      </c>
      <c r="B468" s="4" t="s">
        <v>2879</v>
      </c>
      <c r="C468" s="3" t="s">
        <v>2880</v>
      </c>
      <c r="D468" s="3" t="s">
        <v>6960</v>
      </c>
      <c r="E468" s="3" t="s">
        <v>2881</v>
      </c>
      <c r="F468" s="3" t="s">
        <v>6961</v>
      </c>
      <c r="G468" s="3" t="s">
        <v>2882</v>
      </c>
      <c r="H468" s="2"/>
      <c r="I468" s="2"/>
      <c r="J468" s="3" t="s">
        <v>393</v>
      </c>
      <c r="K468" s="3" t="s">
        <v>2876</v>
      </c>
      <c r="L468" s="3" t="s">
        <v>6957</v>
      </c>
      <c r="M468" s="2"/>
      <c r="N468" s="2"/>
      <c r="O468" s="3" t="s">
        <v>39</v>
      </c>
      <c r="P468" s="3" t="s">
        <v>60</v>
      </c>
      <c r="Q468" s="3" t="s">
        <v>5100</v>
      </c>
      <c r="R468" s="3" t="s">
        <v>396</v>
      </c>
      <c r="S468" s="3" t="s">
        <v>413</v>
      </c>
      <c r="T468" s="3" t="s">
        <v>2883</v>
      </c>
      <c r="U468" s="2"/>
      <c r="V468" s="3" t="s">
        <v>27</v>
      </c>
      <c r="W468" s="2"/>
      <c r="X468" s="2"/>
      <c r="Y468" s="2"/>
    </row>
    <row r="469" spans="1:25" x14ac:dyDescent="0.2">
      <c r="A469" s="3">
        <v>2013</v>
      </c>
      <c r="B469" s="4" t="s">
        <v>2884</v>
      </c>
      <c r="C469" s="3" t="s">
        <v>2885</v>
      </c>
      <c r="D469" s="3" t="s">
        <v>6963</v>
      </c>
      <c r="E469" s="3" t="s">
        <v>2886</v>
      </c>
      <c r="F469" s="3" t="s">
        <v>6964</v>
      </c>
      <c r="G469" s="3" t="s">
        <v>1314</v>
      </c>
      <c r="H469" s="3" t="s">
        <v>2799</v>
      </c>
      <c r="I469" s="3" t="s">
        <v>1314</v>
      </c>
      <c r="J469" s="3" t="s">
        <v>2887</v>
      </c>
      <c r="K469" s="4" t="s">
        <v>2888</v>
      </c>
      <c r="L469" s="3" t="s">
        <v>6965</v>
      </c>
      <c r="M469" s="2"/>
      <c r="N469" s="2"/>
      <c r="O469" s="3" t="s">
        <v>26</v>
      </c>
      <c r="P469" s="3" t="s">
        <v>212</v>
      </c>
      <c r="Q469" s="3" t="s">
        <v>5193</v>
      </c>
      <c r="R469" s="3" t="s">
        <v>1215</v>
      </c>
      <c r="S469" s="3" t="s">
        <v>397</v>
      </c>
      <c r="T469" s="3" t="s">
        <v>2889</v>
      </c>
      <c r="U469" s="3" t="s">
        <v>43</v>
      </c>
      <c r="V469" s="3" t="s">
        <v>2890</v>
      </c>
      <c r="W469" s="3" t="s">
        <v>2336</v>
      </c>
      <c r="X469" s="2"/>
      <c r="Y469" s="2"/>
    </row>
    <row r="470" spans="1:25" x14ac:dyDescent="0.2">
      <c r="A470" s="3">
        <v>991</v>
      </c>
      <c r="B470" s="4" t="s">
        <v>2891</v>
      </c>
      <c r="C470" s="3" t="s">
        <v>2892</v>
      </c>
      <c r="D470" s="3" t="s">
        <v>6968</v>
      </c>
      <c r="E470" s="3" t="s">
        <v>2893</v>
      </c>
      <c r="F470" s="3" t="s">
        <v>6969</v>
      </c>
      <c r="G470" s="3" t="s">
        <v>2894</v>
      </c>
      <c r="H470" s="3" t="s">
        <v>2753</v>
      </c>
      <c r="I470" s="3" t="s">
        <v>683</v>
      </c>
      <c r="J470" s="3" t="s">
        <v>110</v>
      </c>
      <c r="K470" s="3" t="s">
        <v>2895</v>
      </c>
      <c r="L470" s="3" t="s">
        <v>6970</v>
      </c>
      <c r="M470" s="3" t="s">
        <v>2813</v>
      </c>
      <c r="N470" s="6" t="s">
        <v>2896</v>
      </c>
      <c r="O470" s="3" t="s">
        <v>26</v>
      </c>
      <c r="P470" s="3" t="s">
        <v>27</v>
      </c>
      <c r="Q470" s="3" t="s">
        <v>5079</v>
      </c>
      <c r="R470" s="3" t="s">
        <v>1215</v>
      </c>
      <c r="S470" s="3" t="s">
        <v>397</v>
      </c>
      <c r="T470" s="3" t="s">
        <v>2897</v>
      </c>
      <c r="U470" s="3" t="s">
        <v>2898</v>
      </c>
      <c r="V470" s="3" t="s">
        <v>27</v>
      </c>
      <c r="W470" s="2"/>
      <c r="X470" s="2"/>
      <c r="Y470" s="2"/>
    </row>
    <row r="471" spans="1:25" x14ac:dyDescent="0.2">
      <c r="A471" s="3">
        <v>1996</v>
      </c>
      <c r="B471" s="4" t="s">
        <v>2899</v>
      </c>
      <c r="C471" s="3" t="s">
        <v>2900</v>
      </c>
      <c r="D471" s="3" t="s">
        <v>6973</v>
      </c>
      <c r="E471" s="3" t="s">
        <v>2901</v>
      </c>
      <c r="F471" s="3" t="s">
        <v>6974</v>
      </c>
      <c r="G471" s="3" t="s">
        <v>2902</v>
      </c>
      <c r="H471" s="3" t="s">
        <v>2903</v>
      </c>
      <c r="I471" s="3" t="s">
        <v>2902</v>
      </c>
      <c r="J471" s="3" t="s">
        <v>275</v>
      </c>
      <c r="K471" s="3" t="s">
        <v>2747</v>
      </c>
      <c r="L471" s="3" t="s">
        <v>2747</v>
      </c>
      <c r="M471" s="2"/>
      <c r="N471" s="2"/>
      <c r="O471" s="3" t="s">
        <v>26</v>
      </c>
      <c r="P471" s="3" t="s">
        <v>212</v>
      </c>
      <c r="Q471" s="3" t="s">
        <v>5193</v>
      </c>
      <c r="R471" s="3" t="s">
        <v>2018</v>
      </c>
      <c r="S471" s="3" t="s">
        <v>397</v>
      </c>
      <c r="T471" s="3" t="s">
        <v>2904</v>
      </c>
      <c r="U471" s="3" t="s">
        <v>2905</v>
      </c>
      <c r="V471" s="3" t="s">
        <v>212</v>
      </c>
      <c r="W471" s="2"/>
      <c r="X471" s="2"/>
      <c r="Y471" s="2"/>
    </row>
    <row r="472" spans="1:25" x14ac:dyDescent="0.2">
      <c r="A472" s="3">
        <v>170</v>
      </c>
      <c r="B472" s="4" t="s">
        <v>2906</v>
      </c>
      <c r="C472" s="3" t="s">
        <v>2907</v>
      </c>
      <c r="D472" s="3" t="s">
        <v>6977</v>
      </c>
      <c r="E472" s="3" t="s">
        <v>2908</v>
      </c>
      <c r="F472" s="3" t="s">
        <v>6978</v>
      </c>
      <c r="G472" s="3" t="s">
        <v>797</v>
      </c>
      <c r="H472" s="3" t="s">
        <v>2561</v>
      </c>
      <c r="I472" s="3" t="s">
        <v>797</v>
      </c>
      <c r="J472" s="3" t="s">
        <v>110</v>
      </c>
      <c r="K472" s="3" t="s">
        <v>2909</v>
      </c>
      <c r="L472" s="3" t="s">
        <v>6979</v>
      </c>
      <c r="M472" s="2"/>
      <c r="N472" s="2"/>
      <c r="O472" s="3" t="s">
        <v>26</v>
      </c>
      <c r="P472" s="3" t="s">
        <v>27</v>
      </c>
      <c r="Q472" s="3" t="s">
        <v>5079</v>
      </c>
      <c r="R472" s="3" t="s">
        <v>1215</v>
      </c>
      <c r="S472" s="3" t="s">
        <v>397</v>
      </c>
      <c r="T472" s="3" t="s">
        <v>2910</v>
      </c>
      <c r="U472" s="3" t="s">
        <v>1959</v>
      </c>
      <c r="V472" s="3" t="s">
        <v>2911</v>
      </c>
      <c r="W472" s="3" t="s">
        <v>1659</v>
      </c>
      <c r="X472" s="2"/>
      <c r="Y472" s="2"/>
    </row>
    <row r="473" spans="1:25" x14ac:dyDescent="0.2">
      <c r="A473" s="3">
        <v>1154</v>
      </c>
      <c r="B473" s="4" t="s">
        <v>2912</v>
      </c>
      <c r="C473" s="3" t="s">
        <v>2913</v>
      </c>
      <c r="D473" s="3" t="s">
        <v>6982</v>
      </c>
      <c r="E473" s="3" t="s">
        <v>2914</v>
      </c>
      <c r="F473" s="3" t="s">
        <v>6983</v>
      </c>
      <c r="G473" s="3" t="s">
        <v>1268</v>
      </c>
      <c r="H473" s="3" t="s">
        <v>2608</v>
      </c>
      <c r="I473" s="3" t="s">
        <v>1268</v>
      </c>
      <c r="J473" s="3" t="s">
        <v>135</v>
      </c>
      <c r="K473" s="3" t="s">
        <v>2915</v>
      </c>
      <c r="L473" s="3" t="s">
        <v>6984</v>
      </c>
      <c r="M473" s="2"/>
      <c r="N473" s="2"/>
      <c r="O473" s="3" t="s">
        <v>26</v>
      </c>
      <c r="P473" s="3" t="s">
        <v>27</v>
      </c>
      <c r="Q473" s="3" t="s">
        <v>5079</v>
      </c>
      <c r="R473" s="3" t="s">
        <v>1215</v>
      </c>
      <c r="S473" s="3" t="s">
        <v>397</v>
      </c>
      <c r="T473" s="3" t="s">
        <v>2916</v>
      </c>
      <c r="U473" s="3" t="s">
        <v>43</v>
      </c>
      <c r="V473" s="3" t="s">
        <v>27</v>
      </c>
      <c r="W473" s="3" t="s">
        <v>2533</v>
      </c>
      <c r="X473" s="2"/>
      <c r="Y473" s="2"/>
    </row>
    <row r="474" spans="1:25" x14ac:dyDescent="0.2">
      <c r="A474" s="3">
        <v>414</v>
      </c>
      <c r="B474" s="4" t="s">
        <v>2917</v>
      </c>
      <c r="C474" s="3" t="s">
        <v>2918</v>
      </c>
      <c r="D474" s="3" t="s">
        <v>6986</v>
      </c>
      <c r="E474" s="3" t="s">
        <v>2919</v>
      </c>
      <c r="F474" s="3" t="s">
        <v>6987</v>
      </c>
      <c r="G474" s="3" t="s">
        <v>2920</v>
      </c>
      <c r="H474" s="2"/>
      <c r="I474" s="2"/>
      <c r="J474" s="3" t="s">
        <v>2921</v>
      </c>
      <c r="K474" s="3" t="s">
        <v>2922</v>
      </c>
      <c r="L474" s="3" t="s">
        <v>6988</v>
      </c>
      <c r="M474" s="2"/>
      <c r="N474" s="2"/>
      <c r="O474" s="3" t="s">
        <v>26</v>
      </c>
      <c r="P474" s="3" t="s">
        <v>60</v>
      </c>
      <c r="Q474" s="3" t="s">
        <v>5100</v>
      </c>
      <c r="R474" s="3" t="s">
        <v>2923</v>
      </c>
      <c r="S474" s="3" t="s">
        <v>397</v>
      </c>
      <c r="T474" s="3" t="s">
        <v>2924</v>
      </c>
      <c r="U474" s="3" t="s">
        <v>2925</v>
      </c>
      <c r="V474" s="3" t="s">
        <v>2926</v>
      </c>
      <c r="W474" s="2"/>
      <c r="X474" s="2"/>
      <c r="Y474" s="2"/>
    </row>
    <row r="475" spans="1:25" x14ac:dyDescent="0.2">
      <c r="A475" s="3">
        <v>1490</v>
      </c>
      <c r="B475" s="4" t="s">
        <v>2927</v>
      </c>
      <c r="C475" s="3" t="s">
        <v>2928</v>
      </c>
      <c r="D475" s="3" t="s">
        <v>6992</v>
      </c>
      <c r="E475" s="3" t="s">
        <v>2929</v>
      </c>
      <c r="F475" s="3" t="s">
        <v>6993</v>
      </c>
      <c r="G475" s="3" t="s">
        <v>2930</v>
      </c>
      <c r="H475" s="3" t="s">
        <v>2930</v>
      </c>
      <c r="I475" s="3" t="s">
        <v>2930</v>
      </c>
      <c r="J475" s="3" t="s">
        <v>36</v>
      </c>
      <c r="K475" s="3" t="s">
        <v>36</v>
      </c>
      <c r="L475" s="3" t="s">
        <v>5085</v>
      </c>
      <c r="M475" s="2"/>
      <c r="N475" s="2"/>
      <c r="O475" s="3" t="s">
        <v>39</v>
      </c>
      <c r="P475" s="3" t="s">
        <v>60</v>
      </c>
      <c r="Q475" s="3" t="s">
        <v>5100</v>
      </c>
      <c r="R475" s="3" t="s">
        <v>2018</v>
      </c>
      <c r="S475" s="3" t="s">
        <v>397</v>
      </c>
      <c r="T475" s="3" t="s">
        <v>2931</v>
      </c>
      <c r="U475" s="2"/>
      <c r="V475" s="3" t="s">
        <v>60</v>
      </c>
      <c r="W475" s="2"/>
      <c r="X475" s="2"/>
      <c r="Y475" s="2"/>
    </row>
    <row r="476" spans="1:25" x14ac:dyDescent="0.2">
      <c r="A476" s="3">
        <v>1260</v>
      </c>
      <c r="B476" s="6" t="s">
        <v>2932</v>
      </c>
      <c r="C476" s="3" t="s">
        <v>2933</v>
      </c>
      <c r="D476" s="3" t="s">
        <v>6995</v>
      </c>
      <c r="E476" s="3" t="s">
        <v>2934</v>
      </c>
      <c r="F476" s="3" t="s">
        <v>6996</v>
      </c>
      <c r="G476" s="3" t="s">
        <v>476</v>
      </c>
      <c r="H476" s="2"/>
      <c r="I476" s="2"/>
      <c r="J476" s="3" t="s">
        <v>2935</v>
      </c>
      <c r="K476" s="2"/>
      <c r="L476" s="3" t="s">
        <v>6997</v>
      </c>
      <c r="M476" s="2"/>
      <c r="N476" s="6" t="s">
        <v>2936</v>
      </c>
      <c r="O476" s="3" t="s">
        <v>26</v>
      </c>
      <c r="P476" s="3" t="s">
        <v>27</v>
      </c>
      <c r="Q476" s="3" t="s">
        <v>5079</v>
      </c>
      <c r="R476" s="3" t="s">
        <v>1215</v>
      </c>
      <c r="S476" s="3" t="s">
        <v>413</v>
      </c>
      <c r="T476" s="3" t="s">
        <v>2937</v>
      </c>
      <c r="U476" s="3" t="s">
        <v>2693</v>
      </c>
      <c r="V476" s="3" t="s">
        <v>395</v>
      </c>
      <c r="W476" s="2"/>
      <c r="X476" s="2"/>
      <c r="Y476" s="2"/>
    </row>
    <row r="477" spans="1:25" x14ac:dyDescent="0.2">
      <c r="A477" s="3">
        <v>890</v>
      </c>
      <c r="B477" s="4" t="s">
        <v>2938</v>
      </c>
      <c r="C477" s="3" t="s">
        <v>2939</v>
      </c>
      <c r="D477" s="3" t="s">
        <v>6999</v>
      </c>
      <c r="E477" s="3" t="s">
        <v>2940</v>
      </c>
      <c r="F477" s="3" t="s">
        <v>7000</v>
      </c>
      <c r="G477" s="3" t="s">
        <v>2792</v>
      </c>
      <c r="H477" s="2"/>
      <c r="I477" s="2"/>
      <c r="J477" s="3" t="s">
        <v>2941</v>
      </c>
      <c r="K477" s="3" t="s">
        <v>2942</v>
      </c>
      <c r="L477" s="3" t="s">
        <v>7001</v>
      </c>
      <c r="M477" s="2"/>
      <c r="N477" s="2"/>
      <c r="O477" s="3" t="s">
        <v>26</v>
      </c>
      <c r="P477" s="3" t="s">
        <v>27</v>
      </c>
      <c r="Q477" s="3" t="s">
        <v>5079</v>
      </c>
      <c r="R477" s="3" t="s">
        <v>1694</v>
      </c>
      <c r="S477" s="3" t="s">
        <v>29</v>
      </c>
      <c r="T477" s="3" t="s">
        <v>2943</v>
      </c>
      <c r="U477" s="2"/>
      <c r="V477" s="3" t="s">
        <v>27</v>
      </c>
      <c r="W477" s="2"/>
      <c r="X477" s="2"/>
      <c r="Y477" s="2"/>
    </row>
    <row r="478" spans="1:25" x14ac:dyDescent="0.2">
      <c r="A478" s="3">
        <v>1247</v>
      </c>
      <c r="B478" s="4" t="s">
        <v>2944</v>
      </c>
      <c r="C478" s="3" t="s">
        <v>2945</v>
      </c>
      <c r="D478" s="3" t="s">
        <v>7003</v>
      </c>
      <c r="E478" s="3" t="s">
        <v>2946</v>
      </c>
      <c r="F478" s="3" t="s">
        <v>7004</v>
      </c>
      <c r="G478" s="3" t="s">
        <v>1275</v>
      </c>
      <c r="H478" s="3" t="s">
        <v>2947</v>
      </c>
      <c r="I478" s="3" t="s">
        <v>2948</v>
      </c>
      <c r="J478" s="3" t="s">
        <v>2941</v>
      </c>
      <c r="K478" s="3" t="s">
        <v>2941</v>
      </c>
      <c r="L478" s="3" t="s">
        <v>7005</v>
      </c>
      <c r="M478" s="2"/>
      <c r="N478" s="2"/>
      <c r="O478" s="3" t="s">
        <v>26</v>
      </c>
      <c r="P478" s="3" t="s">
        <v>27</v>
      </c>
      <c r="Q478" s="3" t="s">
        <v>5352</v>
      </c>
      <c r="R478" s="3" t="s">
        <v>28</v>
      </c>
      <c r="S478" s="3" t="s">
        <v>29</v>
      </c>
      <c r="T478" s="3" t="s">
        <v>2949</v>
      </c>
      <c r="U478" s="3" t="s">
        <v>43</v>
      </c>
      <c r="V478" s="3" t="s">
        <v>2950</v>
      </c>
      <c r="W478" s="2"/>
      <c r="X478" s="2"/>
      <c r="Y478" s="2"/>
    </row>
    <row r="479" spans="1:25" x14ac:dyDescent="0.2">
      <c r="A479" s="3">
        <v>286</v>
      </c>
      <c r="B479" s="4" t="s">
        <v>2951</v>
      </c>
      <c r="C479" s="3" t="s">
        <v>2952</v>
      </c>
      <c r="D479" s="3" t="s">
        <v>7008</v>
      </c>
      <c r="E479" s="3" t="s">
        <v>2953</v>
      </c>
      <c r="F479" s="3" t="s">
        <v>7009</v>
      </c>
      <c r="G479" s="3" t="s">
        <v>2954</v>
      </c>
      <c r="H479" s="3" t="s">
        <v>2776</v>
      </c>
      <c r="I479" s="3" t="s">
        <v>2955</v>
      </c>
      <c r="J479" s="3" t="s">
        <v>2941</v>
      </c>
      <c r="K479" s="3" t="s">
        <v>2941</v>
      </c>
      <c r="L479" s="3" t="s">
        <v>7001</v>
      </c>
      <c r="M479" s="2"/>
      <c r="N479" s="2"/>
      <c r="O479" s="3" t="s">
        <v>26</v>
      </c>
      <c r="P479" s="3" t="s">
        <v>728</v>
      </c>
      <c r="Q479" s="3" t="s">
        <v>5536</v>
      </c>
      <c r="R479" s="3" t="s">
        <v>28</v>
      </c>
      <c r="S479" s="3" t="s">
        <v>397</v>
      </c>
      <c r="T479" s="3" t="s">
        <v>2956</v>
      </c>
      <c r="U479" s="3" t="s">
        <v>2693</v>
      </c>
      <c r="V479" s="3" t="s">
        <v>728</v>
      </c>
      <c r="W479" s="2"/>
      <c r="X479" s="2"/>
      <c r="Y479" s="2"/>
    </row>
    <row r="480" spans="1:25" x14ac:dyDescent="0.2">
      <c r="A480" s="3">
        <v>721</v>
      </c>
      <c r="B480" s="4" t="s">
        <v>2957</v>
      </c>
      <c r="C480" s="3" t="s">
        <v>2958</v>
      </c>
      <c r="D480" s="3" t="s">
        <v>7011</v>
      </c>
      <c r="E480" s="3" t="s">
        <v>2959</v>
      </c>
      <c r="F480" s="3" t="s">
        <v>7012</v>
      </c>
      <c r="G480" s="3" t="s">
        <v>2960</v>
      </c>
      <c r="H480" s="3" t="s">
        <v>2961</v>
      </c>
      <c r="I480" s="3" t="s">
        <v>2961</v>
      </c>
      <c r="J480" s="3" t="s">
        <v>2589</v>
      </c>
      <c r="K480" s="3" t="s">
        <v>2962</v>
      </c>
      <c r="L480" s="3" t="s">
        <v>7013</v>
      </c>
      <c r="M480" s="2"/>
      <c r="N480" s="2"/>
      <c r="O480" s="3" t="s">
        <v>26</v>
      </c>
      <c r="P480" s="3" t="s">
        <v>60</v>
      </c>
      <c r="Q480" s="3" t="s">
        <v>5100</v>
      </c>
      <c r="R480" s="3" t="s">
        <v>1215</v>
      </c>
      <c r="S480" s="3" t="s">
        <v>397</v>
      </c>
      <c r="T480" s="3" t="s">
        <v>2963</v>
      </c>
      <c r="U480" s="2"/>
      <c r="V480" s="3" t="s">
        <v>1459</v>
      </c>
      <c r="W480" s="3" t="s">
        <v>1460</v>
      </c>
      <c r="X480" s="2"/>
      <c r="Y480" s="2"/>
    </row>
    <row r="481" spans="1:25" x14ac:dyDescent="0.2">
      <c r="A481" s="3">
        <v>1284</v>
      </c>
      <c r="B481" s="4" t="s">
        <v>2964</v>
      </c>
      <c r="C481" s="3" t="s">
        <v>2965</v>
      </c>
      <c r="D481" s="3" t="s">
        <v>7015</v>
      </c>
      <c r="E481" s="3" t="s">
        <v>2966</v>
      </c>
      <c r="F481" s="3" t="s">
        <v>7016</v>
      </c>
      <c r="G481" s="3" t="s">
        <v>1292</v>
      </c>
      <c r="H481" s="3" t="s">
        <v>824</v>
      </c>
      <c r="I481" s="3" t="s">
        <v>1292</v>
      </c>
      <c r="J481" s="3" t="s">
        <v>2967</v>
      </c>
      <c r="K481" s="3" t="s">
        <v>2968</v>
      </c>
      <c r="L481" s="3" t="s">
        <v>7017</v>
      </c>
      <c r="M481" s="2"/>
      <c r="N481" s="2"/>
      <c r="O481" s="3" t="s">
        <v>26</v>
      </c>
      <c r="P481" s="3" t="s">
        <v>439</v>
      </c>
      <c r="Q481" s="3" t="s">
        <v>5352</v>
      </c>
      <c r="R481" s="3" t="s">
        <v>1225</v>
      </c>
      <c r="S481" s="3" t="s">
        <v>29</v>
      </c>
      <c r="T481" s="3" t="s">
        <v>2969</v>
      </c>
      <c r="U481" s="3" t="s">
        <v>2693</v>
      </c>
      <c r="V481" s="3" t="s">
        <v>439</v>
      </c>
      <c r="W481" s="2"/>
      <c r="X481" s="2"/>
      <c r="Y481" s="2"/>
    </row>
    <row r="482" spans="1:25" x14ac:dyDescent="0.2">
      <c r="A482" s="3">
        <v>1148</v>
      </c>
      <c r="B482" s="4" t="s">
        <v>2970</v>
      </c>
      <c r="C482" s="3" t="s">
        <v>2971</v>
      </c>
      <c r="D482" s="3" t="s">
        <v>7019</v>
      </c>
      <c r="E482" s="3" t="s">
        <v>2972</v>
      </c>
      <c r="F482" s="3" t="s">
        <v>7020</v>
      </c>
      <c r="G482" s="3" t="s">
        <v>2973</v>
      </c>
      <c r="H482" s="2"/>
      <c r="I482" s="2"/>
      <c r="J482" s="3" t="s">
        <v>1684</v>
      </c>
      <c r="K482" s="3" t="s">
        <v>2974</v>
      </c>
      <c r="L482" s="3" t="s">
        <v>7021</v>
      </c>
      <c r="M482" s="2"/>
      <c r="N482" s="2"/>
      <c r="O482" s="3" t="s">
        <v>26</v>
      </c>
      <c r="P482" s="3" t="s">
        <v>27</v>
      </c>
      <c r="Q482" s="3" t="s">
        <v>5079</v>
      </c>
      <c r="R482" s="3" t="s">
        <v>61</v>
      </c>
      <c r="S482" s="3" t="s">
        <v>397</v>
      </c>
      <c r="T482" s="3" t="s">
        <v>2975</v>
      </c>
      <c r="U482" s="3" t="s">
        <v>2976</v>
      </c>
      <c r="V482" s="3" t="s">
        <v>27</v>
      </c>
      <c r="W482" s="2"/>
      <c r="X482" s="2"/>
      <c r="Y482" s="2"/>
    </row>
    <row r="483" spans="1:25" x14ac:dyDescent="0.2">
      <c r="A483" s="3">
        <v>1270</v>
      </c>
      <c r="B483" s="4" t="s">
        <v>2977</v>
      </c>
      <c r="C483" s="3" t="s">
        <v>2978</v>
      </c>
      <c r="D483" s="3" t="s">
        <v>7024</v>
      </c>
      <c r="E483" s="3" t="s">
        <v>2979</v>
      </c>
      <c r="F483" s="3" t="s">
        <v>7025</v>
      </c>
      <c r="G483" s="3" t="s">
        <v>431</v>
      </c>
      <c r="H483" s="3" t="s">
        <v>846</v>
      </c>
      <c r="I483" s="3" t="s">
        <v>846</v>
      </c>
      <c r="J483" s="3" t="s">
        <v>36</v>
      </c>
      <c r="K483" s="3" t="s">
        <v>150</v>
      </c>
      <c r="L483" s="3" t="s">
        <v>7026</v>
      </c>
      <c r="M483" s="2"/>
      <c r="N483" s="2"/>
      <c r="O483" s="3" t="s">
        <v>39</v>
      </c>
      <c r="P483" s="3" t="s">
        <v>439</v>
      </c>
      <c r="Q483" s="3" t="s">
        <v>5352</v>
      </c>
      <c r="R483" s="3" t="s">
        <v>72</v>
      </c>
      <c r="S483" s="3" t="s">
        <v>29</v>
      </c>
      <c r="T483" s="3" t="s">
        <v>2980</v>
      </c>
      <c r="U483" s="3" t="s">
        <v>2981</v>
      </c>
      <c r="V483" s="3" t="s">
        <v>439</v>
      </c>
      <c r="W483" s="2"/>
      <c r="X483" s="2"/>
      <c r="Y483" s="2"/>
    </row>
    <row r="484" spans="1:25" x14ac:dyDescent="0.2">
      <c r="A484" s="3">
        <v>671</v>
      </c>
      <c r="B484" s="4" t="s">
        <v>2982</v>
      </c>
      <c r="C484" s="3" t="s">
        <v>2983</v>
      </c>
      <c r="D484" s="3" t="s">
        <v>7029</v>
      </c>
      <c r="E484" s="3" t="s">
        <v>2984</v>
      </c>
      <c r="F484" s="3" t="s">
        <v>7030</v>
      </c>
      <c r="G484" s="3" t="s">
        <v>927</v>
      </c>
      <c r="H484" s="2"/>
      <c r="I484" s="2"/>
      <c r="J484" s="3" t="s">
        <v>1199</v>
      </c>
      <c r="K484" s="3" t="s">
        <v>2985</v>
      </c>
      <c r="L484" s="3" t="s">
        <v>7031</v>
      </c>
      <c r="M484" s="2"/>
      <c r="N484" s="2"/>
      <c r="O484" s="3" t="s">
        <v>39</v>
      </c>
      <c r="P484" s="3" t="s">
        <v>60</v>
      </c>
      <c r="Q484" s="3" t="s">
        <v>5100</v>
      </c>
      <c r="R484" s="3" t="s">
        <v>1215</v>
      </c>
      <c r="S484" s="3" t="s">
        <v>397</v>
      </c>
      <c r="T484" s="3" t="s">
        <v>2986</v>
      </c>
      <c r="U484" s="3" t="s">
        <v>43</v>
      </c>
      <c r="V484" s="3" t="s">
        <v>709</v>
      </c>
      <c r="W484" s="3" t="s">
        <v>2987</v>
      </c>
      <c r="X484" s="2"/>
      <c r="Y484" s="2"/>
    </row>
    <row r="485" spans="1:25" x14ac:dyDescent="0.2">
      <c r="A485" s="3">
        <v>1611</v>
      </c>
      <c r="B485" s="4" t="s">
        <v>2988</v>
      </c>
      <c r="C485" s="3" t="s">
        <v>2989</v>
      </c>
      <c r="D485" s="3" t="s">
        <v>7034</v>
      </c>
      <c r="E485" s="3" t="s">
        <v>2990</v>
      </c>
      <c r="F485" s="3" t="s">
        <v>7035</v>
      </c>
      <c r="G485" s="3" t="s">
        <v>2829</v>
      </c>
      <c r="H485" s="3" t="s">
        <v>2608</v>
      </c>
      <c r="I485" s="3" t="s">
        <v>2829</v>
      </c>
      <c r="J485" s="3" t="s">
        <v>110</v>
      </c>
      <c r="K485" s="3" t="s">
        <v>2597</v>
      </c>
      <c r="L485" s="3" t="s">
        <v>6778</v>
      </c>
      <c r="M485" s="2"/>
      <c r="N485" s="6" t="s">
        <v>2991</v>
      </c>
      <c r="O485" s="3" t="s">
        <v>26</v>
      </c>
      <c r="P485" s="3" t="s">
        <v>2992</v>
      </c>
      <c r="Q485" s="3" t="s">
        <v>7036</v>
      </c>
      <c r="R485" s="3" t="s">
        <v>1215</v>
      </c>
      <c r="S485" s="3" t="s">
        <v>397</v>
      </c>
      <c r="T485" s="3" t="s">
        <v>2993</v>
      </c>
      <c r="U485" s="3" t="s">
        <v>2994</v>
      </c>
      <c r="V485" s="3" t="s">
        <v>27</v>
      </c>
      <c r="W485" s="2"/>
      <c r="X485" s="2"/>
      <c r="Y485" s="2"/>
    </row>
    <row r="486" spans="1:25" x14ac:dyDescent="0.2">
      <c r="A486" s="3">
        <v>678</v>
      </c>
      <c r="B486" s="6" t="s">
        <v>2995</v>
      </c>
      <c r="C486" s="3" t="s">
        <v>2996</v>
      </c>
      <c r="D486" s="3" t="s">
        <v>7039</v>
      </c>
      <c r="E486" s="3" t="s">
        <v>2997</v>
      </c>
      <c r="F486" s="3" t="s">
        <v>7040</v>
      </c>
      <c r="G486" s="3" t="s">
        <v>1692</v>
      </c>
      <c r="H486" s="2"/>
      <c r="I486" s="2"/>
      <c r="J486" s="3" t="s">
        <v>36</v>
      </c>
      <c r="K486" s="3" t="s">
        <v>2998</v>
      </c>
      <c r="L486" s="3" t="s">
        <v>7041</v>
      </c>
      <c r="M486" s="2"/>
      <c r="N486" s="2"/>
      <c r="O486" s="3" t="s">
        <v>39</v>
      </c>
      <c r="P486" s="3" t="s">
        <v>2999</v>
      </c>
      <c r="Q486" s="3" t="s">
        <v>6731</v>
      </c>
      <c r="R486" s="3" t="s">
        <v>1215</v>
      </c>
      <c r="S486" s="3" t="s">
        <v>397</v>
      </c>
      <c r="T486" s="3" t="s">
        <v>3000</v>
      </c>
      <c r="U486" s="3" t="s">
        <v>3001</v>
      </c>
      <c r="V486" s="3" t="s">
        <v>3002</v>
      </c>
      <c r="W486" s="2"/>
      <c r="X486" s="2"/>
      <c r="Y486" s="2"/>
    </row>
    <row r="487" spans="1:25" x14ac:dyDescent="0.2">
      <c r="A487" s="3">
        <v>694</v>
      </c>
      <c r="B487" s="4" t="s">
        <v>3003</v>
      </c>
      <c r="C487" s="3" t="s">
        <v>3004</v>
      </c>
      <c r="D487" s="3" t="s">
        <v>7044</v>
      </c>
      <c r="E487" s="3" t="s">
        <v>3005</v>
      </c>
      <c r="F487" s="3" t="s">
        <v>7045</v>
      </c>
      <c r="G487" s="3" t="s">
        <v>2642</v>
      </c>
      <c r="H487" s="3" t="s">
        <v>1727</v>
      </c>
      <c r="I487" s="3" t="s">
        <v>810</v>
      </c>
      <c r="J487" s="3" t="s">
        <v>36</v>
      </c>
      <c r="K487" s="3" t="s">
        <v>3006</v>
      </c>
      <c r="L487" s="3" t="s">
        <v>7046</v>
      </c>
      <c r="M487" s="2"/>
      <c r="N487" s="2"/>
      <c r="O487" s="3" t="s">
        <v>39</v>
      </c>
      <c r="P487" s="3" t="s">
        <v>3007</v>
      </c>
      <c r="Q487" s="3" t="s">
        <v>5524</v>
      </c>
      <c r="R487" s="3" t="s">
        <v>1215</v>
      </c>
      <c r="S487" s="3" t="s">
        <v>397</v>
      </c>
      <c r="T487" s="3" t="s">
        <v>3008</v>
      </c>
      <c r="U487" s="3" t="s">
        <v>3009</v>
      </c>
      <c r="V487" s="3" t="s">
        <v>3010</v>
      </c>
      <c r="W487" s="2"/>
      <c r="X487" s="2"/>
      <c r="Y487" s="2"/>
    </row>
    <row r="488" spans="1:25" x14ac:dyDescent="0.2">
      <c r="A488" s="3">
        <v>100</v>
      </c>
      <c r="B488" s="4" t="s">
        <v>3016</v>
      </c>
      <c r="C488" s="3" t="s">
        <v>3017</v>
      </c>
      <c r="D488" s="3" t="s">
        <v>7050</v>
      </c>
      <c r="E488" s="3" t="s">
        <v>3018</v>
      </c>
      <c r="F488" s="3" t="s">
        <v>7051</v>
      </c>
      <c r="G488" s="3" t="s">
        <v>2369</v>
      </c>
      <c r="H488" s="3" t="s">
        <v>3019</v>
      </c>
      <c r="I488" s="3" t="s">
        <v>3019</v>
      </c>
      <c r="J488" s="3" t="s">
        <v>135</v>
      </c>
      <c r="K488" s="3" t="s">
        <v>3020</v>
      </c>
      <c r="L488" s="3" t="s">
        <v>7052</v>
      </c>
      <c r="M488" s="2"/>
      <c r="N488" s="2"/>
      <c r="O488" s="3" t="s">
        <v>26</v>
      </c>
      <c r="P488" s="3" t="s">
        <v>105</v>
      </c>
      <c r="Q488" s="3" t="s">
        <v>5128</v>
      </c>
      <c r="R488" s="3" t="s">
        <v>1215</v>
      </c>
      <c r="S488" s="3" t="s">
        <v>413</v>
      </c>
      <c r="T488" s="3" t="s">
        <v>3021</v>
      </c>
      <c r="U488" s="2"/>
      <c r="V488" s="3" t="s">
        <v>105</v>
      </c>
      <c r="W488" s="2"/>
      <c r="X488" s="2"/>
      <c r="Y488" s="2"/>
    </row>
    <row r="489" spans="1:25" x14ac:dyDescent="0.2">
      <c r="A489" s="3">
        <v>2055</v>
      </c>
      <c r="B489" s="4" t="s">
        <v>3022</v>
      </c>
      <c r="C489" s="3" t="s">
        <v>3023</v>
      </c>
      <c r="D489" s="3" t="s">
        <v>7054</v>
      </c>
      <c r="E489" s="3" t="s">
        <v>3024</v>
      </c>
      <c r="F489" s="3" t="s">
        <v>7055</v>
      </c>
      <c r="G489" s="3" t="s">
        <v>650</v>
      </c>
      <c r="H489" s="3" t="s">
        <v>650</v>
      </c>
      <c r="I489" s="3" t="s">
        <v>650</v>
      </c>
      <c r="J489" s="3" t="s">
        <v>2589</v>
      </c>
      <c r="K489" s="2"/>
      <c r="L489" s="3">
        <v>0</v>
      </c>
      <c r="M489" s="3" t="s">
        <v>1324</v>
      </c>
      <c r="N489" s="2"/>
      <c r="O489" s="3" t="s">
        <v>26</v>
      </c>
      <c r="P489" s="3" t="s">
        <v>105</v>
      </c>
      <c r="Q489" s="3" t="s">
        <v>5128</v>
      </c>
      <c r="R489" s="3" t="s">
        <v>1215</v>
      </c>
      <c r="S489" s="3" t="s">
        <v>397</v>
      </c>
      <c r="T489" s="3" t="s">
        <v>3025</v>
      </c>
      <c r="U489" s="3" t="s">
        <v>43</v>
      </c>
      <c r="V489" s="3" t="s">
        <v>2111</v>
      </c>
      <c r="W489" s="2"/>
      <c r="X489" s="2"/>
      <c r="Y489" s="2"/>
    </row>
    <row r="490" spans="1:25" x14ac:dyDescent="0.2">
      <c r="A490" s="3">
        <v>670</v>
      </c>
      <c r="B490" s="4" t="s">
        <v>3026</v>
      </c>
      <c r="C490" s="3" t="s">
        <v>3027</v>
      </c>
      <c r="D490" s="3" t="s">
        <v>7057</v>
      </c>
      <c r="E490" s="3" t="s">
        <v>3028</v>
      </c>
      <c r="F490" s="3" t="s">
        <v>7058</v>
      </c>
      <c r="G490" s="3" t="s">
        <v>2163</v>
      </c>
      <c r="H490" s="2"/>
      <c r="I490" s="2"/>
      <c r="J490" s="3" t="s">
        <v>3029</v>
      </c>
      <c r="K490" s="3" t="s">
        <v>3030</v>
      </c>
      <c r="L490" s="3" t="s">
        <v>7060</v>
      </c>
      <c r="M490" s="2"/>
      <c r="N490" s="2"/>
      <c r="O490" s="3" t="s">
        <v>26</v>
      </c>
      <c r="P490" s="3" t="s">
        <v>27</v>
      </c>
      <c r="Q490" s="3" t="s">
        <v>5079</v>
      </c>
      <c r="R490" s="3" t="s">
        <v>1215</v>
      </c>
      <c r="S490" s="3" t="s">
        <v>2005</v>
      </c>
      <c r="T490" s="3" t="s">
        <v>3031</v>
      </c>
      <c r="U490" s="3" t="s">
        <v>43</v>
      </c>
      <c r="V490" s="3" t="s">
        <v>27</v>
      </c>
      <c r="W490" s="2"/>
      <c r="X490" s="2"/>
      <c r="Y490" s="2"/>
    </row>
    <row r="491" spans="1:25" x14ac:dyDescent="0.2">
      <c r="A491" s="3">
        <v>1817</v>
      </c>
      <c r="B491" s="4" t="s">
        <v>3032</v>
      </c>
      <c r="C491" s="3" t="s">
        <v>3033</v>
      </c>
      <c r="D491" s="3" t="s">
        <v>7062</v>
      </c>
      <c r="E491" s="3" t="s">
        <v>3034</v>
      </c>
      <c r="F491" s="3" t="s">
        <v>7063</v>
      </c>
      <c r="G491" s="3" t="s">
        <v>2829</v>
      </c>
      <c r="H491" s="2"/>
      <c r="I491" s="2"/>
      <c r="J491" s="3" t="s">
        <v>110</v>
      </c>
      <c r="K491" s="3" t="s">
        <v>3035</v>
      </c>
      <c r="L491" s="3" t="s">
        <v>7064</v>
      </c>
      <c r="M491" s="2"/>
      <c r="N491" s="2"/>
      <c r="O491" s="3" t="s">
        <v>26</v>
      </c>
      <c r="P491" s="3" t="s">
        <v>60</v>
      </c>
      <c r="Q491" s="3" t="s">
        <v>5100</v>
      </c>
      <c r="R491" s="3" t="s">
        <v>1215</v>
      </c>
      <c r="S491" s="3" t="s">
        <v>397</v>
      </c>
      <c r="T491" s="3" t="s">
        <v>3036</v>
      </c>
      <c r="U491" s="3" t="s">
        <v>3037</v>
      </c>
      <c r="V491" s="3" t="s">
        <v>245</v>
      </c>
      <c r="W491" s="3" t="s">
        <v>315</v>
      </c>
      <c r="X491" s="2"/>
      <c r="Y491" s="2"/>
    </row>
    <row r="492" spans="1:25" x14ac:dyDescent="0.2">
      <c r="A492" s="3">
        <v>1929</v>
      </c>
      <c r="B492" s="4" t="s">
        <v>3038</v>
      </c>
      <c r="C492" s="3" t="s">
        <v>3039</v>
      </c>
      <c r="D492" s="3" t="s">
        <v>7067</v>
      </c>
      <c r="E492" s="3" t="s">
        <v>3040</v>
      </c>
      <c r="F492" s="3" t="s">
        <v>7068</v>
      </c>
      <c r="G492" s="3" t="s">
        <v>483</v>
      </c>
      <c r="H492" s="2"/>
      <c r="I492" s="2"/>
      <c r="J492" s="3" t="s">
        <v>2821</v>
      </c>
      <c r="K492" s="3" t="s">
        <v>3041</v>
      </c>
      <c r="L492" s="3" t="s">
        <v>7069</v>
      </c>
      <c r="M492" s="2"/>
      <c r="N492" s="2"/>
      <c r="O492" s="3" t="s">
        <v>26</v>
      </c>
      <c r="P492" s="3" t="s">
        <v>95</v>
      </c>
      <c r="Q492" s="3" t="s">
        <v>5297</v>
      </c>
      <c r="R492" s="3" t="s">
        <v>72</v>
      </c>
      <c r="S492" s="3" t="s">
        <v>1712</v>
      </c>
      <c r="T492" s="3" t="s">
        <v>3042</v>
      </c>
      <c r="U492" s="3" t="s">
        <v>95</v>
      </c>
      <c r="V492" s="3" t="s">
        <v>27</v>
      </c>
      <c r="W492" s="3" t="s">
        <v>1460</v>
      </c>
      <c r="X492" s="2"/>
      <c r="Y492" s="2"/>
    </row>
    <row r="493" spans="1:25" x14ac:dyDescent="0.2">
      <c r="A493" s="3">
        <v>1253</v>
      </c>
      <c r="B493" s="4" t="s">
        <v>3043</v>
      </c>
      <c r="C493" s="3" t="s">
        <v>3044</v>
      </c>
      <c r="D493" s="3" t="s">
        <v>7071</v>
      </c>
      <c r="E493" s="3" t="s">
        <v>3045</v>
      </c>
      <c r="F493" s="3" t="s">
        <v>7072</v>
      </c>
      <c r="G493" s="3" t="s">
        <v>3046</v>
      </c>
      <c r="H493" s="3" t="s">
        <v>2714</v>
      </c>
      <c r="I493" s="3" t="s">
        <v>3046</v>
      </c>
      <c r="J493" s="3" t="s">
        <v>3047</v>
      </c>
      <c r="K493" s="3" t="s">
        <v>3048</v>
      </c>
      <c r="L493" s="3" t="s">
        <v>7073</v>
      </c>
      <c r="M493" s="2"/>
      <c r="N493" s="2"/>
      <c r="O493" s="3" t="s">
        <v>26</v>
      </c>
      <c r="P493" s="3" t="s">
        <v>3049</v>
      </c>
      <c r="Q493" s="3" t="s">
        <v>7074</v>
      </c>
      <c r="R493" s="3" t="s">
        <v>1215</v>
      </c>
      <c r="S493" s="3" t="s">
        <v>397</v>
      </c>
      <c r="T493" s="3" t="s">
        <v>3050</v>
      </c>
      <c r="U493" s="3" t="s">
        <v>43</v>
      </c>
      <c r="V493" s="3" t="s">
        <v>1341</v>
      </c>
      <c r="W493" s="2"/>
      <c r="X493" s="2"/>
      <c r="Y493" s="2"/>
    </row>
    <row r="494" spans="1:25" x14ac:dyDescent="0.2">
      <c r="A494" s="3">
        <v>96</v>
      </c>
      <c r="B494" s="4" t="s">
        <v>3051</v>
      </c>
      <c r="C494" s="3" t="s">
        <v>3052</v>
      </c>
      <c r="D494" s="3" t="s">
        <v>7076</v>
      </c>
      <c r="E494" s="3" t="s">
        <v>3053</v>
      </c>
      <c r="F494" s="3" t="s">
        <v>7077</v>
      </c>
      <c r="G494" s="3" t="s">
        <v>1722</v>
      </c>
      <c r="H494" s="2"/>
      <c r="I494" s="2"/>
      <c r="J494" s="4" t="s">
        <v>3054</v>
      </c>
      <c r="K494" s="3" t="s">
        <v>3055</v>
      </c>
      <c r="L494" s="3" t="s">
        <v>7079</v>
      </c>
      <c r="M494" s="2"/>
      <c r="N494" s="2"/>
      <c r="O494" s="3" t="s">
        <v>26</v>
      </c>
      <c r="P494" s="3" t="s">
        <v>27</v>
      </c>
      <c r="Q494" s="3" t="s">
        <v>5079</v>
      </c>
      <c r="R494" s="3" t="s">
        <v>61</v>
      </c>
      <c r="S494" s="3" t="s">
        <v>397</v>
      </c>
      <c r="T494" s="3" t="s">
        <v>3056</v>
      </c>
      <c r="U494" s="2"/>
      <c r="V494" s="3" t="s">
        <v>3057</v>
      </c>
      <c r="W494" s="2"/>
      <c r="X494" s="2"/>
      <c r="Y494" s="2"/>
    </row>
    <row r="495" spans="1:25" x14ac:dyDescent="0.2">
      <c r="A495" s="3">
        <v>1416</v>
      </c>
      <c r="B495" s="4" t="s">
        <v>3058</v>
      </c>
      <c r="C495" s="3" t="s">
        <v>3059</v>
      </c>
      <c r="D495" s="3" t="s">
        <v>7082</v>
      </c>
      <c r="E495" s="3" t="s">
        <v>3060</v>
      </c>
      <c r="F495" s="3" t="s">
        <v>7083</v>
      </c>
      <c r="G495" s="3" t="s">
        <v>1727</v>
      </c>
      <c r="H495" s="3" t="s">
        <v>816</v>
      </c>
      <c r="I495" s="3" t="s">
        <v>816</v>
      </c>
      <c r="J495" s="3" t="s">
        <v>3061</v>
      </c>
      <c r="K495" s="3" t="s">
        <v>3062</v>
      </c>
      <c r="L495" s="3" t="s">
        <v>7084</v>
      </c>
      <c r="M495" s="2"/>
      <c r="N495" s="2"/>
      <c r="O495" s="3" t="s">
        <v>26</v>
      </c>
      <c r="P495" s="3" t="s">
        <v>3063</v>
      </c>
      <c r="Q495" s="3" t="s">
        <v>7085</v>
      </c>
      <c r="R495" s="3" t="s">
        <v>1215</v>
      </c>
      <c r="S495" s="3" t="s">
        <v>397</v>
      </c>
      <c r="T495" s="3" t="s">
        <v>3064</v>
      </c>
      <c r="U495" s="3" t="s">
        <v>253</v>
      </c>
      <c r="V495" s="3" t="s">
        <v>27</v>
      </c>
      <c r="W495" s="2"/>
      <c r="X495" s="2"/>
      <c r="Y495" s="2"/>
    </row>
    <row r="496" spans="1:25" x14ac:dyDescent="0.2">
      <c r="A496" s="3">
        <v>1588</v>
      </c>
      <c r="B496" s="4" t="s">
        <v>3065</v>
      </c>
      <c r="C496" s="3" t="s">
        <v>3066</v>
      </c>
      <c r="D496" s="3" t="s">
        <v>7087</v>
      </c>
      <c r="E496" s="3" t="s">
        <v>3067</v>
      </c>
      <c r="F496" s="3" t="s">
        <v>7088</v>
      </c>
      <c r="G496" s="3" t="s">
        <v>2609</v>
      </c>
      <c r="H496" s="2"/>
      <c r="I496" s="2"/>
      <c r="J496" s="3" t="s">
        <v>3068</v>
      </c>
      <c r="K496" s="3" t="s">
        <v>3069</v>
      </c>
      <c r="L496" s="3" t="s">
        <v>7089</v>
      </c>
      <c r="M496" s="3" t="s">
        <v>3061</v>
      </c>
      <c r="N496" s="6" t="s">
        <v>3070</v>
      </c>
      <c r="O496" s="3" t="s">
        <v>26</v>
      </c>
      <c r="P496" s="3" t="s">
        <v>168</v>
      </c>
      <c r="Q496" s="3" t="s">
        <v>5167</v>
      </c>
      <c r="R496" s="3" t="s">
        <v>1215</v>
      </c>
      <c r="S496" s="3" t="s">
        <v>29</v>
      </c>
      <c r="T496" s="3" t="s">
        <v>3071</v>
      </c>
      <c r="U496" s="2"/>
      <c r="V496" s="3" t="s">
        <v>3072</v>
      </c>
      <c r="W496" s="2"/>
      <c r="X496" s="2"/>
      <c r="Y496" s="2"/>
    </row>
    <row r="497" spans="1:25" x14ac:dyDescent="0.2">
      <c r="A497" s="3">
        <v>1609</v>
      </c>
      <c r="B497" s="4" t="s">
        <v>3073</v>
      </c>
      <c r="C497" s="3" t="s">
        <v>3074</v>
      </c>
      <c r="D497" s="3" t="s">
        <v>7092</v>
      </c>
      <c r="E497" s="3" t="s">
        <v>3075</v>
      </c>
      <c r="F497" s="3" t="s">
        <v>7093</v>
      </c>
      <c r="G497" s="3" t="s">
        <v>3076</v>
      </c>
      <c r="H497" s="2"/>
      <c r="I497" s="2"/>
      <c r="J497" s="3" t="s">
        <v>110</v>
      </c>
      <c r="K497" s="3" t="s">
        <v>3077</v>
      </c>
      <c r="L497" s="3" t="s">
        <v>7094</v>
      </c>
      <c r="M497" s="2"/>
      <c r="N497" s="2"/>
      <c r="O497" s="3" t="s">
        <v>26</v>
      </c>
      <c r="P497" s="2"/>
      <c r="Q497" s="3">
        <v>0</v>
      </c>
      <c r="R497" s="3" t="s">
        <v>1215</v>
      </c>
      <c r="S497" s="3" t="s">
        <v>29</v>
      </c>
      <c r="T497" s="3" t="s">
        <v>3078</v>
      </c>
      <c r="U497" s="3" t="s">
        <v>2721</v>
      </c>
      <c r="V497" s="3" t="s">
        <v>709</v>
      </c>
      <c r="W497" s="2"/>
      <c r="X497" s="2"/>
      <c r="Y497" s="2"/>
    </row>
    <row r="498" spans="1:25" x14ac:dyDescent="0.2">
      <c r="A498" s="3">
        <v>1916</v>
      </c>
      <c r="B498" s="4" t="s">
        <v>3079</v>
      </c>
      <c r="C498" s="3" t="s">
        <v>3080</v>
      </c>
      <c r="D498" s="3" t="s">
        <v>7096</v>
      </c>
      <c r="E498" s="3" t="s">
        <v>3081</v>
      </c>
      <c r="F498" s="3" t="s">
        <v>7097</v>
      </c>
      <c r="G498" s="3" t="s">
        <v>2829</v>
      </c>
      <c r="H498" s="3" t="s">
        <v>2829</v>
      </c>
      <c r="I498" s="3" t="s">
        <v>2829</v>
      </c>
      <c r="J498" s="3" t="s">
        <v>135</v>
      </c>
      <c r="K498" s="3" t="s">
        <v>3082</v>
      </c>
      <c r="L498" s="3" t="s">
        <v>7098</v>
      </c>
      <c r="M498" s="2"/>
      <c r="N498" s="2"/>
      <c r="O498" s="3" t="s">
        <v>26</v>
      </c>
      <c r="P498" s="3" t="s">
        <v>3083</v>
      </c>
      <c r="Q498" s="3" t="s">
        <v>7099</v>
      </c>
      <c r="R498" s="3" t="s">
        <v>1215</v>
      </c>
      <c r="S498" s="3" t="s">
        <v>397</v>
      </c>
      <c r="T498" s="3" t="s">
        <v>3084</v>
      </c>
      <c r="U498" s="3" t="s">
        <v>95</v>
      </c>
      <c r="V498" s="3" t="s">
        <v>357</v>
      </c>
      <c r="W498" s="2"/>
      <c r="X498" s="2"/>
      <c r="Y498" s="2"/>
    </row>
    <row r="499" spans="1:25" x14ac:dyDescent="0.2">
      <c r="A499" s="3">
        <v>1920</v>
      </c>
      <c r="B499" s="4" t="s">
        <v>3085</v>
      </c>
      <c r="C499" s="3" t="s">
        <v>3086</v>
      </c>
      <c r="D499" s="3" t="s">
        <v>7101</v>
      </c>
      <c r="E499" s="3" t="s">
        <v>3087</v>
      </c>
      <c r="F499" s="3" t="s">
        <v>7102</v>
      </c>
      <c r="G499" s="3" t="s">
        <v>3088</v>
      </c>
      <c r="H499" s="2"/>
      <c r="I499" s="2"/>
      <c r="J499" s="3" t="s">
        <v>3089</v>
      </c>
      <c r="K499" s="3" t="s">
        <v>3090</v>
      </c>
      <c r="L499" s="3" t="s">
        <v>7103</v>
      </c>
      <c r="M499" s="2"/>
      <c r="N499" s="2"/>
      <c r="O499" s="3" t="s">
        <v>26</v>
      </c>
      <c r="P499" s="3" t="s">
        <v>3083</v>
      </c>
      <c r="Q499" s="3" t="s">
        <v>7099</v>
      </c>
      <c r="R499" s="3" t="s">
        <v>1215</v>
      </c>
      <c r="S499" s="3" t="s">
        <v>413</v>
      </c>
      <c r="T499" s="3" t="s">
        <v>3091</v>
      </c>
      <c r="U499" s="3" t="s">
        <v>95</v>
      </c>
      <c r="V499" s="3" t="s">
        <v>357</v>
      </c>
      <c r="W499" s="2"/>
      <c r="X499" s="2"/>
      <c r="Y499" s="2"/>
    </row>
    <row r="500" spans="1:25" x14ac:dyDescent="0.2">
      <c r="A500" s="3">
        <v>1918</v>
      </c>
      <c r="B500" s="4" t="s">
        <v>3092</v>
      </c>
      <c r="C500" s="3" t="s">
        <v>3093</v>
      </c>
      <c r="D500" s="3" t="s">
        <v>7105</v>
      </c>
      <c r="E500" s="3" t="s">
        <v>3094</v>
      </c>
      <c r="F500" s="3" t="s">
        <v>7106</v>
      </c>
      <c r="G500" s="3" t="s">
        <v>1031</v>
      </c>
      <c r="H500" s="3" t="s">
        <v>1031</v>
      </c>
      <c r="I500" s="3" t="s">
        <v>1031</v>
      </c>
      <c r="J500" s="3" t="s">
        <v>135</v>
      </c>
      <c r="K500" s="3" t="s">
        <v>3095</v>
      </c>
      <c r="L500" s="3" t="s">
        <v>7107</v>
      </c>
      <c r="M500" s="2"/>
      <c r="N500" s="2"/>
      <c r="O500" s="3" t="s">
        <v>26</v>
      </c>
      <c r="P500" s="3" t="s">
        <v>95</v>
      </c>
      <c r="Q500" s="3" t="s">
        <v>5297</v>
      </c>
      <c r="R500" s="3" t="s">
        <v>1225</v>
      </c>
      <c r="S500" s="3" t="s">
        <v>397</v>
      </c>
      <c r="T500" s="3" t="s">
        <v>3096</v>
      </c>
      <c r="U500" s="3" t="s">
        <v>95</v>
      </c>
      <c r="V500" s="3" t="s">
        <v>357</v>
      </c>
      <c r="W500" s="2"/>
      <c r="X500" s="2"/>
      <c r="Y500" s="2"/>
    </row>
    <row r="501" spans="1:25" x14ac:dyDescent="0.2">
      <c r="A501" s="3">
        <v>1326</v>
      </c>
      <c r="B501" s="4" t="s">
        <v>3097</v>
      </c>
      <c r="C501" s="3" t="s">
        <v>3098</v>
      </c>
      <c r="D501" s="3" t="s">
        <v>7109</v>
      </c>
      <c r="E501" s="3" t="s">
        <v>3099</v>
      </c>
      <c r="F501" s="3" t="s">
        <v>7110</v>
      </c>
      <c r="G501" s="3" t="s">
        <v>569</v>
      </c>
      <c r="H501" s="2"/>
      <c r="I501" s="2"/>
      <c r="J501" s="3" t="s">
        <v>110</v>
      </c>
      <c r="K501" s="3" t="s">
        <v>3077</v>
      </c>
      <c r="L501" s="3" t="s">
        <v>7094</v>
      </c>
      <c r="M501" s="2"/>
      <c r="N501" s="2"/>
      <c r="O501" s="3" t="s">
        <v>26</v>
      </c>
      <c r="P501" s="3" t="s">
        <v>27</v>
      </c>
      <c r="Q501" s="3" t="s">
        <v>5079</v>
      </c>
      <c r="R501" s="3" t="s">
        <v>1215</v>
      </c>
      <c r="S501" s="3" t="s">
        <v>397</v>
      </c>
      <c r="T501" s="3" t="s">
        <v>3100</v>
      </c>
      <c r="U501" s="3" t="s">
        <v>43</v>
      </c>
      <c r="V501" s="3" t="s">
        <v>27</v>
      </c>
      <c r="W501" s="2"/>
      <c r="X501" s="2"/>
      <c r="Y501" s="2"/>
    </row>
    <row r="502" spans="1:25" x14ac:dyDescent="0.2">
      <c r="A502" s="3">
        <v>1245</v>
      </c>
      <c r="B502" s="4" t="s">
        <v>3101</v>
      </c>
      <c r="C502" s="3" t="s">
        <v>3102</v>
      </c>
      <c r="D502" s="3" t="s">
        <v>7112</v>
      </c>
      <c r="E502" s="3" t="s">
        <v>3103</v>
      </c>
      <c r="F502" s="3" t="s">
        <v>7113</v>
      </c>
      <c r="G502" s="3" t="s">
        <v>1722</v>
      </c>
      <c r="H502" s="3" t="s">
        <v>1722</v>
      </c>
      <c r="I502" s="3" t="s">
        <v>1722</v>
      </c>
      <c r="J502" s="3" t="s">
        <v>1324</v>
      </c>
      <c r="K502" s="3" t="s">
        <v>3104</v>
      </c>
      <c r="L502" s="3" t="s">
        <v>7114</v>
      </c>
      <c r="M502" s="2"/>
      <c r="N502" s="2"/>
      <c r="O502" s="3" t="s">
        <v>26</v>
      </c>
      <c r="P502" s="3" t="s">
        <v>3105</v>
      </c>
      <c r="Q502" s="3" t="s">
        <v>7115</v>
      </c>
      <c r="R502" s="3" t="s">
        <v>1215</v>
      </c>
      <c r="S502" s="3" t="s">
        <v>397</v>
      </c>
      <c r="T502" s="3" t="s">
        <v>3106</v>
      </c>
      <c r="U502" s="3" t="s">
        <v>43</v>
      </c>
      <c r="V502" s="3" t="s">
        <v>71</v>
      </c>
      <c r="W502" s="2"/>
      <c r="X502" s="2"/>
      <c r="Y502" s="2"/>
    </row>
    <row r="503" spans="1:25" x14ac:dyDescent="0.2">
      <c r="A503" s="3">
        <v>2036</v>
      </c>
      <c r="B503" s="4" t="s">
        <v>3107</v>
      </c>
      <c r="C503" s="3" t="s">
        <v>3108</v>
      </c>
      <c r="D503" s="3" t="s">
        <v>7117</v>
      </c>
      <c r="E503" s="3" t="s">
        <v>3109</v>
      </c>
      <c r="F503" s="3" t="s">
        <v>7118</v>
      </c>
      <c r="G503" s="3" t="s">
        <v>1176</v>
      </c>
      <c r="H503" s="3" t="s">
        <v>3110</v>
      </c>
      <c r="I503" s="3" t="s">
        <v>1176</v>
      </c>
      <c r="J503" s="3" t="s">
        <v>36</v>
      </c>
      <c r="K503" s="3" t="s">
        <v>3111</v>
      </c>
      <c r="L503" s="3" t="s">
        <v>7119</v>
      </c>
      <c r="M503" s="2"/>
      <c r="N503" s="2"/>
      <c r="O503" s="3" t="s">
        <v>39</v>
      </c>
      <c r="P503" s="3" t="s">
        <v>51</v>
      </c>
      <c r="Q503" s="3" t="s">
        <v>5095</v>
      </c>
      <c r="R503" s="3" t="s">
        <v>1215</v>
      </c>
      <c r="S503" s="3" t="s">
        <v>2005</v>
      </c>
      <c r="T503" s="3" t="s">
        <v>3112</v>
      </c>
      <c r="U503" s="3" t="s">
        <v>43</v>
      </c>
      <c r="V503" s="3" t="s">
        <v>3113</v>
      </c>
      <c r="W503" s="3" t="s">
        <v>630</v>
      </c>
      <c r="X503" s="2"/>
      <c r="Y503" s="2"/>
    </row>
    <row r="504" spans="1:25" x14ac:dyDescent="0.2">
      <c r="A504" s="3">
        <v>1282</v>
      </c>
      <c r="B504" s="4" t="s">
        <v>3114</v>
      </c>
      <c r="C504" s="3" t="s">
        <v>3115</v>
      </c>
      <c r="D504" s="3" t="s">
        <v>7122</v>
      </c>
      <c r="E504" s="3" t="s">
        <v>3116</v>
      </c>
      <c r="F504" s="3" t="s">
        <v>7123</v>
      </c>
      <c r="G504" s="3" t="s">
        <v>1191</v>
      </c>
      <c r="H504" s="3" t="s">
        <v>3117</v>
      </c>
      <c r="I504" s="3" t="s">
        <v>1191</v>
      </c>
      <c r="J504" s="3" t="s">
        <v>660</v>
      </c>
      <c r="K504" s="3" t="s">
        <v>3118</v>
      </c>
      <c r="L504" s="3" t="s">
        <v>7124</v>
      </c>
      <c r="M504" s="2"/>
      <c r="N504" s="2"/>
      <c r="O504" s="3" t="s">
        <v>26</v>
      </c>
      <c r="P504" s="3" t="s">
        <v>3119</v>
      </c>
      <c r="Q504" s="3" t="s">
        <v>7125</v>
      </c>
      <c r="R504" s="3" t="s">
        <v>1215</v>
      </c>
      <c r="S504" s="3" t="s">
        <v>2314</v>
      </c>
      <c r="T504" s="3" t="s">
        <v>3120</v>
      </c>
      <c r="U504" s="3" t="s">
        <v>43</v>
      </c>
      <c r="V504" s="3" t="s">
        <v>3121</v>
      </c>
      <c r="W504" s="2"/>
      <c r="X504" s="2"/>
      <c r="Y504" s="2"/>
    </row>
    <row r="505" spans="1:25" x14ac:dyDescent="0.2">
      <c r="A505" s="3">
        <v>1902</v>
      </c>
      <c r="B505" s="4" t="s">
        <v>3122</v>
      </c>
      <c r="C505" s="3" t="s">
        <v>3123</v>
      </c>
      <c r="D505" s="3" t="s">
        <v>7128</v>
      </c>
      <c r="E505" s="3" t="s">
        <v>3124</v>
      </c>
      <c r="F505" s="3" t="s">
        <v>7129</v>
      </c>
      <c r="G505" s="3" t="s">
        <v>1761</v>
      </c>
      <c r="H505" s="3" t="s">
        <v>1717</v>
      </c>
      <c r="I505" s="3" t="s">
        <v>1717</v>
      </c>
      <c r="J505" s="3" t="s">
        <v>1684</v>
      </c>
      <c r="K505" s="3" t="s">
        <v>3125</v>
      </c>
      <c r="L505" s="3" t="s">
        <v>7130</v>
      </c>
      <c r="M505" s="2"/>
      <c r="N505" s="2"/>
      <c r="O505" s="3" t="s">
        <v>26</v>
      </c>
      <c r="P505" s="3" t="s">
        <v>95</v>
      </c>
      <c r="Q505" s="3" t="s">
        <v>5297</v>
      </c>
      <c r="R505" s="3" t="s">
        <v>1215</v>
      </c>
      <c r="S505" s="3" t="s">
        <v>397</v>
      </c>
      <c r="T505" s="3" t="s">
        <v>3091</v>
      </c>
      <c r="U505" s="3" t="s">
        <v>95</v>
      </c>
      <c r="V505" s="3" t="s">
        <v>357</v>
      </c>
      <c r="W505" s="2"/>
      <c r="X505" s="2"/>
      <c r="Y505" s="2"/>
    </row>
    <row r="506" spans="1:25" x14ac:dyDescent="0.2">
      <c r="A506" s="3">
        <v>320</v>
      </c>
      <c r="B506" s="4" t="s">
        <v>3126</v>
      </c>
      <c r="C506" s="3" t="s">
        <v>3127</v>
      </c>
      <c r="D506" s="3" t="s">
        <v>7131</v>
      </c>
      <c r="E506" s="3" t="s">
        <v>3128</v>
      </c>
      <c r="F506" s="3" t="s">
        <v>7132</v>
      </c>
      <c r="G506" s="3" t="s">
        <v>2168</v>
      </c>
      <c r="H506" s="2"/>
      <c r="I506" s="2"/>
      <c r="J506" s="3" t="s">
        <v>2589</v>
      </c>
      <c r="K506" s="3" t="s">
        <v>3129</v>
      </c>
      <c r="L506" s="3" t="s">
        <v>7133</v>
      </c>
      <c r="M506" s="2"/>
      <c r="N506" s="2"/>
      <c r="O506" s="3" t="s">
        <v>26</v>
      </c>
      <c r="P506" s="3" t="s">
        <v>3130</v>
      </c>
      <c r="Q506" s="3" t="s">
        <v>7134</v>
      </c>
      <c r="R506" s="3" t="s">
        <v>1215</v>
      </c>
      <c r="S506" s="3" t="s">
        <v>2314</v>
      </c>
      <c r="T506" s="3" t="s">
        <v>3131</v>
      </c>
      <c r="U506" s="3" t="s">
        <v>3130</v>
      </c>
      <c r="V506" s="3" t="s">
        <v>3132</v>
      </c>
      <c r="W506" s="2"/>
      <c r="X506" s="2"/>
      <c r="Y506" s="2"/>
    </row>
    <row r="507" spans="1:25" x14ac:dyDescent="0.2">
      <c r="A507" s="3">
        <v>1494</v>
      </c>
      <c r="B507" s="4" t="s">
        <v>3133</v>
      </c>
      <c r="C507" s="3" t="s">
        <v>3134</v>
      </c>
      <c r="D507" s="3" t="s">
        <v>7137</v>
      </c>
      <c r="E507" s="3" t="s">
        <v>3135</v>
      </c>
      <c r="F507" s="3" t="s">
        <v>7138</v>
      </c>
      <c r="G507" s="3" t="s">
        <v>1692</v>
      </c>
      <c r="H507" s="3" t="s">
        <v>1692</v>
      </c>
      <c r="I507" s="3" t="s">
        <v>1692</v>
      </c>
      <c r="J507" s="3" t="s">
        <v>36</v>
      </c>
      <c r="K507" s="3" t="s">
        <v>244</v>
      </c>
      <c r="L507" s="3" t="s">
        <v>7139</v>
      </c>
      <c r="M507" s="3" t="s">
        <v>374</v>
      </c>
      <c r="N507" s="2"/>
      <c r="O507" s="3" t="s">
        <v>39</v>
      </c>
      <c r="P507" s="3" t="s">
        <v>60</v>
      </c>
      <c r="Q507" s="3" t="s">
        <v>5100</v>
      </c>
      <c r="R507" s="3" t="s">
        <v>72</v>
      </c>
      <c r="S507" s="3" t="s">
        <v>397</v>
      </c>
      <c r="T507" s="3" t="s">
        <v>3136</v>
      </c>
      <c r="U507" s="2"/>
      <c r="V507" s="3" t="s">
        <v>60</v>
      </c>
      <c r="W507" s="2"/>
      <c r="X507" s="2"/>
      <c r="Y507" s="2"/>
    </row>
    <row r="508" spans="1:25" x14ac:dyDescent="0.2">
      <c r="A508" s="3">
        <v>1162</v>
      </c>
      <c r="B508" s="4" t="s">
        <v>3137</v>
      </c>
      <c r="C508" s="3" t="s">
        <v>3138</v>
      </c>
      <c r="D508" s="3" t="s">
        <v>7141</v>
      </c>
      <c r="E508" s="3" t="s">
        <v>3139</v>
      </c>
      <c r="F508" s="3" t="s">
        <v>7142</v>
      </c>
      <c r="G508" s="3" t="s">
        <v>3140</v>
      </c>
      <c r="H508" s="2"/>
      <c r="I508" s="2"/>
      <c r="J508" s="3" t="s">
        <v>2678</v>
      </c>
      <c r="K508" s="3" t="s">
        <v>2678</v>
      </c>
      <c r="L508" s="3" t="s">
        <v>6834</v>
      </c>
      <c r="M508" s="2"/>
      <c r="N508" s="2"/>
      <c r="O508" s="3" t="s">
        <v>26</v>
      </c>
      <c r="P508" s="3" t="s">
        <v>3105</v>
      </c>
      <c r="Q508" s="3" t="s">
        <v>7115</v>
      </c>
      <c r="R508" s="3" t="s">
        <v>1694</v>
      </c>
      <c r="S508" s="3" t="s">
        <v>397</v>
      </c>
      <c r="T508" s="3" t="s">
        <v>3141</v>
      </c>
      <c r="U508" s="3" t="s">
        <v>43</v>
      </c>
      <c r="V508" s="3" t="s">
        <v>71</v>
      </c>
      <c r="W508" s="2"/>
      <c r="X508" s="2"/>
      <c r="Y508" s="2"/>
    </row>
    <row r="509" spans="1:25" x14ac:dyDescent="0.2">
      <c r="A509" s="3">
        <v>1159</v>
      </c>
      <c r="B509" s="4" t="s">
        <v>3142</v>
      </c>
      <c r="C509" s="3" t="s">
        <v>3143</v>
      </c>
      <c r="D509" s="3" t="s">
        <v>7144</v>
      </c>
      <c r="E509" s="3" t="s">
        <v>3144</v>
      </c>
      <c r="F509" s="3" t="s">
        <v>7145</v>
      </c>
      <c r="G509" s="3" t="s">
        <v>1057</v>
      </c>
      <c r="H509" s="3" t="s">
        <v>2608</v>
      </c>
      <c r="I509" s="3" t="s">
        <v>1057</v>
      </c>
      <c r="J509" s="4" t="s">
        <v>2678</v>
      </c>
      <c r="K509" s="3" t="s">
        <v>2678</v>
      </c>
      <c r="L509" s="3" t="s">
        <v>6834</v>
      </c>
      <c r="M509" s="2"/>
      <c r="N509" s="2"/>
      <c r="O509" s="3" t="s">
        <v>26</v>
      </c>
      <c r="P509" s="3" t="s">
        <v>27</v>
      </c>
      <c r="Q509" s="3" t="s">
        <v>5079</v>
      </c>
      <c r="R509" s="3" t="s">
        <v>1694</v>
      </c>
      <c r="S509" s="3" t="s">
        <v>397</v>
      </c>
      <c r="T509" s="3" t="s">
        <v>3145</v>
      </c>
      <c r="U509" s="3" t="s">
        <v>43</v>
      </c>
      <c r="V509" s="3" t="s">
        <v>27</v>
      </c>
      <c r="W509" s="2"/>
      <c r="X509" s="2"/>
      <c r="Y509" s="2"/>
    </row>
    <row r="510" spans="1:25" x14ac:dyDescent="0.2">
      <c r="A510" s="3">
        <v>1158</v>
      </c>
      <c r="B510" s="4" t="s">
        <v>3146</v>
      </c>
      <c r="C510" s="3" t="s">
        <v>3147</v>
      </c>
      <c r="D510" s="3" t="s">
        <v>7147</v>
      </c>
      <c r="E510" s="3" t="s">
        <v>3148</v>
      </c>
      <c r="F510" s="3" t="s">
        <v>7148</v>
      </c>
      <c r="G510" s="3" t="s">
        <v>2649</v>
      </c>
      <c r="H510" s="3" t="s">
        <v>2608</v>
      </c>
      <c r="I510" s="3" t="s">
        <v>3149</v>
      </c>
      <c r="J510" s="4" t="s">
        <v>2678</v>
      </c>
      <c r="K510" s="3" t="s">
        <v>2678</v>
      </c>
      <c r="L510" s="3" t="s">
        <v>6834</v>
      </c>
      <c r="M510" s="2"/>
      <c r="N510" s="2"/>
      <c r="O510" s="3" t="s">
        <v>26</v>
      </c>
      <c r="P510" s="3" t="s">
        <v>27</v>
      </c>
      <c r="Q510" s="3" t="s">
        <v>5079</v>
      </c>
      <c r="R510" s="3" t="s">
        <v>1694</v>
      </c>
      <c r="S510" s="3" t="s">
        <v>29</v>
      </c>
      <c r="T510" s="3" t="s">
        <v>3150</v>
      </c>
      <c r="U510" s="3" t="s">
        <v>43</v>
      </c>
      <c r="V510" s="3" t="s">
        <v>27</v>
      </c>
      <c r="W510" s="2"/>
      <c r="X510" s="2"/>
      <c r="Y510" s="2"/>
    </row>
    <row r="511" spans="1:25" x14ac:dyDescent="0.2">
      <c r="A511" s="3">
        <v>877</v>
      </c>
      <c r="B511" s="4" t="s">
        <v>3151</v>
      </c>
      <c r="C511" s="3" t="s">
        <v>3152</v>
      </c>
      <c r="D511" s="3" t="s">
        <v>7150</v>
      </c>
      <c r="E511" s="3" t="s">
        <v>3153</v>
      </c>
      <c r="F511" s="3" t="s">
        <v>7151</v>
      </c>
      <c r="G511" s="3" t="s">
        <v>3154</v>
      </c>
      <c r="H511" s="3" t="s">
        <v>2608</v>
      </c>
      <c r="I511" s="3" t="s">
        <v>3154</v>
      </c>
      <c r="J511" s="3" t="s">
        <v>3155</v>
      </c>
      <c r="K511" s="3" t="s">
        <v>3156</v>
      </c>
      <c r="L511" s="3" t="s">
        <v>7152</v>
      </c>
      <c r="M511" s="2"/>
      <c r="N511" s="2"/>
      <c r="O511" s="3" t="s">
        <v>26</v>
      </c>
      <c r="P511" s="3" t="s">
        <v>27</v>
      </c>
      <c r="Q511" s="3" t="s">
        <v>5079</v>
      </c>
      <c r="R511" s="3" t="s">
        <v>61</v>
      </c>
      <c r="S511" s="3" t="s">
        <v>2005</v>
      </c>
      <c r="T511" s="3" t="s">
        <v>3157</v>
      </c>
      <c r="U511" s="3" t="s">
        <v>3158</v>
      </c>
      <c r="V511" s="3" t="s">
        <v>27</v>
      </c>
      <c r="W511" s="3" t="s">
        <v>716</v>
      </c>
      <c r="X511" s="2"/>
      <c r="Y511" s="2"/>
    </row>
    <row r="512" spans="1:25" x14ac:dyDescent="0.2">
      <c r="A512" s="3">
        <v>396</v>
      </c>
      <c r="B512" s="4" t="s">
        <v>3159</v>
      </c>
      <c r="C512" s="3" t="s">
        <v>3160</v>
      </c>
      <c r="D512" s="3" t="s">
        <v>7155</v>
      </c>
      <c r="E512" s="3" t="s">
        <v>3161</v>
      </c>
      <c r="F512" s="3" t="s">
        <v>7156</v>
      </c>
      <c r="G512" s="3" t="s">
        <v>2340</v>
      </c>
      <c r="H512" s="3" t="s">
        <v>2340</v>
      </c>
      <c r="I512" s="3" t="s">
        <v>2340</v>
      </c>
      <c r="J512" s="3" t="s">
        <v>258</v>
      </c>
      <c r="K512" s="3" t="s">
        <v>3162</v>
      </c>
      <c r="L512" s="3" t="s">
        <v>7157</v>
      </c>
      <c r="M512" s="2"/>
      <c r="N512" s="2"/>
      <c r="O512" s="3" t="s">
        <v>39</v>
      </c>
      <c r="P512" s="3" t="s">
        <v>60</v>
      </c>
      <c r="Q512" s="3" t="s">
        <v>5100</v>
      </c>
      <c r="R512" s="3" t="s">
        <v>1215</v>
      </c>
      <c r="S512" s="3" t="s">
        <v>2005</v>
      </c>
      <c r="T512" s="3" t="s">
        <v>3163</v>
      </c>
      <c r="U512" s="2"/>
      <c r="V512" s="3" t="s">
        <v>60</v>
      </c>
      <c r="W512" s="3" t="s">
        <v>1460</v>
      </c>
      <c r="X512" s="2"/>
      <c r="Y512" s="2"/>
    </row>
    <row r="513" spans="1:25" x14ac:dyDescent="0.2">
      <c r="A513" s="3">
        <v>295</v>
      </c>
      <c r="B513" s="4" t="s">
        <v>3164</v>
      </c>
      <c r="C513" s="3" t="s">
        <v>3165</v>
      </c>
      <c r="D513" s="3" t="s">
        <v>7159</v>
      </c>
      <c r="E513" s="3" t="s">
        <v>3166</v>
      </c>
      <c r="F513" s="3" t="s">
        <v>7160</v>
      </c>
      <c r="G513" s="3" t="s">
        <v>683</v>
      </c>
      <c r="H513" s="3" t="s">
        <v>2327</v>
      </c>
      <c r="I513" s="3" t="s">
        <v>2327</v>
      </c>
      <c r="J513" s="3" t="s">
        <v>36</v>
      </c>
      <c r="K513" s="3" t="s">
        <v>3167</v>
      </c>
      <c r="L513" s="3" t="s">
        <v>5177</v>
      </c>
      <c r="M513" s="2"/>
      <c r="N513" s="2"/>
      <c r="O513" s="3" t="s">
        <v>39</v>
      </c>
      <c r="P513" s="3" t="s">
        <v>60</v>
      </c>
      <c r="Q513" s="3" t="s">
        <v>5100</v>
      </c>
      <c r="R513" s="3" t="s">
        <v>72</v>
      </c>
      <c r="S513" s="3" t="s">
        <v>413</v>
      </c>
      <c r="T513" s="3" t="s">
        <v>3168</v>
      </c>
      <c r="U513" s="3" t="s">
        <v>253</v>
      </c>
      <c r="V513" s="3" t="s">
        <v>3169</v>
      </c>
      <c r="W513" s="3" t="s">
        <v>261</v>
      </c>
      <c r="X513" s="2"/>
      <c r="Y513" s="2"/>
    </row>
    <row r="514" spans="1:25" x14ac:dyDescent="0.2">
      <c r="A514" s="3">
        <v>2103</v>
      </c>
      <c r="B514" s="4" t="s">
        <v>3170</v>
      </c>
      <c r="C514" s="3" t="s">
        <v>3171</v>
      </c>
      <c r="D514" s="3" t="s">
        <v>7163</v>
      </c>
      <c r="E514" s="3" t="s">
        <v>3172</v>
      </c>
      <c r="F514" s="3" t="s">
        <v>7164</v>
      </c>
      <c r="G514" s="3" t="s">
        <v>650</v>
      </c>
      <c r="H514" s="3" t="s">
        <v>650</v>
      </c>
      <c r="I514" s="3" t="s">
        <v>650</v>
      </c>
      <c r="J514" s="3" t="s">
        <v>258</v>
      </c>
      <c r="K514" s="3" t="s">
        <v>3173</v>
      </c>
      <c r="L514" s="3" t="s">
        <v>7165</v>
      </c>
      <c r="M514" s="2"/>
      <c r="N514" s="2"/>
      <c r="O514" s="3" t="s">
        <v>39</v>
      </c>
      <c r="P514" s="3" t="s">
        <v>60</v>
      </c>
      <c r="Q514" s="3" t="s">
        <v>5100</v>
      </c>
      <c r="R514" s="3" t="s">
        <v>72</v>
      </c>
      <c r="S514" s="3" t="s">
        <v>29</v>
      </c>
      <c r="T514" s="3" t="s">
        <v>3174</v>
      </c>
      <c r="U514" s="3" t="s">
        <v>3001</v>
      </c>
      <c r="V514" s="3" t="s">
        <v>27</v>
      </c>
      <c r="W514" s="3" t="s">
        <v>261</v>
      </c>
      <c r="X514" s="2"/>
      <c r="Y514" s="2"/>
    </row>
    <row r="515" spans="1:25" x14ac:dyDescent="0.2">
      <c r="A515" s="3">
        <v>879</v>
      </c>
      <c r="B515" s="6" t="s">
        <v>3175</v>
      </c>
      <c r="C515" s="3" t="s">
        <v>3176</v>
      </c>
      <c r="D515" s="3" t="s">
        <v>7167</v>
      </c>
      <c r="E515" s="3" t="s">
        <v>3177</v>
      </c>
      <c r="F515" s="3" t="s">
        <v>7168</v>
      </c>
      <c r="G515" s="3" t="s">
        <v>200</v>
      </c>
      <c r="H515" s="3" t="s">
        <v>2608</v>
      </c>
      <c r="I515" s="3" t="s">
        <v>1415</v>
      </c>
      <c r="J515" s="3" t="s">
        <v>3178</v>
      </c>
      <c r="K515" s="3" t="s">
        <v>3179</v>
      </c>
      <c r="L515" s="3" t="s">
        <v>7169</v>
      </c>
      <c r="M515" s="2"/>
      <c r="N515" s="2"/>
      <c r="O515" s="3" t="s">
        <v>26</v>
      </c>
      <c r="P515" s="3" t="s">
        <v>3180</v>
      </c>
      <c r="Q515" s="3" t="s">
        <v>7170</v>
      </c>
      <c r="R515" s="3" t="s">
        <v>1215</v>
      </c>
      <c r="S515" s="3" t="s">
        <v>397</v>
      </c>
      <c r="T515" s="3" t="s">
        <v>3181</v>
      </c>
      <c r="U515" s="3" t="s">
        <v>275</v>
      </c>
      <c r="V515" s="3" t="s">
        <v>27</v>
      </c>
      <c r="W515" s="3" t="s">
        <v>3182</v>
      </c>
      <c r="X515" s="2"/>
      <c r="Y515" s="2"/>
    </row>
    <row r="516" spans="1:25" x14ac:dyDescent="0.2">
      <c r="A516" s="3">
        <v>997</v>
      </c>
      <c r="B516" s="4" t="s">
        <v>3183</v>
      </c>
      <c r="C516" s="3" t="s">
        <v>3184</v>
      </c>
      <c r="D516" s="3" t="s">
        <v>7173</v>
      </c>
      <c r="E516" s="3" t="s">
        <v>3185</v>
      </c>
      <c r="F516" s="3" t="s">
        <v>7174</v>
      </c>
      <c r="G516" s="3" t="s">
        <v>192</v>
      </c>
      <c r="H516" s="2"/>
      <c r="I516" s="2"/>
      <c r="J516" s="3" t="s">
        <v>110</v>
      </c>
      <c r="K516" s="3" t="s">
        <v>3186</v>
      </c>
      <c r="L516" s="3" t="s">
        <v>7175</v>
      </c>
      <c r="M516" s="2"/>
      <c r="N516" s="2"/>
      <c r="O516" s="3" t="s">
        <v>26</v>
      </c>
      <c r="P516" s="3" t="s">
        <v>3083</v>
      </c>
      <c r="Q516" s="3" t="s">
        <v>7099</v>
      </c>
      <c r="R516" s="3" t="s">
        <v>1215</v>
      </c>
      <c r="S516" s="3" t="s">
        <v>397</v>
      </c>
      <c r="T516" s="3" t="s">
        <v>3187</v>
      </c>
      <c r="U516" s="3" t="s">
        <v>3188</v>
      </c>
      <c r="V516" s="3" t="s">
        <v>357</v>
      </c>
      <c r="W516" s="3" t="s">
        <v>3182</v>
      </c>
      <c r="X516" s="2"/>
      <c r="Y516" s="2"/>
    </row>
    <row r="517" spans="1:25" x14ac:dyDescent="0.2">
      <c r="A517" s="3">
        <v>304</v>
      </c>
      <c r="B517" s="6" t="s">
        <v>3189</v>
      </c>
      <c r="C517" s="3" t="s">
        <v>3190</v>
      </c>
      <c r="D517" s="3" t="s">
        <v>7178</v>
      </c>
      <c r="E517" s="3" t="s">
        <v>3191</v>
      </c>
      <c r="F517" s="3" t="s">
        <v>7179</v>
      </c>
      <c r="G517" s="3" t="s">
        <v>2753</v>
      </c>
      <c r="H517" s="3" t="s">
        <v>2753</v>
      </c>
      <c r="I517" s="3" t="s">
        <v>2753</v>
      </c>
      <c r="J517" s="3" t="s">
        <v>3192</v>
      </c>
      <c r="K517" s="3" t="s">
        <v>3192</v>
      </c>
      <c r="L517" s="3" t="s">
        <v>7180</v>
      </c>
      <c r="M517" s="2"/>
      <c r="N517" s="6" t="s">
        <v>3193</v>
      </c>
      <c r="O517" s="3" t="s">
        <v>39</v>
      </c>
      <c r="P517" s="2"/>
      <c r="Q517" s="3">
        <v>0</v>
      </c>
      <c r="R517" s="3" t="s">
        <v>1215</v>
      </c>
      <c r="S517" s="3" t="s">
        <v>29</v>
      </c>
      <c r="T517" s="3" t="s">
        <v>3194</v>
      </c>
      <c r="U517" s="3" t="s">
        <v>1355</v>
      </c>
      <c r="V517" s="3" t="s">
        <v>3002</v>
      </c>
      <c r="W517" s="2"/>
      <c r="X517" s="2"/>
      <c r="Y517" s="2"/>
    </row>
    <row r="518" spans="1:25" x14ac:dyDescent="0.2">
      <c r="A518" s="3">
        <v>669</v>
      </c>
      <c r="B518" s="4" t="s">
        <v>3195</v>
      </c>
      <c r="C518" s="3" t="s">
        <v>3196</v>
      </c>
      <c r="D518" s="3" t="s">
        <v>7182</v>
      </c>
      <c r="E518" s="3" t="s">
        <v>3197</v>
      </c>
      <c r="F518" s="3" t="s">
        <v>7183</v>
      </c>
      <c r="G518" s="3" t="s">
        <v>2519</v>
      </c>
      <c r="H518" s="3" t="s">
        <v>3198</v>
      </c>
      <c r="I518" s="3" t="s">
        <v>3199</v>
      </c>
      <c r="J518" s="3" t="s">
        <v>1213</v>
      </c>
      <c r="K518" s="3" t="s">
        <v>3200</v>
      </c>
      <c r="L518" s="3" t="s">
        <v>7184</v>
      </c>
      <c r="M518" s="2"/>
      <c r="N518" s="2"/>
      <c r="O518" s="3" t="s">
        <v>26</v>
      </c>
      <c r="P518" s="3" t="s">
        <v>3201</v>
      </c>
      <c r="Q518" s="3" t="s">
        <v>6340</v>
      </c>
      <c r="R518" s="3" t="s">
        <v>1215</v>
      </c>
      <c r="S518" s="3" t="s">
        <v>2314</v>
      </c>
      <c r="T518" s="3" t="s">
        <v>3202</v>
      </c>
      <c r="U518" s="3" t="s">
        <v>3203</v>
      </c>
      <c r="V518" s="3" t="s">
        <v>3204</v>
      </c>
      <c r="W518" s="2"/>
      <c r="X518" s="2"/>
      <c r="Y518" s="2"/>
    </row>
    <row r="519" spans="1:25" x14ac:dyDescent="0.2">
      <c r="A519" s="3">
        <v>1556</v>
      </c>
      <c r="B519" s="6" t="s">
        <v>3205</v>
      </c>
      <c r="C519" s="3" t="s">
        <v>3206</v>
      </c>
      <c r="D519" s="3" t="s">
        <v>7188</v>
      </c>
      <c r="E519" s="3" t="s">
        <v>3207</v>
      </c>
      <c r="F519" s="3" t="s">
        <v>7189</v>
      </c>
      <c r="G519" s="3" t="s">
        <v>1722</v>
      </c>
      <c r="H519" s="3" t="s">
        <v>2608</v>
      </c>
      <c r="I519" s="3" t="s">
        <v>1722</v>
      </c>
      <c r="J519" s="3" t="s">
        <v>2821</v>
      </c>
      <c r="K519" s="3" t="s">
        <v>3208</v>
      </c>
      <c r="L519" s="3" t="s">
        <v>7190</v>
      </c>
      <c r="M519" s="2"/>
      <c r="N519" s="2"/>
      <c r="O519" s="3" t="s">
        <v>26</v>
      </c>
      <c r="P519" s="3" t="s">
        <v>27</v>
      </c>
      <c r="Q519" s="3" t="s">
        <v>5079</v>
      </c>
      <c r="R519" s="3" t="s">
        <v>1215</v>
      </c>
      <c r="S519" s="3" t="s">
        <v>397</v>
      </c>
      <c r="T519" s="3" t="s">
        <v>3209</v>
      </c>
      <c r="U519" s="3" t="s">
        <v>3210</v>
      </c>
      <c r="V519" s="3" t="s">
        <v>3211</v>
      </c>
      <c r="W519" s="2"/>
      <c r="X519" s="2"/>
      <c r="Y519" s="2"/>
    </row>
    <row r="520" spans="1:25" x14ac:dyDescent="0.2">
      <c r="A520" s="3">
        <v>225</v>
      </c>
      <c r="B520" s="4" t="s">
        <v>3212</v>
      </c>
      <c r="C520" s="3" t="s">
        <v>3213</v>
      </c>
      <c r="D520" s="3" t="s">
        <v>7194</v>
      </c>
      <c r="E520" s="3" t="s">
        <v>3214</v>
      </c>
      <c r="F520" s="3" t="s">
        <v>7195</v>
      </c>
      <c r="G520" s="3" t="s">
        <v>3215</v>
      </c>
      <c r="H520" s="3" t="s">
        <v>3215</v>
      </c>
      <c r="I520" s="3" t="s">
        <v>3215</v>
      </c>
      <c r="J520" s="3" t="s">
        <v>3216</v>
      </c>
      <c r="K520" s="3" t="s">
        <v>3217</v>
      </c>
      <c r="L520" s="3" t="s">
        <v>7196</v>
      </c>
      <c r="M520" s="2"/>
      <c r="N520" s="2"/>
      <c r="O520" s="3" t="s">
        <v>26</v>
      </c>
      <c r="P520" s="3" t="s">
        <v>27</v>
      </c>
      <c r="Q520" s="3" t="s">
        <v>5079</v>
      </c>
      <c r="R520" s="3" t="s">
        <v>1215</v>
      </c>
      <c r="S520" s="3" t="s">
        <v>397</v>
      </c>
      <c r="T520" s="3" t="s">
        <v>3218</v>
      </c>
      <c r="U520" s="3" t="s">
        <v>2925</v>
      </c>
      <c r="V520" s="3" t="s">
        <v>71</v>
      </c>
      <c r="W520" s="2"/>
      <c r="X520" s="2"/>
      <c r="Y520" s="2"/>
    </row>
    <row r="521" spans="1:25" x14ac:dyDescent="0.2">
      <c r="A521" s="3">
        <v>1330</v>
      </c>
      <c r="B521" s="4" t="s">
        <v>3219</v>
      </c>
      <c r="C521" s="3" t="s">
        <v>3220</v>
      </c>
      <c r="D521" s="3" t="s">
        <v>7198</v>
      </c>
      <c r="E521" s="3" t="s">
        <v>3221</v>
      </c>
      <c r="F521" s="3" t="s">
        <v>7199</v>
      </c>
      <c r="G521" s="3" t="s">
        <v>1150</v>
      </c>
      <c r="H521" s="3" t="s">
        <v>824</v>
      </c>
      <c r="I521" s="2"/>
      <c r="J521" s="3" t="s">
        <v>110</v>
      </c>
      <c r="K521" s="3" t="s">
        <v>3222</v>
      </c>
      <c r="L521" s="3" t="s">
        <v>7200</v>
      </c>
      <c r="M521" s="2"/>
      <c r="N521" s="2"/>
      <c r="O521" s="3" t="s">
        <v>26</v>
      </c>
      <c r="P521" s="3" t="s">
        <v>71</v>
      </c>
      <c r="Q521" s="3" t="s">
        <v>5107</v>
      </c>
      <c r="R521" s="3" t="s">
        <v>1215</v>
      </c>
      <c r="S521" s="3" t="s">
        <v>2314</v>
      </c>
      <c r="T521" s="3" t="s">
        <v>3223</v>
      </c>
      <c r="U521" s="3" t="s">
        <v>3224</v>
      </c>
      <c r="V521" s="3" t="s">
        <v>71</v>
      </c>
      <c r="W521" s="2"/>
      <c r="X521" s="2"/>
      <c r="Y521" s="2"/>
    </row>
    <row r="522" spans="1:25" x14ac:dyDescent="0.2">
      <c r="A522" s="3">
        <v>1471</v>
      </c>
      <c r="B522" s="4" t="s">
        <v>3225</v>
      </c>
      <c r="C522" s="3" t="s">
        <v>3226</v>
      </c>
      <c r="D522" s="3" t="s">
        <v>7203</v>
      </c>
      <c r="E522" s="3" t="s">
        <v>3227</v>
      </c>
      <c r="F522" s="3" t="s">
        <v>7204</v>
      </c>
      <c r="G522" s="3" t="s">
        <v>927</v>
      </c>
      <c r="H522" s="2"/>
      <c r="I522" s="2"/>
      <c r="J522" s="3" t="s">
        <v>1199</v>
      </c>
      <c r="K522" s="3" t="s">
        <v>2985</v>
      </c>
      <c r="L522" s="3" t="s">
        <v>7031</v>
      </c>
      <c r="M522" s="2"/>
      <c r="N522" s="2"/>
      <c r="O522" s="3" t="s">
        <v>39</v>
      </c>
      <c r="P522" s="3" t="s">
        <v>60</v>
      </c>
      <c r="Q522" s="3" t="s">
        <v>5100</v>
      </c>
      <c r="R522" s="3" t="s">
        <v>1215</v>
      </c>
      <c r="S522" s="3" t="s">
        <v>397</v>
      </c>
      <c r="T522" s="3" t="s">
        <v>3228</v>
      </c>
      <c r="U522" s="3" t="s">
        <v>2721</v>
      </c>
      <c r="V522" s="3" t="s">
        <v>60</v>
      </c>
      <c r="W522" s="3" t="s">
        <v>3229</v>
      </c>
      <c r="X522" s="2"/>
      <c r="Y522" s="2"/>
    </row>
    <row r="523" spans="1:25" x14ac:dyDescent="0.2">
      <c r="A523" s="3">
        <v>21</v>
      </c>
      <c r="B523" s="4" t="s">
        <v>3230</v>
      </c>
      <c r="C523" s="3" t="s">
        <v>3231</v>
      </c>
      <c r="D523" s="3" t="s">
        <v>7207</v>
      </c>
      <c r="E523" s="3" t="s">
        <v>3232</v>
      </c>
      <c r="F523" s="3" t="s">
        <v>7208</v>
      </c>
      <c r="G523" s="3" t="s">
        <v>1815</v>
      </c>
      <c r="H523" s="3" t="s">
        <v>1140</v>
      </c>
      <c r="I523" s="3" t="s">
        <v>1140</v>
      </c>
      <c r="J523" s="3" t="s">
        <v>135</v>
      </c>
      <c r="K523" s="3" t="s">
        <v>3233</v>
      </c>
      <c r="L523" s="3" t="s">
        <v>7209</v>
      </c>
      <c r="M523" s="2"/>
      <c r="N523" s="2"/>
      <c r="O523" s="3" t="s">
        <v>26</v>
      </c>
      <c r="P523" s="3" t="s">
        <v>212</v>
      </c>
      <c r="Q523" s="3" t="s">
        <v>5193</v>
      </c>
      <c r="R523" s="3" t="s">
        <v>1215</v>
      </c>
      <c r="S523" s="3" t="s">
        <v>707</v>
      </c>
      <c r="T523" s="3" t="s">
        <v>3234</v>
      </c>
      <c r="U523" s="3" t="s">
        <v>3235</v>
      </c>
      <c r="V523" s="3" t="s">
        <v>3236</v>
      </c>
      <c r="W523" s="2"/>
      <c r="X523" s="2"/>
      <c r="Y523" s="2"/>
    </row>
    <row r="524" spans="1:25" x14ac:dyDescent="0.2">
      <c r="A524" s="3">
        <v>192</v>
      </c>
      <c r="B524" s="4" t="s">
        <v>525</v>
      </c>
      <c r="C524" s="3" t="s">
        <v>3237</v>
      </c>
      <c r="D524" s="3" t="s">
        <v>7213</v>
      </c>
      <c r="E524" s="3" t="s">
        <v>3238</v>
      </c>
      <c r="F524" s="3" t="s">
        <v>7214</v>
      </c>
      <c r="G524" s="3" t="s">
        <v>523</v>
      </c>
      <c r="H524" s="3" t="s">
        <v>1727</v>
      </c>
      <c r="I524" s="3" t="s">
        <v>523</v>
      </c>
      <c r="J524" s="3" t="s">
        <v>3239</v>
      </c>
      <c r="K524" s="3" t="s">
        <v>3239</v>
      </c>
      <c r="L524" s="3" t="s">
        <v>7215</v>
      </c>
      <c r="M524" s="2"/>
      <c r="N524" s="2"/>
      <c r="O524" s="3" t="s">
        <v>26</v>
      </c>
      <c r="P524" s="3" t="s">
        <v>212</v>
      </c>
      <c r="Q524" s="3" t="s">
        <v>5193</v>
      </c>
      <c r="R524" s="3" t="s">
        <v>28</v>
      </c>
      <c r="S524" s="3" t="s">
        <v>29</v>
      </c>
      <c r="T524" s="3" t="s">
        <v>3240</v>
      </c>
      <c r="U524" s="3" t="s">
        <v>3241</v>
      </c>
      <c r="V524" s="3" t="s">
        <v>212</v>
      </c>
      <c r="W524" s="2"/>
      <c r="X524" s="2"/>
      <c r="Y524" s="2"/>
    </row>
    <row r="525" spans="1:25" x14ac:dyDescent="0.2">
      <c r="A525" s="3">
        <v>1764</v>
      </c>
      <c r="B525" s="4" t="s">
        <v>3242</v>
      </c>
      <c r="C525" s="3" t="s">
        <v>3243</v>
      </c>
      <c r="D525" s="3" t="s">
        <v>7218</v>
      </c>
      <c r="E525" s="3" t="s">
        <v>3244</v>
      </c>
      <c r="F525" s="3" t="s">
        <v>7219</v>
      </c>
      <c r="G525" s="3" t="s">
        <v>77</v>
      </c>
      <c r="H525" s="3" t="s">
        <v>3245</v>
      </c>
      <c r="I525" s="3" t="s">
        <v>3246</v>
      </c>
      <c r="J525" s="3" t="s">
        <v>3247</v>
      </c>
      <c r="K525" s="3" t="s">
        <v>3248</v>
      </c>
      <c r="L525" s="3" t="s">
        <v>7221</v>
      </c>
      <c r="M525" s="3" t="s">
        <v>3249</v>
      </c>
      <c r="N525" s="2"/>
      <c r="O525" s="3" t="s">
        <v>26</v>
      </c>
      <c r="P525" s="3" t="s">
        <v>95</v>
      </c>
      <c r="Q525" s="3" t="s">
        <v>5297</v>
      </c>
      <c r="R525" s="3" t="s">
        <v>2563</v>
      </c>
      <c r="S525" s="3" t="s">
        <v>397</v>
      </c>
      <c r="T525" s="3" t="s">
        <v>3250</v>
      </c>
      <c r="U525" s="3" t="s">
        <v>95</v>
      </c>
      <c r="V525" s="3" t="s">
        <v>3251</v>
      </c>
      <c r="W525" s="3" t="s">
        <v>2533</v>
      </c>
      <c r="X525" s="2"/>
      <c r="Y525" s="2"/>
    </row>
    <row r="526" spans="1:25" x14ac:dyDescent="0.2">
      <c r="A526" s="3">
        <v>223</v>
      </c>
      <c r="B526" s="4" t="s">
        <v>3252</v>
      </c>
      <c r="C526" s="3" t="s">
        <v>3253</v>
      </c>
      <c r="D526" s="3" t="s">
        <v>7224</v>
      </c>
      <c r="E526" s="3" t="s">
        <v>3254</v>
      </c>
      <c r="F526" s="3" t="s">
        <v>7225</v>
      </c>
      <c r="G526" s="3" t="s">
        <v>3255</v>
      </c>
      <c r="H526" s="2"/>
      <c r="I526" s="2"/>
      <c r="J526" s="3" t="s">
        <v>3256</v>
      </c>
      <c r="K526" s="3" t="s">
        <v>3257</v>
      </c>
      <c r="L526" s="3" t="s">
        <v>7226</v>
      </c>
      <c r="M526" s="2"/>
      <c r="N526" s="2"/>
      <c r="O526" s="3" t="s">
        <v>26</v>
      </c>
      <c r="P526" s="3" t="s">
        <v>40</v>
      </c>
      <c r="Q526" s="3" t="s">
        <v>5088</v>
      </c>
      <c r="R526" s="3" t="s">
        <v>1215</v>
      </c>
      <c r="S526" s="3" t="s">
        <v>397</v>
      </c>
      <c r="T526" s="3" t="s">
        <v>3258</v>
      </c>
      <c r="U526" s="3" t="s">
        <v>2925</v>
      </c>
      <c r="V526" s="3" t="s">
        <v>40</v>
      </c>
      <c r="W526" s="3" t="s">
        <v>2987</v>
      </c>
      <c r="X526" s="2"/>
      <c r="Y526" s="2"/>
    </row>
    <row r="527" spans="1:25" x14ac:dyDescent="0.2">
      <c r="A527" s="3">
        <v>137</v>
      </c>
      <c r="B527" s="4" t="s">
        <v>3259</v>
      </c>
      <c r="C527" s="3" t="s">
        <v>3260</v>
      </c>
      <c r="D527" s="3" t="s">
        <v>7228</v>
      </c>
      <c r="E527" s="3" t="s">
        <v>3261</v>
      </c>
      <c r="F527" s="3" t="s">
        <v>7229</v>
      </c>
      <c r="G527" s="3" t="s">
        <v>523</v>
      </c>
      <c r="H527" s="3" t="s">
        <v>523</v>
      </c>
      <c r="I527" s="3" t="s">
        <v>523</v>
      </c>
      <c r="J527" s="3" t="s">
        <v>173</v>
      </c>
      <c r="K527" s="3" t="s">
        <v>3262</v>
      </c>
      <c r="L527" s="3" t="s">
        <v>7230</v>
      </c>
      <c r="M527" s="3" t="s">
        <v>3263</v>
      </c>
      <c r="N527" s="6" t="s">
        <v>3264</v>
      </c>
      <c r="O527" s="3" t="s">
        <v>26</v>
      </c>
      <c r="P527" s="3" t="s">
        <v>27</v>
      </c>
      <c r="Q527" s="3" t="s">
        <v>5193</v>
      </c>
      <c r="R527" s="3" t="s">
        <v>72</v>
      </c>
      <c r="S527" s="3" t="s">
        <v>29</v>
      </c>
      <c r="T527" s="3" t="s">
        <v>3265</v>
      </c>
      <c r="U527" s="2"/>
      <c r="V527" s="3" t="s">
        <v>27</v>
      </c>
      <c r="W527" s="2"/>
      <c r="X527" s="2"/>
      <c r="Y527" s="2"/>
    </row>
    <row r="528" spans="1:25" x14ac:dyDescent="0.2">
      <c r="A528" s="3">
        <v>1547</v>
      </c>
      <c r="B528" s="4" t="s">
        <v>3266</v>
      </c>
      <c r="C528" s="3" t="s">
        <v>3267</v>
      </c>
      <c r="D528" s="3" t="s">
        <v>7232</v>
      </c>
      <c r="E528" s="3" t="s">
        <v>3268</v>
      </c>
      <c r="F528" s="3" t="s">
        <v>7233</v>
      </c>
      <c r="G528" s="3" t="s">
        <v>2359</v>
      </c>
      <c r="H528" s="3" t="s">
        <v>2359</v>
      </c>
      <c r="I528" s="3" t="s">
        <v>2359</v>
      </c>
      <c r="J528" s="3" t="s">
        <v>1193</v>
      </c>
      <c r="K528" s="3" t="s">
        <v>3269</v>
      </c>
      <c r="L528" s="3" t="s">
        <v>7234</v>
      </c>
      <c r="M528" s="2"/>
      <c r="N528" s="2"/>
      <c r="O528" s="3" t="s">
        <v>39</v>
      </c>
      <c r="P528" s="3" t="s">
        <v>1830</v>
      </c>
      <c r="Q528" s="3" t="s">
        <v>7235</v>
      </c>
      <c r="R528" s="3" t="s">
        <v>1215</v>
      </c>
      <c r="S528" s="3" t="s">
        <v>397</v>
      </c>
      <c r="T528" s="3" t="s">
        <v>3270</v>
      </c>
      <c r="U528" s="3" t="s">
        <v>3271</v>
      </c>
      <c r="V528" s="3" t="s">
        <v>60</v>
      </c>
      <c r="W528" s="2"/>
      <c r="X528" s="2"/>
      <c r="Y528" s="2"/>
    </row>
    <row r="529" spans="1:25" x14ac:dyDescent="0.2">
      <c r="A529" s="3">
        <v>1403</v>
      </c>
      <c r="B529" s="4" t="s">
        <v>3272</v>
      </c>
      <c r="C529" s="3" t="s">
        <v>3273</v>
      </c>
      <c r="D529" s="3" t="s">
        <v>7238</v>
      </c>
      <c r="E529" s="3" t="s">
        <v>3274</v>
      </c>
      <c r="F529" s="3" t="s">
        <v>7239</v>
      </c>
      <c r="G529" s="3" t="s">
        <v>2359</v>
      </c>
      <c r="H529" s="3" t="s">
        <v>2359</v>
      </c>
      <c r="I529" s="3" t="s">
        <v>2359</v>
      </c>
      <c r="J529" s="3" t="s">
        <v>3275</v>
      </c>
      <c r="K529" s="3" t="s">
        <v>3276</v>
      </c>
      <c r="L529" s="3" t="s">
        <v>7240</v>
      </c>
      <c r="M529" s="2"/>
      <c r="N529" s="2"/>
      <c r="O529" s="3" t="s">
        <v>39</v>
      </c>
      <c r="P529" s="3" t="s">
        <v>1830</v>
      </c>
      <c r="Q529" s="3" t="s">
        <v>7235</v>
      </c>
      <c r="R529" s="3" t="s">
        <v>1215</v>
      </c>
      <c r="S529" s="3" t="s">
        <v>29</v>
      </c>
      <c r="T529" s="3" t="s">
        <v>3270</v>
      </c>
      <c r="U529" s="3" t="s">
        <v>3271</v>
      </c>
      <c r="V529" s="3" t="s">
        <v>60</v>
      </c>
      <c r="W529" s="2"/>
      <c r="X529" s="2"/>
      <c r="Y529" s="2"/>
    </row>
    <row r="530" spans="1:25" x14ac:dyDescent="0.2">
      <c r="A530" s="3">
        <v>1906</v>
      </c>
      <c r="B530" s="4" t="s">
        <v>3277</v>
      </c>
      <c r="C530" s="3" t="s">
        <v>3278</v>
      </c>
      <c r="D530" s="3" t="s">
        <v>7241</v>
      </c>
      <c r="E530" s="3" t="s">
        <v>3279</v>
      </c>
      <c r="F530" s="3" t="s">
        <v>7242</v>
      </c>
      <c r="G530" s="3" t="s">
        <v>2528</v>
      </c>
      <c r="H530" s="3" t="s">
        <v>683</v>
      </c>
      <c r="I530" s="3" t="s">
        <v>683</v>
      </c>
      <c r="J530" s="3" t="s">
        <v>3280</v>
      </c>
      <c r="K530" s="3" t="s">
        <v>3281</v>
      </c>
      <c r="L530" s="3" t="s">
        <v>7243</v>
      </c>
      <c r="M530" s="2"/>
      <c r="N530" s="2"/>
      <c r="O530" s="3" t="s">
        <v>26</v>
      </c>
      <c r="P530" s="3" t="s">
        <v>3282</v>
      </c>
      <c r="Q530" s="3" t="s">
        <v>7244</v>
      </c>
      <c r="R530" s="3" t="s">
        <v>1225</v>
      </c>
      <c r="S530" s="3" t="s">
        <v>397</v>
      </c>
      <c r="T530" s="3" t="s">
        <v>3283</v>
      </c>
      <c r="U530" s="3" t="s">
        <v>95</v>
      </c>
      <c r="V530" s="3" t="s">
        <v>357</v>
      </c>
      <c r="W530" s="2"/>
      <c r="X530" s="2"/>
      <c r="Y530" s="2"/>
    </row>
    <row r="531" spans="1:25" x14ac:dyDescent="0.2">
      <c r="A531" s="3">
        <v>1105</v>
      </c>
      <c r="B531" s="4" t="s">
        <v>3284</v>
      </c>
      <c r="C531" s="3" t="s">
        <v>3285</v>
      </c>
      <c r="D531" s="3" t="s">
        <v>7246</v>
      </c>
      <c r="E531" s="3" t="s">
        <v>3286</v>
      </c>
      <c r="F531" s="3" t="s">
        <v>7247</v>
      </c>
      <c r="G531" s="3" t="s">
        <v>3287</v>
      </c>
      <c r="H531" s="3" t="s">
        <v>2608</v>
      </c>
      <c r="I531" s="3" t="s">
        <v>2753</v>
      </c>
      <c r="J531" s="3" t="s">
        <v>2941</v>
      </c>
      <c r="K531" s="3" t="s">
        <v>3288</v>
      </c>
      <c r="L531" s="3" t="s">
        <v>7248</v>
      </c>
      <c r="M531" s="2"/>
      <c r="N531" s="2"/>
      <c r="O531" s="3" t="s">
        <v>26</v>
      </c>
      <c r="P531" s="3" t="s">
        <v>3289</v>
      </c>
      <c r="Q531" s="3" t="s">
        <v>7249</v>
      </c>
      <c r="R531" s="3" t="s">
        <v>28</v>
      </c>
      <c r="S531" s="3" t="s">
        <v>29</v>
      </c>
      <c r="T531" s="3" t="s">
        <v>3290</v>
      </c>
      <c r="U531" s="3" t="s">
        <v>3291</v>
      </c>
      <c r="V531" s="3" t="s">
        <v>3292</v>
      </c>
      <c r="W531" s="2"/>
      <c r="X531" s="2"/>
      <c r="Y531" s="2"/>
    </row>
    <row r="532" spans="1:25" x14ac:dyDescent="0.2">
      <c r="A532" s="3">
        <v>889</v>
      </c>
      <c r="B532" s="4" t="s">
        <v>3293</v>
      </c>
      <c r="C532" s="3" t="s">
        <v>3294</v>
      </c>
      <c r="D532" s="3" t="s">
        <v>7253</v>
      </c>
      <c r="E532" s="3" t="s">
        <v>3295</v>
      </c>
      <c r="F532" s="3" t="s">
        <v>7254</v>
      </c>
      <c r="G532" s="3" t="s">
        <v>3296</v>
      </c>
      <c r="H532" s="2"/>
      <c r="I532" s="2"/>
      <c r="J532" s="3" t="s">
        <v>2941</v>
      </c>
      <c r="K532" s="3" t="s">
        <v>2941</v>
      </c>
      <c r="L532" s="3" t="s">
        <v>7005</v>
      </c>
      <c r="M532" s="2"/>
      <c r="N532" s="2"/>
      <c r="O532" s="3" t="s">
        <v>26</v>
      </c>
      <c r="P532" s="3" t="s">
        <v>3297</v>
      </c>
      <c r="Q532" s="3" t="s">
        <v>7249</v>
      </c>
      <c r="R532" s="3" t="s">
        <v>28</v>
      </c>
      <c r="S532" s="3" t="s">
        <v>397</v>
      </c>
      <c r="T532" s="3" t="s">
        <v>3298</v>
      </c>
      <c r="U532" s="2"/>
      <c r="V532" s="3" t="s">
        <v>3299</v>
      </c>
      <c r="W532" s="2"/>
      <c r="X532" s="2"/>
      <c r="Y532" s="2"/>
    </row>
    <row r="533" spans="1:25" x14ac:dyDescent="0.2">
      <c r="A533" s="3">
        <v>684</v>
      </c>
      <c r="B533" s="4" t="s">
        <v>3300</v>
      </c>
      <c r="C533" s="3" t="s">
        <v>3301</v>
      </c>
      <c r="D533" s="3" t="s">
        <v>7257</v>
      </c>
      <c r="E533" s="3" t="s">
        <v>3302</v>
      </c>
      <c r="F533" s="3" t="s">
        <v>7258</v>
      </c>
      <c r="G533" s="3" t="s">
        <v>2689</v>
      </c>
      <c r="H533" s="3" t="s">
        <v>3303</v>
      </c>
      <c r="I533" s="3" t="s">
        <v>1075</v>
      </c>
      <c r="J533" s="3" t="s">
        <v>36</v>
      </c>
      <c r="K533" s="3" t="s">
        <v>3304</v>
      </c>
      <c r="L533" s="3" t="s">
        <v>7259</v>
      </c>
      <c r="M533" s="2"/>
      <c r="N533" s="2"/>
      <c r="O533" s="3" t="s">
        <v>39</v>
      </c>
      <c r="P533" s="3" t="s">
        <v>3305</v>
      </c>
      <c r="Q533" s="3" t="s">
        <v>7260</v>
      </c>
      <c r="R533" s="3" t="s">
        <v>1215</v>
      </c>
      <c r="S533" s="3" t="s">
        <v>2611</v>
      </c>
      <c r="T533" s="3" t="s">
        <v>3306</v>
      </c>
      <c r="U533" s="3" t="s">
        <v>3307</v>
      </c>
      <c r="V533" s="3" t="s">
        <v>3308</v>
      </c>
      <c r="W533" s="2"/>
      <c r="X533" s="2"/>
      <c r="Y533" s="2"/>
    </row>
    <row r="534" spans="1:25" x14ac:dyDescent="0.2">
      <c r="A534" s="3">
        <v>693</v>
      </c>
      <c r="B534" s="4" t="s">
        <v>3309</v>
      </c>
      <c r="C534" s="3" t="s">
        <v>3310</v>
      </c>
      <c r="D534" s="3" t="s">
        <v>7264</v>
      </c>
      <c r="E534" s="3" t="s">
        <v>3311</v>
      </c>
      <c r="F534" s="3" t="s">
        <v>7265</v>
      </c>
      <c r="G534" s="3" t="s">
        <v>403</v>
      </c>
      <c r="H534" s="2"/>
      <c r="I534" s="2"/>
      <c r="J534" s="3" t="s">
        <v>36</v>
      </c>
      <c r="K534" s="3" t="s">
        <v>292</v>
      </c>
      <c r="L534" s="3" t="s">
        <v>5253</v>
      </c>
      <c r="M534" s="3" t="s">
        <v>3312</v>
      </c>
      <c r="N534" s="2"/>
      <c r="O534" s="3" t="s">
        <v>39</v>
      </c>
      <c r="P534" s="3" t="s">
        <v>60</v>
      </c>
      <c r="Q534" s="3" t="s">
        <v>5100</v>
      </c>
      <c r="R534" s="3" t="s">
        <v>1215</v>
      </c>
      <c r="S534" s="3" t="s">
        <v>397</v>
      </c>
      <c r="T534" s="3" t="s">
        <v>3313</v>
      </c>
      <c r="U534" s="3" t="s">
        <v>3314</v>
      </c>
      <c r="V534" s="3" t="s">
        <v>60</v>
      </c>
      <c r="W534" s="2"/>
      <c r="X534" s="2"/>
      <c r="Y534" s="2"/>
    </row>
    <row r="535" spans="1:25" x14ac:dyDescent="0.2">
      <c r="A535" s="3">
        <v>1376</v>
      </c>
      <c r="B535" s="4" t="s">
        <v>3315</v>
      </c>
      <c r="C535" s="3" t="s">
        <v>3316</v>
      </c>
      <c r="D535" s="3" t="s">
        <v>7269</v>
      </c>
      <c r="E535" s="3" t="s">
        <v>3317</v>
      </c>
      <c r="F535" s="3" t="s">
        <v>7270</v>
      </c>
      <c r="G535" s="3" t="s">
        <v>3318</v>
      </c>
      <c r="H535" s="3" t="s">
        <v>3318</v>
      </c>
      <c r="I535" s="3" t="s">
        <v>3318</v>
      </c>
      <c r="J535" s="3" t="s">
        <v>1684</v>
      </c>
      <c r="K535" s="2"/>
      <c r="L535" s="3">
        <v>0</v>
      </c>
      <c r="M535" s="2"/>
      <c r="N535" s="2"/>
      <c r="O535" s="3" t="s">
        <v>26</v>
      </c>
      <c r="P535" s="3" t="s">
        <v>3319</v>
      </c>
      <c r="Q535" s="3" t="s">
        <v>7271</v>
      </c>
      <c r="R535" s="3" t="s">
        <v>1215</v>
      </c>
      <c r="S535" s="3" t="s">
        <v>397</v>
      </c>
      <c r="T535" s="3" t="s">
        <v>3320</v>
      </c>
      <c r="U535" s="3" t="s">
        <v>3321</v>
      </c>
      <c r="V535" s="3" t="s">
        <v>27</v>
      </c>
      <c r="W535" s="2"/>
      <c r="X535" s="2"/>
      <c r="Y535" s="2"/>
    </row>
    <row r="536" spans="1:25" x14ac:dyDescent="0.2">
      <c r="A536" s="3">
        <v>1590</v>
      </c>
      <c r="B536" s="4" t="s">
        <v>3322</v>
      </c>
      <c r="C536" s="3" t="s">
        <v>3323</v>
      </c>
      <c r="D536" s="3" t="s">
        <v>7274</v>
      </c>
      <c r="E536" s="3" t="s">
        <v>3324</v>
      </c>
      <c r="F536" s="3" t="s">
        <v>7275</v>
      </c>
      <c r="G536" s="3" t="s">
        <v>3325</v>
      </c>
      <c r="H536" s="2"/>
      <c r="I536" s="2"/>
      <c r="J536" s="3" t="s">
        <v>3326</v>
      </c>
      <c r="K536" s="3" t="s">
        <v>3327</v>
      </c>
      <c r="L536" s="3" t="s">
        <v>7276</v>
      </c>
      <c r="M536" s="2"/>
      <c r="N536" s="2"/>
      <c r="O536" s="3" t="s">
        <v>26</v>
      </c>
      <c r="P536" s="3" t="s">
        <v>95</v>
      </c>
      <c r="Q536" s="3" t="s">
        <v>5297</v>
      </c>
      <c r="R536" s="3" t="s">
        <v>1215</v>
      </c>
      <c r="S536" s="3" t="s">
        <v>29</v>
      </c>
      <c r="T536" s="3" t="s">
        <v>3328</v>
      </c>
      <c r="U536" s="3" t="s">
        <v>3329</v>
      </c>
      <c r="V536" s="3" t="s">
        <v>27</v>
      </c>
      <c r="W536" s="2"/>
      <c r="X536" s="2"/>
      <c r="Y536" s="2"/>
    </row>
    <row r="537" spans="1:25" x14ac:dyDescent="0.2">
      <c r="A537" s="3">
        <v>1953</v>
      </c>
      <c r="B537" s="4" t="s">
        <v>3330</v>
      </c>
      <c r="C537" s="3" t="s">
        <v>3331</v>
      </c>
      <c r="D537" s="3" t="s">
        <v>7279</v>
      </c>
      <c r="E537" s="3" t="s">
        <v>3332</v>
      </c>
      <c r="F537" s="3" t="s">
        <v>7280</v>
      </c>
      <c r="G537" s="3" t="s">
        <v>979</v>
      </c>
      <c r="H537" s="2"/>
      <c r="I537" s="2"/>
      <c r="J537" s="3" t="s">
        <v>2831</v>
      </c>
      <c r="K537" s="3" t="s">
        <v>3333</v>
      </c>
      <c r="L537" s="3" t="s">
        <v>7281</v>
      </c>
      <c r="M537" s="2"/>
      <c r="N537" s="2"/>
      <c r="O537" s="3" t="s">
        <v>26</v>
      </c>
      <c r="P537" s="3" t="s">
        <v>3334</v>
      </c>
      <c r="Q537" s="3" t="s">
        <v>7099</v>
      </c>
      <c r="R537" s="3" t="s">
        <v>1215</v>
      </c>
      <c r="S537" s="3" t="s">
        <v>397</v>
      </c>
      <c r="T537" s="3" t="s">
        <v>3335</v>
      </c>
      <c r="U537" s="3" t="s">
        <v>95</v>
      </c>
      <c r="V537" s="3" t="s">
        <v>27</v>
      </c>
      <c r="W537" s="2"/>
      <c r="X537" s="2"/>
      <c r="Y537" s="2"/>
    </row>
    <row r="538" spans="1:25" x14ac:dyDescent="0.2">
      <c r="A538" s="3">
        <v>1265</v>
      </c>
      <c r="B538" s="4" t="s">
        <v>3336</v>
      </c>
      <c r="C538" s="3" t="s">
        <v>3337</v>
      </c>
      <c r="D538" s="3" t="s">
        <v>7283</v>
      </c>
      <c r="E538" s="3" t="s">
        <v>3338</v>
      </c>
      <c r="F538" s="3" t="s">
        <v>7284</v>
      </c>
      <c r="G538" s="3" t="s">
        <v>973</v>
      </c>
      <c r="H538" s="2"/>
      <c r="I538" s="2"/>
      <c r="J538" s="3" t="s">
        <v>36</v>
      </c>
      <c r="K538" s="2"/>
      <c r="L538" s="3">
        <v>0</v>
      </c>
      <c r="M538" s="2"/>
      <c r="N538" s="2"/>
      <c r="O538" s="3" t="s">
        <v>39</v>
      </c>
      <c r="P538" s="3" t="s">
        <v>3049</v>
      </c>
      <c r="Q538" s="3" t="s">
        <v>7074</v>
      </c>
      <c r="R538" s="3" t="s">
        <v>1215</v>
      </c>
      <c r="S538" s="3" t="s">
        <v>397</v>
      </c>
      <c r="T538" s="3" t="s">
        <v>3339</v>
      </c>
      <c r="U538" s="2"/>
      <c r="V538" s="3" t="s">
        <v>27</v>
      </c>
      <c r="W538" s="2"/>
      <c r="X538" s="2"/>
      <c r="Y538" s="2"/>
    </row>
    <row r="539" spans="1:25" x14ac:dyDescent="0.2">
      <c r="A539" s="3">
        <v>348</v>
      </c>
      <c r="B539" s="4" t="s">
        <v>3340</v>
      </c>
      <c r="C539" s="3" t="s">
        <v>3341</v>
      </c>
      <c r="D539" s="3" t="s">
        <v>7286</v>
      </c>
      <c r="E539" s="3" t="s">
        <v>3342</v>
      </c>
      <c r="F539" s="3" t="s">
        <v>7287</v>
      </c>
      <c r="G539" s="3" t="s">
        <v>1955</v>
      </c>
      <c r="H539" s="2"/>
      <c r="I539" s="2"/>
      <c r="J539" s="3" t="s">
        <v>3343</v>
      </c>
      <c r="K539" s="3" t="s">
        <v>3344</v>
      </c>
      <c r="L539" s="3" t="s">
        <v>7289</v>
      </c>
      <c r="M539" s="2"/>
      <c r="N539" s="2"/>
      <c r="O539" s="3" t="s">
        <v>26</v>
      </c>
      <c r="P539" s="3" t="s">
        <v>60</v>
      </c>
      <c r="Q539" s="3" t="s">
        <v>5100</v>
      </c>
      <c r="R539" s="3" t="s">
        <v>1215</v>
      </c>
      <c r="S539" s="3" t="s">
        <v>982</v>
      </c>
      <c r="T539" s="3" t="s">
        <v>3345</v>
      </c>
      <c r="U539" s="3" t="s">
        <v>3346</v>
      </c>
      <c r="V539" s="3" t="s">
        <v>3002</v>
      </c>
      <c r="W539" s="3" t="s">
        <v>3347</v>
      </c>
      <c r="X539" s="2"/>
      <c r="Y539" s="2"/>
    </row>
    <row r="540" spans="1:25" x14ac:dyDescent="0.2">
      <c r="A540" s="3">
        <v>668</v>
      </c>
      <c r="B540" s="4" t="s">
        <v>3348</v>
      </c>
      <c r="C540" s="3" t="s">
        <v>3349</v>
      </c>
      <c r="D540" s="3" t="s">
        <v>7293</v>
      </c>
      <c r="E540" s="3" t="s">
        <v>3350</v>
      </c>
      <c r="F540" s="3" t="s">
        <v>7294</v>
      </c>
      <c r="G540" s="3" t="s">
        <v>2519</v>
      </c>
      <c r="H540" s="3" t="s">
        <v>2168</v>
      </c>
      <c r="I540" s="3" t="s">
        <v>1815</v>
      </c>
      <c r="J540" s="3" t="s">
        <v>1213</v>
      </c>
      <c r="K540" s="3" t="s">
        <v>3351</v>
      </c>
      <c r="L540" s="3" t="s">
        <v>7295</v>
      </c>
      <c r="M540" s="2"/>
      <c r="N540" s="2"/>
      <c r="O540" s="3" t="s">
        <v>26</v>
      </c>
      <c r="P540" s="3" t="s">
        <v>3201</v>
      </c>
      <c r="Q540" s="3" t="s">
        <v>6340</v>
      </c>
      <c r="R540" s="3" t="s">
        <v>1215</v>
      </c>
      <c r="S540" s="3" t="s">
        <v>2005</v>
      </c>
      <c r="T540" s="3" t="s">
        <v>3352</v>
      </c>
      <c r="U540" s="3" t="s">
        <v>3353</v>
      </c>
      <c r="V540" s="3" t="s">
        <v>3354</v>
      </c>
      <c r="W540" s="2"/>
      <c r="X540" s="2"/>
      <c r="Y540" s="2"/>
    </row>
    <row r="541" spans="1:25" x14ac:dyDescent="0.2">
      <c r="A541" s="3">
        <v>168</v>
      </c>
      <c r="B541" s="4" t="s">
        <v>3355</v>
      </c>
      <c r="C541" s="3" t="s">
        <v>3356</v>
      </c>
      <c r="D541" s="3" t="s">
        <v>7299</v>
      </c>
      <c r="E541" s="3" t="s">
        <v>3357</v>
      </c>
      <c r="F541" s="3" t="s">
        <v>7300</v>
      </c>
      <c r="G541" s="3" t="s">
        <v>927</v>
      </c>
      <c r="H541" s="2"/>
      <c r="I541" s="2"/>
      <c r="J541" s="3" t="s">
        <v>110</v>
      </c>
      <c r="K541" s="3" t="s">
        <v>3186</v>
      </c>
      <c r="L541" s="3" t="s">
        <v>7175</v>
      </c>
      <c r="M541" s="2"/>
      <c r="N541" s="2"/>
      <c r="O541" s="3" t="s">
        <v>26</v>
      </c>
      <c r="P541" s="3" t="s">
        <v>3353</v>
      </c>
      <c r="Q541" s="3">
        <v>0</v>
      </c>
      <c r="R541" s="3" t="s">
        <v>1215</v>
      </c>
      <c r="S541" s="3" t="s">
        <v>2314</v>
      </c>
      <c r="T541" s="3" t="s">
        <v>3358</v>
      </c>
      <c r="U541" s="3" t="s">
        <v>3353</v>
      </c>
      <c r="V541" s="3" t="s">
        <v>1459</v>
      </c>
      <c r="W541" s="2"/>
      <c r="X541" s="2"/>
      <c r="Y541" s="2"/>
    </row>
    <row r="542" spans="1:25" x14ac:dyDescent="0.2">
      <c r="A542" s="3">
        <v>382</v>
      </c>
      <c r="B542" s="6" t="s">
        <v>3359</v>
      </c>
      <c r="C542" s="3" t="s">
        <v>3360</v>
      </c>
      <c r="D542" s="3" t="s">
        <v>7302</v>
      </c>
      <c r="E542" s="3" t="s">
        <v>3361</v>
      </c>
      <c r="F542" s="3" t="s">
        <v>7303</v>
      </c>
      <c r="G542" s="3" t="s">
        <v>1773</v>
      </c>
      <c r="H542" s="3" t="s">
        <v>1773</v>
      </c>
      <c r="I542" s="3" t="s">
        <v>1773</v>
      </c>
      <c r="J542" s="3" t="s">
        <v>348</v>
      </c>
      <c r="K542" s="3" t="s">
        <v>3362</v>
      </c>
      <c r="L542" s="3" t="s">
        <v>7304</v>
      </c>
      <c r="M542" s="2"/>
      <c r="N542" s="2"/>
      <c r="O542" s="3" t="s">
        <v>39</v>
      </c>
      <c r="P542" s="3" t="s">
        <v>1530</v>
      </c>
      <c r="Q542" s="3" t="s">
        <v>6043</v>
      </c>
      <c r="R542" s="3" t="s">
        <v>1215</v>
      </c>
      <c r="S542" s="3" t="s">
        <v>413</v>
      </c>
      <c r="T542" s="3" t="s">
        <v>3363</v>
      </c>
      <c r="U542" s="2"/>
      <c r="V542" s="3" t="s">
        <v>60</v>
      </c>
      <c r="W542" s="2"/>
      <c r="X542" s="2"/>
      <c r="Y542" s="2"/>
    </row>
    <row r="543" spans="1:25" x14ac:dyDescent="0.2">
      <c r="A543" s="3">
        <v>1479</v>
      </c>
      <c r="B543" s="4" t="s">
        <v>3364</v>
      </c>
      <c r="C543" s="3" t="s">
        <v>3365</v>
      </c>
      <c r="D543" s="3" t="s">
        <v>7306</v>
      </c>
      <c r="E543" s="3" t="s">
        <v>3366</v>
      </c>
      <c r="F543" s="3" t="s">
        <v>7307</v>
      </c>
      <c r="G543" s="3" t="s">
        <v>506</v>
      </c>
      <c r="H543" s="3" t="s">
        <v>506</v>
      </c>
      <c r="I543" s="3" t="s">
        <v>506</v>
      </c>
      <c r="J543" s="3" t="s">
        <v>2935</v>
      </c>
      <c r="K543" s="3" t="s">
        <v>3367</v>
      </c>
      <c r="L543" s="3" t="s">
        <v>7308</v>
      </c>
      <c r="M543" s="2"/>
      <c r="N543" s="2"/>
      <c r="O543" s="3" t="s">
        <v>26</v>
      </c>
      <c r="P543" s="3" t="s">
        <v>60</v>
      </c>
      <c r="Q543" s="3" t="s">
        <v>5100</v>
      </c>
      <c r="R543" s="3" t="s">
        <v>1225</v>
      </c>
      <c r="S543" s="3" t="s">
        <v>413</v>
      </c>
      <c r="T543" s="3" t="s">
        <v>3368</v>
      </c>
      <c r="U543" s="2"/>
      <c r="V543" s="3" t="s">
        <v>60</v>
      </c>
      <c r="W543" s="2"/>
      <c r="X543" s="2"/>
      <c r="Y543" s="2"/>
    </row>
    <row r="544" spans="1:25" x14ac:dyDescent="0.2">
      <c r="A544" s="3">
        <v>314</v>
      </c>
      <c r="B544" s="4" t="s">
        <v>3369</v>
      </c>
      <c r="C544" s="3" t="s">
        <v>3370</v>
      </c>
      <c r="D544" s="3" t="s">
        <v>7310</v>
      </c>
      <c r="E544" s="3" t="s">
        <v>3371</v>
      </c>
      <c r="F544" s="3" t="s">
        <v>7311</v>
      </c>
      <c r="G544" s="3" t="s">
        <v>1113</v>
      </c>
      <c r="H544" s="3" t="s">
        <v>1113</v>
      </c>
      <c r="I544" s="3" t="s">
        <v>1113</v>
      </c>
      <c r="J544" s="3" t="s">
        <v>1193</v>
      </c>
      <c r="K544" s="3" t="s">
        <v>3372</v>
      </c>
      <c r="L544" s="3" t="s">
        <v>7312</v>
      </c>
      <c r="M544" s="2"/>
      <c r="N544" s="2"/>
      <c r="O544" s="3" t="s">
        <v>39</v>
      </c>
      <c r="P544" s="3" t="s">
        <v>168</v>
      </c>
      <c r="Q544" s="3" t="s">
        <v>5167</v>
      </c>
      <c r="R544" s="3" t="s">
        <v>2018</v>
      </c>
      <c r="S544" s="3" t="s">
        <v>397</v>
      </c>
      <c r="T544" s="3" t="s">
        <v>3373</v>
      </c>
      <c r="U544" s="3" t="s">
        <v>253</v>
      </c>
      <c r="V544" s="3" t="s">
        <v>709</v>
      </c>
      <c r="W544" s="3" t="s">
        <v>3374</v>
      </c>
      <c r="X544" s="2"/>
      <c r="Y544" s="2"/>
    </row>
    <row r="545" spans="1:25" x14ac:dyDescent="0.2">
      <c r="A545" s="3">
        <v>1482</v>
      </c>
      <c r="B545" s="4" t="s">
        <v>3375</v>
      </c>
      <c r="C545" s="3" t="s">
        <v>3376</v>
      </c>
      <c r="D545" s="3" t="s">
        <v>7315</v>
      </c>
      <c r="E545" s="3" t="s">
        <v>3377</v>
      </c>
      <c r="F545" s="3" t="s">
        <v>7316</v>
      </c>
      <c r="G545" s="3" t="s">
        <v>3378</v>
      </c>
      <c r="H545" s="2"/>
      <c r="I545" s="2"/>
      <c r="J545" s="3" t="s">
        <v>3379</v>
      </c>
      <c r="K545" s="3" t="s">
        <v>3380</v>
      </c>
      <c r="L545" s="3" t="s">
        <v>7317</v>
      </c>
      <c r="M545" s="2"/>
      <c r="N545" s="2"/>
      <c r="O545" s="3" t="s">
        <v>26</v>
      </c>
      <c r="P545" s="2"/>
      <c r="Q545" s="3">
        <v>0</v>
      </c>
      <c r="R545" s="3" t="s">
        <v>1215</v>
      </c>
      <c r="S545" s="3" t="s">
        <v>397</v>
      </c>
      <c r="T545" s="3" t="s">
        <v>3381</v>
      </c>
      <c r="U545" s="3" t="s">
        <v>314</v>
      </c>
      <c r="V545" s="3" t="s">
        <v>709</v>
      </c>
      <c r="W545" s="2"/>
      <c r="X545" s="2"/>
      <c r="Y545" s="2"/>
    </row>
    <row r="546" spans="1:25" x14ac:dyDescent="0.2">
      <c r="A546" s="3">
        <v>378</v>
      </c>
      <c r="B546" s="4" t="s">
        <v>3382</v>
      </c>
      <c r="C546" s="3" t="s">
        <v>3383</v>
      </c>
      <c r="D546" s="3" t="s">
        <v>7319</v>
      </c>
      <c r="E546" s="3" t="s">
        <v>3384</v>
      </c>
      <c r="F546" s="3" t="s">
        <v>7320</v>
      </c>
      <c r="G546" s="3" t="s">
        <v>2714</v>
      </c>
      <c r="H546" s="3" t="s">
        <v>2714</v>
      </c>
      <c r="I546" s="3" t="s">
        <v>2714</v>
      </c>
      <c r="J546" s="3" t="s">
        <v>36</v>
      </c>
      <c r="K546" s="3" t="s">
        <v>3385</v>
      </c>
      <c r="L546" s="3" t="s">
        <v>7321</v>
      </c>
      <c r="M546" s="2"/>
      <c r="N546" s="2"/>
      <c r="O546" s="3" t="s">
        <v>39</v>
      </c>
      <c r="P546" s="3" t="s">
        <v>1459</v>
      </c>
      <c r="Q546" s="3" t="s">
        <v>5994</v>
      </c>
      <c r="R546" s="3" t="s">
        <v>1215</v>
      </c>
      <c r="S546" s="3" t="s">
        <v>397</v>
      </c>
      <c r="T546" s="3" t="s">
        <v>3386</v>
      </c>
      <c r="U546" s="3" t="s">
        <v>3387</v>
      </c>
      <c r="V546" s="3" t="s">
        <v>1459</v>
      </c>
      <c r="W546" s="3" t="s">
        <v>729</v>
      </c>
      <c r="X546" s="2"/>
      <c r="Y546" s="2"/>
    </row>
    <row r="547" spans="1:25" x14ac:dyDescent="0.2">
      <c r="A547" s="3">
        <v>1943</v>
      </c>
      <c r="B547" s="4" t="s">
        <v>3388</v>
      </c>
      <c r="C547" s="3" t="s">
        <v>3389</v>
      </c>
      <c r="D547" s="3" t="s">
        <v>7324</v>
      </c>
      <c r="E547" s="3" t="s">
        <v>3390</v>
      </c>
      <c r="F547" s="3" t="s">
        <v>7325</v>
      </c>
      <c r="G547" s="3" t="s">
        <v>2642</v>
      </c>
      <c r="H547" s="2"/>
      <c r="I547" s="2"/>
      <c r="J547" s="3" t="s">
        <v>110</v>
      </c>
      <c r="K547" s="3" t="s">
        <v>3391</v>
      </c>
      <c r="L547" s="3" t="s">
        <v>7326</v>
      </c>
      <c r="M547" s="2"/>
      <c r="N547" s="2"/>
      <c r="O547" s="3" t="s">
        <v>26</v>
      </c>
      <c r="P547" s="3" t="s">
        <v>3392</v>
      </c>
      <c r="Q547" s="3" t="s">
        <v>7327</v>
      </c>
      <c r="R547" s="3" t="s">
        <v>1215</v>
      </c>
      <c r="S547" s="3" t="s">
        <v>397</v>
      </c>
      <c r="T547" s="3" t="s">
        <v>3393</v>
      </c>
      <c r="U547" s="2"/>
      <c r="V547" s="3" t="s">
        <v>3394</v>
      </c>
      <c r="W547" s="2"/>
      <c r="X547" s="2"/>
      <c r="Y547" s="2"/>
    </row>
    <row r="548" spans="1:25" x14ac:dyDescent="0.2">
      <c r="A548" s="3">
        <v>1275</v>
      </c>
      <c r="B548" s="4" t="s">
        <v>3395</v>
      </c>
      <c r="C548" s="3" t="s">
        <v>3396</v>
      </c>
      <c r="D548" s="3" t="s">
        <v>7330</v>
      </c>
      <c r="E548" s="3" t="s">
        <v>3397</v>
      </c>
      <c r="F548" s="3" t="s">
        <v>7331</v>
      </c>
      <c r="G548" s="3" t="s">
        <v>2669</v>
      </c>
      <c r="H548" s="3" t="s">
        <v>3398</v>
      </c>
      <c r="I548" s="3" t="s">
        <v>3398</v>
      </c>
      <c r="J548" s="3" t="s">
        <v>3399</v>
      </c>
      <c r="K548" s="2"/>
      <c r="L548" s="3">
        <v>0</v>
      </c>
      <c r="M548" s="2"/>
      <c r="N548" s="2"/>
      <c r="O548" s="3" t="s">
        <v>26</v>
      </c>
      <c r="P548" s="3" t="s">
        <v>3400</v>
      </c>
      <c r="Q548" s="3" t="s">
        <v>7332</v>
      </c>
      <c r="R548" s="3" t="s">
        <v>1215</v>
      </c>
      <c r="S548" s="3" t="s">
        <v>2005</v>
      </c>
      <c r="T548" s="3" t="s">
        <v>3401</v>
      </c>
      <c r="U548" s="3" t="s">
        <v>3402</v>
      </c>
      <c r="V548" s="3" t="s">
        <v>3403</v>
      </c>
      <c r="W548" s="2"/>
      <c r="X548" s="2"/>
      <c r="Y548" s="2"/>
    </row>
    <row r="549" spans="1:25" x14ac:dyDescent="0.2">
      <c r="A549" s="3">
        <v>920</v>
      </c>
      <c r="B549" s="4" t="s">
        <v>3404</v>
      </c>
      <c r="C549" s="3" t="s">
        <v>3405</v>
      </c>
      <c r="D549" s="3" t="s">
        <v>7336</v>
      </c>
      <c r="E549" s="3" t="s">
        <v>3406</v>
      </c>
      <c r="F549" s="3" t="s">
        <v>7337</v>
      </c>
      <c r="G549" s="3" t="s">
        <v>3407</v>
      </c>
      <c r="H549" s="3" t="s">
        <v>3408</v>
      </c>
      <c r="I549" s="3" t="s">
        <v>3407</v>
      </c>
      <c r="J549" s="3" t="s">
        <v>3399</v>
      </c>
      <c r="K549" s="2"/>
      <c r="L549" s="3">
        <v>0</v>
      </c>
      <c r="M549" s="2"/>
      <c r="N549" s="2"/>
      <c r="O549" s="3" t="s">
        <v>26</v>
      </c>
      <c r="P549" s="3" t="s">
        <v>1459</v>
      </c>
      <c r="Q549" s="3" t="s">
        <v>5994</v>
      </c>
      <c r="R549" s="3" t="s">
        <v>28</v>
      </c>
      <c r="S549" s="3" t="s">
        <v>397</v>
      </c>
      <c r="T549" s="3" t="s">
        <v>3409</v>
      </c>
      <c r="U549" s="3" t="s">
        <v>3410</v>
      </c>
      <c r="V549" s="3" t="s">
        <v>27</v>
      </c>
      <c r="W549" s="2"/>
      <c r="X549" s="2"/>
      <c r="Y549" s="2"/>
    </row>
    <row r="550" spans="1:25" x14ac:dyDescent="0.2">
      <c r="A550" s="3">
        <v>995</v>
      </c>
      <c r="B550" s="4" t="s">
        <v>3411</v>
      </c>
      <c r="C550" s="3" t="s">
        <v>3412</v>
      </c>
      <c r="D550" s="3" t="s">
        <v>7340</v>
      </c>
      <c r="E550" s="3" t="s">
        <v>3413</v>
      </c>
      <c r="F550" s="3" t="s">
        <v>7341</v>
      </c>
      <c r="G550" s="3" t="s">
        <v>1257</v>
      </c>
      <c r="H550" s="3" t="s">
        <v>3414</v>
      </c>
      <c r="I550" s="2"/>
      <c r="J550" s="3" t="s">
        <v>110</v>
      </c>
      <c r="K550" s="3" t="s">
        <v>3035</v>
      </c>
      <c r="L550" s="3" t="s">
        <v>7064</v>
      </c>
      <c r="M550" s="3" t="s">
        <v>3399</v>
      </c>
      <c r="N550" s="4" t="s">
        <v>3415</v>
      </c>
      <c r="O550" s="3" t="s">
        <v>26</v>
      </c>
      <c r="P550" s="3" t="s">
        <v>1459</v>
      </c>
      <c r="Q550" s="3" t="s">
        <v>5994</v>
      </c>
      <c r="R550" s="3" t="s">
        <v>1215</v>
      </c>
      <c r="S550" s="3" t="s">
        <v>397</v>
      </c>
      <c r="T550" s="3" t="s">
        <v>3416</v>
      </c>
      <c r="U550" s="3" t="s">
        <v>3417</v>
      </c>
      <c r="V550" s="3" t="s">
        <v>27</v>
      </c>
      <c r="W550" s="2"/>
      <c r="X550" s="2"/>
      <c r="Y550" s="2"/>
    </row>
    <row r="551" spans="1:25" x14ac:dyDescent="0.2">
      <c r="A551" s="3">
        <v>1120</v>
      </c>
      <c r="B551" s="4" t="s">
        <v>3418</v>
      </c>
      <c r="C551" s="3" t="s">
        <v>3419</v>
      </c>
      <c r="D551" s="3" t="s">
        <v>7344</v>
      </c>
      <c r="E551" s="3" t="s">
        <v>3420</v>
      </c>
      <c r="F551" s="3" t="s">
        <v>7345</v>
      </c>
      <c r="G551" s="3" t="s">
        <v>1552</v>
      </c>
      <c r="H551" s="3" t="s">
        <v>3421</v>
      </c>
      <c r="I551" s="3" t="s">
        <v>994</v>
      </c>
      <c r="J551" s="3" t="s">
        <v>1223</v>
      </c>
      <c r="K551" s="3" t="s">
        <v>1223</v>
      </c>
      <c r="L551" s="3" t="s">
        <v>7346</v>
      </c>
      <c r="M551" s="2"/>
      <c r="N551" s="2"/>
      <c r="O551" s="3" t="s">
        <v>26</v>
      </c>
      <c r="P551" s="3" t="s">
        <v>245</v>
      </c>
      <c r="Q551" s="3" t="s">
        <v>5218</v>
      </c>
      <c r="R551" s="3" t="s">
        <v>28</v>
      </c>
      <c r="S551" s="3" t="s">
        <v>397</v>
      </c>
      <c r="T551" s="3" t="s">
        <v>3422</v>
      </c>
      <c r="U551" s="3" t="s">
        <v>3423</v>
      </c>
      <c r="V551" s="3" t="s">
        <v>245</v>
      </c>
      <c r="W551" s="2"/>
      <c r="X551" s="2"/>
      <c r="Y551" s="2"/>
    </row>
    <row r="552" spans="1:25" x14ac:dyDescent="0.2">
      <c r="A552" s="3">
        <v>403</v>
      </c>
      <c r="B552" s="4" t="s">
        <v>3424</v>
      </c>
      <c r="C552" s="3" t="s">
        <v>3425</v>
      </c>
      <c r="D552" s="3" t="s">
        <v>7349</v>
      </c>
      <c r="E552" s="3" t="s">
        <v>3426</v>
      </c>
      <c r="F552" s="3" t="s">
        <v>7350</v>
      </c>
      <c r="G552" s="3" t="s">
        <v>3088</v>
      </c>
      <c r="H552" s="3" t="s">
        <v>2608</v>
      </c>
      <c r="I552" s="3" t="s">
        <v>2136</v>
      </c>
      <c r="J552" s="3" t="s">
        <v>3427</v>
      </c>
      <c r="K552" s="3" t="s">
        <v>3428</v>
      </c>
      <c r="L552" s="3" t="s">
        <v>7352</v>
      </c>
      <c r="M552" s="2"/>
      <c r="N552" s="2"/>
      <c r="O552" s="3" t="s">
        <v>39</v>
      </c>
      <c r="P552" s="3" t="s">
        <v>3429</v>
      </c>
      <c r="Q552" s="3" t="s">
        <v>7353</v>
      </c>
      <c r="R552" s="3" t="s">
        <v>1215</v>
      </c>
      <c r="S552" s="3" t="s">
        <v>397</v>
      </c>
      <c r="T552" s="3" t="s">
        <v>3430</v>
      </c>
      <c r="U552" s="3" t="s">
        <v>3431</v>
      </c>
      <c r="V552" s="3" t="s">
        <v>709</v>
      </c>
      <c r="W552" s="3" t="s">
        <v>1460</v>
      </c>
      <c r="X552" s="2"/>
      <c r="Y552" s="2"/>
    </row>
    <row r="553" spans="1:25" x14ac:dyDescent="0.2">
      <c r="A553" s="3">
        <v>292</v>
      </c>
      <c r="B553" s="4" t="s">
        <v>3432</v>
      </c>
      <c r="C553" s="3" t="s">
        <v>3433</v>
      </c>
      <c r="D553" s="3" t="s">
        <v>7356</v>
      </c>
      <c r="E553" s="3" t="s">
        <v>3434</v>
      </c>
      <c r="F553" s="3" t="s">
        <v>7357</v>
      </c>
      <c r="G553" s="3" t="s">
        <v>3149</v>
      </c>
      <c r="H553" s="3" t="s">
        <v>2608</v>
      </c>
      <c r="I553" s="3" t="s">
        <v>3435</v>
      </c>
      <c r="J553" s="3" t="s">
        <v>135</v>
      </c>
      <c r="K553" s="3" t="s">
        <v>3436</v>
      </c>
      <c r="L553" s="3" t="s">
        <v>7358</v>
      </c>
      <c r="M553" s="2"/>
      <c r="N553" s="2"/>
      <c r="O553" s="3" t="s">
        <v>26</v>
      </c>
      <c r="P553" s="3" t="s">
        <v>27</v>
      </c>
      <c r="Q553" s="3" t="s">
        <v>5079</v>
      </c>
      <c r="R553" s="3" t="s">
        <v>1215</v>
      </c>
      <c r="S553" s="3" t="s">
        <v>2314</v>
      </c>
      <c r="T553" s="3" t="s">
        <v>3437</v>
      </c>
      <c r="U553" s="3" t="s">
        <v>2925</v>
      </c>
      <c r="V553" s="3" t="s">
        <v>3438</v>
      </c>
      <c r="W553" s="2"/>
      <c r="X553" s="2"/>
      <c r="Y553" s="2"/>
    </row>
    <row r="554" spans="1:25" x14ac:dyDescent="0.2">
      <c r="A554" s="3">
        <v>1507</v>
      </c>
      <c r="B554" s="4" t="s">
        <v>3439</v>
      </c>
      <c r="C554" s="3" t="s">
        <v>3440</v>
      </c>
      <c r="D554" s="3" t="s">
        <v>7361</v>
      </c>
      <c r="E554" s="3" t="s">
        <v>3441</v>
      </c>
      <c r="F554" s="3" t="s">
        <v>7362</v>
      </c>
      <c r="G554" s="3" t="s">
        <v>2520</v>
      </c>
      <c r="H554" s="2"/>
      <c r="I554" s="2"/>
      <c r="J554" s="3" t="s">
        <v>36</v>
      </c>
      <c r="K554" s="3" t="s">
        <v>3442</v>
      </c>
      <c r="L554" s="3" t="s">
        <v>7363</v>
      </c>
      <c r="M554" s="2"/>
      <c r="N554" s="2"/>
      <c r="O554" s="3" t="s">
        <v>39</v>
      </c>
      <c r="P554" s="3" t="s">
        <v>3443</v>
      </c>
      <c r="Q554" s="3" t="s">
        <v>7364</v>
      </c>
      <c r="R554" s="3" t="s">
        <v>1215</v>
      </c>
      <c r="S554" s="3" t="s">
        <v>397</v>
      </c>
      <c r="T554" s="3" t="s">
        <v>3444</v>
      </c>
      <c r="U554" s="3" t="s">
        <v>3445</v>
      </c>
      <c r="V554" s="3" t="s">
        <v>3446</v>
      </c>
      <c r="W554" s="2"/>
      <c r="X554" s="2"/>
      <c r="Y554" s="2"/>
    </row>
    <row r="555" spans="1:25" x14ac:dyDescent="0.2">
      <c r="A555" s="3">
        <v>748</v>
      </c>
      <c r="B555" s="6" t="s">
        <v>3447</v>
      </c>
      <c r="C555" s="3" t="s">
        <v>3448</v>
      </c>
      <c r="D555" s="3" t="s">
        <v>7368</v>
      </c>
      <c r="E555" s="3" t="s">
        <v>3449</v>
      </c>
      <c r="F555" s="3" t="s">
        <v>7369</v>
      </c>
      <c r="G555" s="3" t="s">
        <v>1955</v>
      </c>
      <c r="H555" s="3" t="s">
        <v>1955</v>
      </c>
      <c r="I555" s="2"/>
      <c r="J555" s="3" t="s">
        <v>258</v>
      </c>
      <c r="K555" s="3" t="s">
        <v>3450</v>
      </c>
      <c r="L555" s="3" t="s">
        <v>7370</v>
      </c>
      <c r="M555" s="2"/>
      <c r="N555" s="2"/>
      <c r="O555" s="3" t="s">
        <v>39</v>
      </c>
      <c r="P555" s="3" t="s">
        <v>3451</v>
      </c>
      <c r="Q555" s="3" t="s">
        <v>7371</v>
      </c>
      <c r="R555" s="3" t="s">
        <v>1215</v>
      </c>
      <c r="S555" s="3" t="s">
        <v>29</v>
      </c>
      <c r="T555" s="3" t="s">
        <v>3452</v>
      </c>
      <c r="U555" s="3" t="s">
        <v>3453</v>
      </c>
      <c r="V555" s="3" t="s">
        <v>3454</v>
      </c>
      <c r="W555" s="2"/>
      <c r="X555" s="2"/>
      <c r="Y555" s="2"/>
    </row>
    <row r="556" spans="1:25" x14ac:dyDescent="0.2">
      <c r="A556" s="3">
        <v>2043</v>
      </c>
      <c r="B556" s="4" t="s">
        <v>3455</v>
      </c>
      <c r="C556" s="3" t="s">
        <v>3456</v>
      </c>
      <c r="D556" s="3" t="s">
        <v>7375</v>
      </c>
      <c r="E556" s="3" t="s">
        <v>3457</v>
      </c>
      <c r="F556" s="3" t="s">
        <v>7376</v>
      </c>
      <c r="G556" s="3" t="s">
        <v>192</v>
      </c>
      <c r="H556" s="3" t="s">
        <v>100</v>
      </c>
      <c r="I556" s="3" t="s">
        <v>100</v>
      </c>
      <c r="J556" s="6" t="s">
        <v>36</v>
      </c>
      <c r="K556" s="3" t="s">
        <v>244</v>
      </c>
      <c r="L556" s="3" t="s">
        <v>7139</v>
      </c>
      <c r="M556" s="2"/>
      <c r="N556" s="2"/>
      <c r="O556" s="3" t="s">
        <v>26</v>
      </c>
      <c r="P556" s="3" t="s">
        <v>60</v>
      </c>
      <c r="Q556" s="3" t="s">
        <v>5100</v>
      </c>
      <c r="R556" s="3" t="s">
        <v>1215</v>
      </c>
      <c r="S556" s="3" t="s">
        <v>397</v>
      </c>
      <c r="T556" s="3" t="s">
        <v>3458</v>
      </c>
      <c r="U556" s="3" t="s">
        <v>2721</v>
      </c>
      <c r="V556" s="3" t="s">
        <v>60</v>
      </c>
      <c r="W556" s="2"/>
      <c r="X556" s="2"/>
      <c r="Y556" s="2"/>
    </row>
    <row r="557" spans="1:25" x14ac:dyDescent="0.2">
      <c r="A557" s="3">
        <v>1578</v>
      </c>
      <c r="B557" s="4" t="s">
        <v>3459</v>
      </c>
      <c r="C557" s="3" t="s">
        <v>3460</v>
      </c>
      <c r="D557" s="3" t="s">
        <v>7378</v>
      </c>
      <c r="E557" s="3" t="s">
        <v>3461</v>
      </c>
      <c r="F557" s="3" t="s">
        <v>7379</v>
      </c>
      <c r="G557" s="3" t="s">
        <v>3462</v>
      </c>
      <c r="H557" s="2"/>
      <c r="I557" s="2"/>
      <c r="J557" s="3" t="s">
        <v>3463</v>
      </c>
      <c r="K557" s="3" t="s">
        <v>3464</v>
      </c>
      <c r="L557" s="3" t="s">
        <v>7380</v>
      </c>
      <c r="M557" s="2"/>
      <c r="N557" s="2"/>
      <c r="O557" s="3" t="s">
        <v>26</v>
      </c>
      <c r="P557" s="3" t="s">
        <v>2992</v>
      </c>
      <c r="Q557" s="3" t="s">
        <v>7036</v>
      </c>
      <c r="R557" s="3" t="s">
        <v>1215</v>
      </c>
      <c r="S557" s="3" t="s">
        <v>397</v>
      </c>
      <c r="T557" s="3" t="s">
        <v>3465</v>
      </c>
      <c r="U557" s="3" t="s">
        <v>3466</v>
      </c>
      <c r="V557" s="3" t="s">
        <v>27</v>
      </c>
      <c r="W557" s="2"/>
      <c r="X557" s="2"/>
      <c r="Y557" s="2"/>
    </row>
    <row r="558" spans="1:25" x14ac:dyDescent="0.2">
      <c r="A558" s="3">
        <v>135</v>
      </c>
      <c r="B558" s="4" t="s">
        <v>3467</v>
      </c>
      <c r="C558" s="3" t="s">
        <v>3468</v>
      </c>
      <c r="D558" s="3" t="s">
        <v>7383</v>
      </c>
      <c r="E558" s="3" t="s">
        <v>3469</v>
      </c>
      <c r="F558" s="3" t="s">
        <v>7384</v>
      </c>
      <c r="G558" s="3" t="s">
        <v>2725</v>
      </c>
      <c r="H558" s="2"/>
      <c r="I558" s="2"/>
      <c r="J558" s="3" t="s">
        <v>173</v>
      </c>
      <c r="K558" s="3" t="s">
        <v>3470</v>
      </c>
      <c r="L558" s="3" t="s">
        <v>7385</v>
      </c>
      <c r="M558" s="2"/>
      <c r="N558" s="6" t="s">
        <v>3471</v>
      </c>
      <c r="O558" s="3" t="s">
        <v>26</v>
      </c>
      <c r="P558" s="3" t="s">
        <v>27</v>
      </c>
      <c r="Q558" s="3" t="s">
        <v>5079</v>
      </c>
      <c r="R558" s="3" t="s">
        <v>1215</v>
      </c>
      <c r="S558" s="3" t="s">
        <v>397</v>
      </c>
      <c r="T558" s="3" t="s">
        <v>3472</v>
      </c>
      <c r="U558" s="3" t="s">
        <v>3473</v>
      </c>
      <c r="V558" s="3" t="s">
        <v>27</v>
      </c>
      <c r="W558" s="3" t="s">
        <v>3474</v>
      </c>
      <c r="X558" s="2"/>
      <c r="Y558" s="2"/>
    </row>
    <row r="559" spans="1:25" x14ac:dyDescent="0.2">
      <c r="A559" s="3">
        <v>142</v>
      </c>
      <c r="B559" s="4" t="s">
        <v>3475</v>
      </c>
      <c r="C559" s="3" t="s">
        <v>3476</v>
      </c>
      <c r="D559" s="3" t="s">
        <v>7389</v>
      </c>
      <c r="E559" s="3" t="s">
        <v>3477</v>
      </c>
      <c r="F559" s="3" t="s">
        <v>7390</v>
      </c>
      <c r="G559" s="3" t="s">
        <v>1291</v>
      </c>
      <c r="H559" s="3" t="s">
        <v>1291</v>
      </c>
      <c r="I559" s="3" t="s">
        <v>1291</v>
      </c>
      <c r="J559" s="3" t="s">
        <v>173</v>
      </c>
      <c r="K559" s="3" t="s">
        <v>3478</v>
      </c>
      <c r="L559" s="3" t="s">
        <v>7391</v>
      </c>
      <c r="M559" s="2"/>
      <c r="N559" s="2"/>
      <c r="O559" s="3" t="s">
        <v>26</v>
      </c>
      <c r="P559" s="3" t="s">
        <v>3201</v>
      </c>
      <c r="Q559" s="3" t="s">
        <v>6340</v>
      </c>
      <c r="R559" s="3" t="s">
        <v>1215</v>
      </c>
      <c r="S559" s="3" t="s">
        <v>397</v>
      </c>
      <c r="T559" s="3" t="s">
        <v>3479</v>
      </c>
      <c r="U559" s="3" t="s">
        <v>3480</v>
      </c>
      <c r="V559" s="3" t="s">
        <v>3201</v>
      </c>
      <c r="W559" s="2"/>
      <c r="X559" s="2"/>
      <c r="Y559" s="2"/>
    </row>
    <row r="560" spans="1:25" x14ac:dyDescent="0.2">
      <c r="A560" s="3">
        <v>148</v>
      </c>
      <c r="B560" s="4" t="s">
        <v>3481</v>
      </c>
      <c r="C560" s="3" t="s">
        <v>3482</v>
      </c>
      <c r="D560" s="3" t="s">
        <v>7394</v>
      </c>
      <c r="E560" s="3" t="s">
        <v>3483</v>
      </c>
      <c r="F560" s="3" t="s">
        <v>7395</v>
      </c>
      <c r="G560" s="3" t="s">
        <v>2561</v>
      </c>
      <c r="H560" s="3" t="s">
        <v>2561</v>
      </c>
      <c r="I560" s="3" t="s">
        <v>2561</v>
      </c>
      <c r="J560" s="3" t="s">
        <v>1223</v>
      </c>
      <c r="K560" s="3" t="s">
        <v>1223</v>
      </c>
      <c r="L560" s="3" t="s">
        <v>7346</v>
      </c>
      <c r="M560" s="2"/>
      <c r="N560" s="2"/>
      <c r="O560" s="3" t="s">
        <v>26</v>
      </c>
      <c r="P560" s="3" t="s">
        <v>709</v>
      </c>
      <c r="Q560" s="3" t="s">
        <v>5524</v>
      </c>
      <c r="R560" s="3" t="s">
        <v>28</v>
      </c>
      <c r="S560" s="3" t="s">
        <v>29</v>
      </c>
      <c r="T560" s="3" t="s">
        <v>3484</v>
      </c>
      <c r="U560" s="3" t="s">
        <v>3485</v>
      </c>
      <c r="V560" s="3" t="s">
        <v>27</v>
      </c>
      <c r="W560" s="2"/>
      <c r="X560" s="2"/>
      <c r="Y560" s="2"/>
    </row>
    <row r="561" spans="1:25" x14ac:dyDescent="0.2">
      <c r="A561" s="3">
        <v>147</v>
      </c>
      <c r="B561" s="4" t="s">
        <v>3486</v>
      </c>
      <c r="C561" s="3" t="s">
        <v>3482</v>
      </c>
      <c r="D561" s="3" t="s">
        <v>7394</v>
      </c>
      <c r="E561" s="3" t="s">
        <v>3487</v>
      </c>
      <c r="F561" s="3" t="s">
        <v>7398</v>
      </c>
      <c r="G561" s="3" t="s">
        <v>1145</v>
      </c>
      <c r="H561" s="3" t="s">
        <v>1145</v>
      </c>
      <c r="I561" s="3" t="s">
        <v>1145</v>
      </c>
      <c r="J561" s="3" t="s">
        <v>1223</v>
      </c>
      <c r="K561" s="3" t="s">
        <v>1223</v>
      </c>
      <c r="L561" s="3" t="s">
        <v>7399</v>
      </c>
      <c r="M561" s="2"/>
      <c r="N561" s="2"/>
      <c r="O561" s="3" t="s">
        <v>26</v>
      </c>
      <c r="P561" s="3" t="s">
        <v>709</v>
      </c>
      <c r="Q561" s="3" t="s">
        <v>5524</v>
      </c>
      <c r="R561" s="3" t="s">
        <v>28</v>
      </c>
      <c r="S561" s="3" t="s">
        <v>29</v>
      </c>
      <c r="T561" s="3" t="s">
        <v>3484</v>
      </c>
      <c r="U561" s="3" t="s">
        <v>3485</v>
      </c>
      <c r="V561" s="3" t="s">
        <v>27</v>
      </c>
      <c r="W561" s="2"/>
      <c r="X561" s="2"/>
      <c r="Y561" s="2"/>
    </row>
    <row r="562" spans="1:25" x14ac:dyDescent="0.2">
      <c r="A562" s="3">
        <v>150</v>
      </c>
      <c r="B562" s="4" t="s">
        <v>3488</v>
      </c>
      <c r="C562" s="3" t="s">
        <v>3489</v>
      </c>
      <c r="D562" s="3" t="s">
        <v>7400</v>
      </c>
      <c r="E562" s="3" t="s">
        <v>3490</v>
      </c>
      <c r="F562" s="3" t="s">
        <v>7401</v>
      </c>
      <c r="G562" s="3" t="s">
        <v>3491</v>
      </c>
      <c r="H562" s="3" t="s">
        <v>3491</v>
      </c>
      <c r="I562" s="3" t="s">
        <v>3491</v>
      </c>
      <c r="J562" s="3" t="s">
        <v>1223</v>
      </c>
      <c r="K562" s="3" t="s">
        <v>1223</v>
      </c>
      <c r="L562" s="3" t="s">
        <v>7399</v>
      </c>
      <c r="M562" s="2"/>
      <c r="N562" s="2"/>
      <c r="O562" s="3" t="s">
        <v>26</v>
      </c>
      <c r="P562" s="3" t="s">
        <v>709</v>
      </c>
      <c r="Q562" s="3" t="s">
        <v>5524</v>
      </c>
      <c r="R562" s="3" t="s">
        <v>28</v>
      </c>
      <c r="S562" s="3" t="s">
        <v>29</v>
      </c>
      <c r="T562" s="3" t="s">
        <v>3484</v>
      </c>
      <c r="U562" s="3" t="s">
        <v>3485</v>
      </c>
      <c r="V562" s="3" t="s">
        <v>27</v>
      </c>
      <c r="W562" s="2"/>
      <c r="X562" s="2"/>
      <c r="Y562" s="2"/>
    </row>
    <row r="563" spans="1:25" x14ac:dyDescent="0.2">
      <c r="A563" s="3">
        <v>325</v>
      </c>
      <c r="B563" s="4" t="s">
        <v>3492</v>
      </c>
      <c r="C563" s="3" t="s">
        <v>3493</v>
      </c>
      <c r="D563" s="3" t="s">
        <v>7402</v>
      </c>
      <c r="E563" s="3" t="s">
        <v>3494</v>
      </c>
      <c r="F563" s="3" t="s">
        <v>7403</v>
      </c>
      <c r="G563" s="3" t="s">
        <v>1145</v>
      </c>
      <c r="H563" s="2"/>
      <c r="I563" s="2"/>
      <c r="J563" s="3" t="s">
        <v>173</v>
      </c>
      <c r="K563" s="3" t="s">
        <v>3495</v>
      </c>
      <c r="L563" s="3" t="s">
        <v>7404</v>
      </c>
      <c r="M563" s="2"/>
      <c r="N563" s="2"/>
      <c r="O563" s="3" t="s">
        <v>26</v>
      </c>
      <c r="P563" s="3" t="s">
        <v>27</v>
      </c>
      <c r="Q563" s="3" t="s">
        <v>5079</v>
      </c>
      <c r="R563" s="3" t="s">
        <v>1215</v>
      </c>
      <c r="S563" s="3" t="s">
        <v>397</v>
      </c>
      <c r="T563" s="3" t="s">
        <v>3496</v>
      </c>
      <c r="U563" s="3" t="s">
        <v>253</v>
      </c>
      <c r="V563" s="3" t="s">
        <v>27</v>
      </c>
      <c r="W563" s="2"/>
      <c r="X563" s="2"/>
      <c r="Y563" s="2"/>
    </row>
    <row r="564" spans="1:25" x14ac:dyDescent="0.2">
      <c r="A564" s="3">
        <v>388</v>
      </c>
      <c r="B564" s="4" t="s">
        <v>3497</v>
      </c>
      <c r="C564" s="3" t="s">
        <v>3498</v>
      </c>
      <c r="D564" s="3" t="s">
        <v>7406</v>
      </c>
      <c r="E564" s="3" t="s">
        <v>3499</v>
      </c>
      <c r="F564" s="3" t="s">
        <v>7407</v>
      </c>
      <c r="G564" s="3" t="s">
        <v>1267</v>
      </c>
      <c r="H564" s="3" t="s">
        <v>1267</v>
      </c>
      <c r="I564" s="3" t="s">
        <v>1267</v>
      </c>
      <c r="J564" s="3" t="s">
        <v>173</v>
      </c>
      <c r="K564" s="3" t="s">
        <v>3500</v>
      </c>
      <c r="L564" s="3" t="s">
        <v>7408</v>
      </c>
      <c r="M564" s="2"/>
      <c r="N564" s="2"/>
      <c r="O564" s="3" t="s">
        <v>26</v>
      </c>
      <c r="P564" s="3" t="s">
        <v>709</v>
      </c>
      <c r="Q564" s="3" t="s">
        <v>5524</v>
      </c>
      <c r="R564" s="3" t="s">
        <v>1215</v>
      </c>
      <c r="S564" s="3" t="s">
        <v>397</v>
      </c>
      <c r="T564" s="3" t="s">
        <v>3501</v>
      </c>
      <c r="U564" s="3" t="s">
        <v>43</v>
      </c>
      <c r="V564" s="3" t="s">
        <v>3251</v>
      </c>
      <c r="W564" s="2"/>
      <c r="X564" s="2"/>
      <c r="Y564" s="2"/>
    </row>
    <row r="565" spans="1:25" x14ac:dyDescent="0.2">
      <c r="A565" s="3">
        <v>712</v>
      </c>
      <c r="B565" s="4" t="s">
        <v>3502</v>
      </c>
      <c r="C565" s="3" t="s">
        <v>3503</v>
      </c>
      <c r="D565" s="3" t="s">
        <v>7410</v>
      </c>
      <c r="E565" s="3" t="s">
        <v>3504</v>
      </c>
      <c r="F565" s="3" t="s">
        <v>7411</v>
      </c>
      <c r="G565" s="3" t="s">
        <v>2370</v>
      </c>
      <c r="H565" s="2"/>
      <c r="I565" s="2"/>
      <c r="J565" s="3" t="s">
        <v>3247</v>
      </c>
      <c r="K565" s="3" t="s">
        <v>3505</v>
      </c>
      <c r="L565" s="3" t="s">
        <v>7412</v>
      </c>
      <c r="M565" s="2"/>
      <c r="N565" s="2"/>
      <c r="O565" s="3" t="s">
        <v>26</v>
      </c>
      <c r="P565" s="3" t="s">
        <v>3506</v>
      </c>
      <c r="Q565" s="3" t="s">
        <v>7413</v>
      </c>
      <c r="R565" s="3" t="s">
        <v>1225</v>
      </c>
      <c r="S565" s="3" t="s">
        <v>397</v>
      </c>
      <c r="T565" s="3" t="s">
        <v>3507</v>
      </c>
      <c r="U565" s="3" t="s">
        <v>2693</v>
      </c>
      <c r="V565" s="3" t="s">
        <v>27</v>
      </c>
      <c r="W565" s="2"/>
      <c r="X565" s="2"/>
      <c r="Y565" s="2"/>
    </row>
    <row r="566" spans="1:25" x14ac:dyDescent="0.2">
      <c r="A566" s="3">
        <v>730</v>
      </c>
      <c r="B566" s="4" t="s">
        <v>3508</v>
      </c>
      <c r="C566" s="3" t="s">
        <v>3509</v>
      </c>
      <c r="D566" s="3" t="s">
        <v>7415</v>
      </c>
      <c r="E566" s="3" t="s">
        <v>3510</v>
      </c>
      <c r="F566" s="3" t="s">
        <v>7416</v>
      </c>
      <c r="G566" s="3" t="s">
        <v>2706</v>
      </c>
      <c r="H566" s="3" t="s">
        <v>2608</v>
      </c>
      <c r="I566" s="2"/>
      <c r="J566" s="3" t="s">
        <v>173</v>
      </c>
      <c r="K566" s="3" t="s">
        <v>3511</v>
      </c>
      <c r="L566" s="3" t="s">
        <v>7417</v>
      </c>
      <c r="M566" s="2"/>
      <c r="N566" s="2"/>
      <c r="O566" s="3" t="s">
        <v>26</v>
      </c>
      <c r="P566" s="3" t="s">
        <v>1459</v>
      </c>
      <c r="Q566" s="3" t="s">
        <v>5994</v>
      </c>
      <c r="R566" s="3" t="s">
        <v>1215</v>
      </c>
      <c r="S566" s="3" t="s">
        <v>397</v>
      </c>
      <c r="T566" s="3" t="s">
        <v>3512</v>
      </c>
      <c r="U566" s="3" t="s">
        <v>3513</v>
      </c>
      <c r="V566" s="3" t="s">
        <v>3514</v>
      </c>
      <c r="W566" s="2"/>
      <c r="X566" s="2"/>
      <c r="Y566" s="2"/>
    </row>
    <row r="567" spans="1:25" x14ac:dyDescent="0.2">
      <c r="A567" s="3">
        <v>234</v>
      </c>
      <c r="B567" s="4" t="s">
        <v>3515</v>
      </c>
      <c r="C567" s="3" t="s">
        <v>3516</v>
      </c>
      <c r="D567" s="3" t="s">
        <v>7421</v>
      </c>
      <c r="E567" s="3" t="s">
        <v>3517</v>
      </c>
      <c r="F567" s="3" t="s">
        <v>7422</v>
      </c>
      <c r="G567" s="3" t="s">
        <v>3518</v>
      </c>
      <c r="H567" s="2"/>
      <c r="I567" s="2"/>
      <c r="J567" s="3" t="s">
        <v>393</v>
      </c>
      <c r="K567" s="3" t="s">
        <v>3519</v>
      </c>
      <c r="L567" s="3" t="s">
        <v>7423</v>
      </c>
      <c r="M567" s="2"/>
      <c r="N567" s="2"/>
      <c r="O567" s="3" t="s">
        <v>39</v>
      </c>
      <c r="P567" s="3" t="s">
        <v>60</v>
      </c>
      <c r="Q567" s="3" t="s">
        <v>5079</v>
      </c>
      <c r="R567" s="3" t="s">
        <v>396</v>
      </c>
      <c r="S567" s="3" t="s">
        <v>413</v>
      </c>
      <c r="T567" s="3" t="s">
        <v>3520</v>
      </c>
      <c r="U567" s="3" t="s">
        <v>3521</v>
      </c>
      <c r="V567" s="3" t="s">
        <v>27</v>
      </c>
      <c r="W567" s="2"/>
      <c r="X567" s="2"/>
      <c r="Y567" s="2"/>
    </row>
    <row r="568" spans="1:25" x14ac:dyDescent="0.2">
      <c r="A568" s="3">
        <v>236</v>
      </c>
      <c r="B568" s="4" t="s">
        <v>3522</v>
      </c>
      <c r="C568" s="3" t="s">
        <v>3523</v>
      </c>
      <c r="D568" s="3" t="s">
        <v>7426</v>
      </c>
      <c r="E568" s="3" t="s">
        <v>3524</v>
      </c>
      <c r="F568" s="3" t="s">
        <v>7427</v>
      </c>
      <c r="G568" s="3" t="s">
        <v>2370</v>
      </c>
      <c r="H568" s="2"/>
      <c r="I568" s="2"/>
      <c r="J568" s="3" t="s">
        <v>393</v>
      </c>
      <c r="K568" s="3" t="s">
        <v>411</v>
      </c>
      <c r="L568" s="3" t="s">
        <v>411</v>
      </c>
      <c r="M568" s="2"/>
      <c r="N568" s="2"/>
      <c r="O568" s="3" t="s">
        <v>26</v>
      </c>
      <c r="P568" s="3" t="s">
        <v>2926</v>
      </c>
      <c r="Q568" s="3" t="s">
        <v>6991</v>
      </c>
      <c r="R568" s="3" t="s">
        <v>396</v>
      </c>
      <c r="S568" s="3" t="s">
        <v>413</v>
      </c>
      <c r="T568" s="3" t="s">
        <v>3525</v>
      </c>
      <c r="U568" s="3" t="s">
        <v>43</v>
      </c>
      <c r="V568" s="3" t="s">
        <v>3526</v>
      </c>
      <c r="W568" s="2"/>
      <c r="X568" s="2"/>
      <c r="Y568" s="2"/>
    </row>
    <row r="569" spans="1:25" x14ac:dyDescent="0.2">
      <c r="A569" s="3">
        <v>242</v>
      </c>
      <c r="B569" s="4" t="s">
        <v>3527</v>
      </c>
      <c r="C569" s="3" t="s">
        <v>3528</v>
      </c>
      <c r="D569" s="3" t="s">
        <v>7430</v>
      </c>
      <c r="E569" s="3" t="s">
        <v>3529</v>
      </c>
      <c r="F569" s="3" t="s">
        <v>7431</v>
      </c>
      <c r="G569" s="3" t="s">
        <v>483</v>
      </c>
      <c r="H569" s="3" t="s">
        <v>1037</v>
      </c>
      <c r="I569" s="3" t="s">
        <v>3046</v>
      </c>
      <c r="J569" s="3" t="s">
        <v>393</v>
      </c>
      <c r="K569" s="3" t="s">
        <v>3530</v>
      </c>
      <c r="L569" s="3" t="s">
        <v>3530</v>
      </c>
      <c r="M569" s="3" t="s">
        <v>3531</v>
      </c>
      <c r="N569" s="2"/>
      <c r="O569" s="3" t="s">
        <v>412</v>
      </c>
      <c r="P569" s="3" t="s">
        <v>989</v>
      </c>
      <c r="Q569" s="3" t="s">
        <v>5079</v>
      </c>
      <c r="R569" s="3" t="s">
        <v>396</v>
      </c>
      <c r="S569" s="3" t="s">
        <v>413</v>
      </c>
      <c r="T569" s="3" t="s">
        <v>3532</v>
      </c>
      <c r="U569" s="3" t="s">
        <v>3533</v>
      </c>
      <c r="V569" s="3" t="s">
        <v>3534</v>
      </c>
      <c r="W569" s="2"/>
      <c r="X569" s="2"/>
      <c r="Y569" s="2"/>
    </row>
    <row r="570" spans="1:25" x14ac:dyDescent="0.2">
      <c r="A570" s="3">
        <v>730</v>
      </c>
      <c r="B570" s="4" t="s">
        <v>3508</v>
      </c>
      <c r="C570" s="3" t="s">
        <v>3509</v>
      </c>
      <c r="D570" s="3" t="s">
        <v>7415</v>
      </c>
      <c r="E570" s="3" t="s">
        <v>3510</v>
      </c>
      <c r="F570" s="3" t="s">
        <v>7416</v>
      </c>
      <c r="G570" s="3" t="s">
        <v>2706</v>
      </c>
      <c r="H570" s="3" t="s">
        <v>2608</v>
      </c>
      <c r="I570" s="2"/>
      <c r="J570" s="3" t="s">
        <v>173</v>
      </c>
      <c r="K570" s="3" t="s">
        <v>3511</v>
      </c>
      <c r="L570" s="3" t="s">
        <v>7417</v>
      </c>
      <c r="M570" s="2"/>
      <c r="N570" s="2"/>
      <c r="O570" s="3" t="s">
        <v>26</v>
      </c>
      <c r="P570" s="3" t="s">
        <v>1459</v>
      </c>
      <c r="Q570" s="3" t="s">
        <v>5994</v>
      </c>
      <c r="R570" s="3" t="s">
        <v>1215</v>
      </c>
      <c r="S570" s="3" t="s">
        <v>397</v>
      </c>
      <c r="T570" s="3" t="s">
        <v>3512</v>
      </c>
      <c r="U570" s="3" t="s">
        <v>3513</v>
      </c>
      <c r="V570" s="3" t="s">
        <v>3514</v>
      </c>
      <c r="W570" s="2"/>
      <c r="X570" s="2"/>
      <c r="Y570" s="2"/>
    </row>
  </sheetData>
  <hyperlinks>
    <hyperlink ref="N68" r:id="rId1" xr:uid="{C37117B8-5F3F-6042-8E62-9BC106C72211}"/>
    <hyperlink ref="B80" r:id="rId2" xr:uid="{68E1E163-9429-2B4E-87F9-C80C86380256}"/>
    <hyperlink ref="B84" r:id="rId3" xr:uid="{A946C655-A782-1240-88FA-65E4099D2B5E}"/>
    <hyperlink ref="N91" r:id="rId4" location=":~:text=%D7%A9%D7%A0%D7%99%20%D7%A2%D7%A6%D7%95%D7%A8%D7%99%D7%9D%20%D7%A2%D7%96%D7%AA%D7%99%D7%9D%20%D7%9E%D7%AA%D7%95%20%D7%91%D7%93%D7%A8%D7%9A%20%D7%9C%D7%9E%D7%AA%D7%A7%D7%9F%20%D7%9B%D7%9C%D7%99%D7%90%D7%94%20%D7%91%D7%99%D7%A9%D7%A8%D7%90%D7%9C%3B%20%D7%9C%D7%95%D7%97%D7%9E%D7%99%D7%9D%20%D7%9E%D7%99%D7%97%D7%99%D7%93%D7%94%20%D7%9E%D7%99%D7%95%D7%97%D7%93%D7%AA%20%D7%A0%D7%97%D7%A7%D7%A8%D7%95,-%D7%A9%D7%A0%D7%99%20%D7%A2%D7%A6%D7%95%D7%A8%D7%99%D7%9D%20%D7%A2%D7%96%D7%AA%D7%99%D7%9D&amp;text=%D7%94%D7%9E%D7%A9%D7%98%D7%A8%D7%94%20%D7%94%D7%A6%D7%91%D7%90%D7%99%D7%AA%20%D7%94%D7%97%D7%95%D7%A7%D7%A8%D7%AA%20%D7%94%D7%97%D7%9C%D7%94%20%D7%91%D7%99%D7%9E%D7%99%D7%9D,%D7%97%D7%9E%D7%99%D7%A9%D7%99)%20%D7%91%D7%97%D7%93%D7%A9%D7%95%D7%AA%20%D7%94%D7%A2%D7%A8%D7%91%20%D7%91%D7%9B%D7%90%D7%9F%2011." display="https://www.kan.org.il/content/kan-news/defense/739774/ - :~:text=%D7%A9%D7%A0%D7%99%20%D7%A2%D7%A6%D7%95%D7%A8%D7%99%D7%9D%20%D7%A2%D7%96%D7%AA%D7%99%D7%9D%20%D7%9E%D7%AA%D7%95%20%D7%91%D7%93%D7%A8%D7%9A%20%D7%9C%D7%9E%D7%AA%D7%A7%D7%9F%20%D7%9B%D7%9C%D7%99%D7%90%D7%94%20%D7%91%D7%99%D7%A9%D7%A8%D7%90%D7%9C%3B%20%D7%9C%D7%95%D7%97%D7%9E%D7%99%D7%9D%20%D7%9E%D7%99%D7%97%D7%99%D7%93%D7%94%20%D7%9E%D7%99%D7%95%D7%97%D7%93%D7%AA%20%D7%A0%D7%97%D7%A7%D7%A8%D7%95,-%D7%A9%D7%A0%D7%99%20%D7%A2%D7%A6%D7%95%D7%A8%D7%99%D7%9D%20%D7%A2%D7%96%D7%AA%D7%99%D7%9D&amp;text=%D7%94%D7%9E%D7%A9%D7%98%D7%A8%D7%94%20%D7%94%D7%A6%D7%91%D7%90%D7%99%D7%AA%20%D7%94%D7%97%D7%95%D7%A7%D7%A8%D7%AA%20%D7%94%D7%97%D7%9C%D7%94%20%D7%91%D7%99%D7%9E%D7%99%D7%9D,%D7%97%D7%9E%D7%99%D7%A9%D7%99)%20%D7%91%D7%97%D7%93%D7%A9%D7%95%D7%AA%20%D7%94%D7%A2%D7%A8%D7%91%20%D7%91%D7%9B%D7%90%D7%9F%2011." xr:uid="{10C26716-6568-8144-92B6-DAC83FE69B67}"/>
    <hyperlink ref="B118" r:id="rId5" xr:uid="{3C2746B3-AA66-0F44-A757-249B6A0B92B6}"/>
    <hyperlink ref="N139" r:id="rId6" display="https://www.jdn.co.il/news/2111450/?source=sendToWhatsapp" xr:uid="{B75D27CF-EC63-834B-B197-AD56000FC4BD}"/>
    <hyperlink ref="B169" r:id="rId7" xr:uid="{731EFE03-DF14-3648-A558-6572620EC0CA}"/>
    <hyperlink ref="N169" r:id="rId8" xr:uid="{44DE461B-C671-F840-B329-244BAFB0F003}"/>
    <hyperlink ref="N170" r:id="rId9" xr:uid="{6FE45B28-2ED4-2544-8CAE-E3BA89FE234F}"/>
    <hyperlink ref="B171" r:id="rId10" xr:uid="{BBAE6790-C0E1-CE4B-9368-FAAAEBBFFCFB}"/>
    <hyperlink ref="N171" r:id="rId11" xr:uid="{3B77A328-AC45-4B4C-B927-163EB87AB7CD}"/>
    <hyperlink ref="N172" r:id="rId12" xr:uid="{340E5CDF-26AD-F848-9B25-AD089DB20AC0}"/>
    <hyperlink ref="N186" r:id="rId13" xr:uid="{BA2D0D77-3E35-3141-B1AF-2FBA979BE4B7}"/>
    <hyperlink ref="B198" r:id="rId14" xr:uid="{4F5E716F-A196-AA45-AE92-9DB4FA78813C}"/>
    <hyperlink ref="B220" r:id="rId15" xr:uid="{92263675-9466-8245-B5D7-72CA7ACBAE5C}"/>
    <hyperlink ref="N280" r:id="rId16" xr:uid="{E5B05C00-EC03-1F47-88C2-7E615979814A}"/>
    <hyperlink ref="N281" r:id="rId17" xr:uid="{26C621AE-F1CD-9445-B935-572E397D7D62}"/>
    <hyperlink ref="N283" r:id="rId18" xr:uid="{B39C5D3C-CE7E-4540-89A6-8D93702B258E}"/>
    <hyperlink ref="N284" r:id="rId19" xr:uid="{62F66F6A-D028-1840-BF57-A4F96EDCE9A1}"/>
    <hyperlink ref="N291" r:id="rId20" xr:uid="{49D83DEC-FE85-2847-BC31-16DBB9A5570E}"/>
    <hyperlink ref="B298" r:id="rId21" xr:uid="{E47A717C-A251-3844-AE81-3B0DBECD9F16}"/>
    <hyperlink ref="N299" r:id="rId22" xr:uid="{A8FA05D0-4E52-AF44-8C03-3A1FECC6DD18}"/>
    <hyperlink ref="N304" r:id="rId23" xr:uid="{9EC94AEC-BC6D-D241-ADE3-DBB6123F5EDD}"/>
    <hyperlink ref="N305" r:id="rId24" xr:uid="{C862A226-9168-8647-B778-8BEABBE9E8E7}"/>
    <hyperlink ref="N306" r:id="rId25" xr:uid="{44E56578-272E-2B4D-9FBB-9036B3C8B6B5}"/>
    <hyperlink ref="N307" r:id="rId26" xr:uid="{AE8EC04F-1468-5A40-8559-446A50A8DD47}"/>
    <hyperlink ref="N321" r:id="rId27" xr:uid="{FD0F8E0B-9A81-B544-AA22-F8F2121BDBE6}"/>
    <hyperlink ref="B323" r:id="rId28" xr:uid="{AF01415B-4A0A-F84F-A7AE-9328F757A953}"/>
    <hyperlink ref="N367" r:id="rId29" xr:uid="{AE51D463-640E-CA4A-A8DD-11C8AC5D4478}"/>
    <hyperlink ref="N403" r:id="rId30" xr:uid="{79B92089-4007-7649-838B-46779C5A2107}"/>
    <hyperlink ref="N407" r:id="rId31" xr:uid="{B4D28596-6D89-6C4B-843B-11BCAC7ACD0F}"/>
    <hyperlink ref="N419" r:id="rId32" xr:uid="{3C8E6D89-EC5C-FF45-9606-08A54F490393}"/>
    <hyperlink ref="B420" r:id="rId33" xr:uid="{B071EAFD-09A1-034D-B0EB-7544027D0DC8}"/>
    <hyperlink ref="B423" r:id="rId34" xr:uid="{DC842586-9941-3D47-8320-1D03DB32B914}"/>
    <hyperlink ref="N436" r:id="rId35" xr:uid="{198D83B1-C640-9C44-BE20-68669599B801}"/>
    <hyperlink ref="N438" r:id="rId36" xr:uid="{4B423F61-75A5-4A42-B63D-6854290E12FF}"/>
    <hyperlink ref="N440" r:id="rId37" xr:uid="{5ABD52BE-BA52-A548-A67B-C56DCF77F944}"/>
    <hyperlink ref="N442" r:id="rId38" display="https://criticalissues.umd.edu/sites/criticalissues.umd.edu/files/Spring 2024 MESB Results.pdf" xr:uid="{64D3EE01-2818-4047-BF61-F3CBC9B2D1C2}"/>
    <hyperlink ref="N446" r:id="rId39" display="https://reliefweb.int/attachments/c675d704-7e81-4328-a07a-aad92dd3af90/MSF-GazaSilentKillings-Full Report_ENG_April 2023.pdf" xr:uid="{CA862083-7804-1A4F-820C-D43D0CCAAACB}"/>
    <hyperlink ref="J453" r:id="rId40" display="http://palestine.beehiiv.com/" xr:uid="{B577ACB3-DB29-9249-9475-2D6C854A2348}"/>
    <hyperlink ref="N458" r:id="rId41" xr:uid="{FB26121E-B777-6D4A-B78A-624C8FF3C9CF}"/>
    <hyperlink ref="B464" r:id="rId42" xr:uid="{D7A31C42-ECE2-2E4B-839C-90D8F7E8BCD1}"/>
    <hyperlink ref="N470" r:id="rId43" xr:uid="{FB01DC4A-5189-834F-B84C-6790B7DFBFA7}"/>
    <hyperlink ref="B476" r:id="rId44" xr:uid="{63C173DE-A524-5F4F-9F03-CCB9321BB2C8}"/>
    <hyperlink ref="N476" r:id="rId45" xr:uid="{7E1A80CB-3396-7644-A841-993B7BB2DB00}"/>
    <hyperlink ref="N485" r:id="rId46" xr:uid="{F5DFFA9D-DA30-9A4C-8873-FC0823AC8BF0}"/>
    <hyperlink ref="B486" r:id="rId47" xr:uid="{56A505A0-9572-7641-9F16-4A0006D2668F}"/>
    <hyperlink ref="N496" r:id="rId48" xr:uid="{D2A9EFB1-9D0C-044C-A7FA-1944020426E6}"/>
    <hyperlink ref="B515" r:id="rId49" xr:uid="{DE87D0D8-85FB-D74C-A2FF-0D4503E02915}"/>
    <hyperlink ref="B517" r:id="rId50" xr:uid="{241A2992-9DD1-624E-9771-6BDABA485011}"/>
    <hyperlink ref="N517" r:id="rId51" xr:uid="{107602C1-4828-974E-83D6-DB252D22E346}"/>
    <hyperlink ref="B519" r:id="rId52" xr:uid="{7A053688-A1D9-B543-A2B3-528D1D3FAF86}"/>
    <hyperlink ref="N527" r:id="rId53" xr:uid="{4B71AB40-0C53-C648-AEF2-61C94C22FFA1}"/>
    <hyperlink ref="B542" r:id="rId54" xr:uid="{902CF3C8-484E-3545-BE90-D405D6AADAD1}"/>
    <hyperlink ref="B555" r:id="rId55" xr:uid="{9B55F987-218C-5740-8FFA-33BD4FE5F16E}"/>
    <hyperlink ref="J556" r:id="rId56" display="http://haaretz.com/" xr:uid="{652AE735-EC12-8345-AC04-0C8A5B592D26}"/>
    <hyperlink ref="N558" r:id="rId57" display="http://www.ipcinfo.org/fileadmin/user_upload/ipcinfo/docs/IPC_Gaza_Acute_Food_Insecurity_Nov2023_Feb2024.pdf" xr:uid="{183F6038-52CC-8545-8D0D-36FBEEF15F1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03D9-2B8D-C849-A0E7-2458847A794E}">
  <dimension ref="A1:S912"/>
  <sheetViews>
    <sheetView topLeftCell="A144" workbookViewId="0">
      <selection activeCell="M26" sqref="M26"/>
    </sheetView>
  </sheetViews>
  <sheetFormatPr baseColWidth="10" defaultRowHeight="16" x14ac:dyDescent="0.2"/>
  <sheetData>
    <row r="1" spans="1:19" x14ac:dyDescent="0.2">
      <c r="A1" s="1" t="s">
        <v>5073</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5074</v>
      </c>
      <c r="R1" s="1" t="s">
        <v>17</v>
      </c>
      <c r="S1" s="1" t="s">
        <v>18</v>
      </c>
    </row>
    <row r="2" spans="1:19" x14ac:dyDescent="0.2">
      <c r="A2" s="2">
        <v>2384</v>
      </c>
      <c r="B2" s="6" t="s">
        <v>19</v>
      </c>
      <c r="C2" s="2" t="s">
        <v>5075</v>
      </c>
      <c r="D2" s="2" t="s">
        <v>5076</v>
      </c>
      <c r="E2" s="2" t="s">
        <v>22</v>
      </c>
      <c r="F2" s="2"/>
      <c r="G2" s="2"/>
      <c r="H2" s="2" t="s">
        <v>23</v>
      </c>
      <c r="I2" s="2" t="s">
        <v>5077</v>
      </c>
      <c r="J2" s="2"/>
      <c r="K2" s="2" t="s">
        <v>26</v>
      </c>
      <c r="L2" s="2" t="s">
        <v>5078</v>
      </c>
      <c r="M2" s="2" t="s">
        <v>5079</v>
      </c>
      <c r="N2" s="2" t="s">
        <v>5080</v>
      </c>
      <c r="O2" s="2" t="s">
        <v>5081</v>
      </c>
      <c r="P2" s="2" t="s">
        <v>5082</v>
      </c>
      <c r="Q2" s="2"/>
      <c r="R2" s="2" t="s">
        <v>5079</v>
      </c>
      <c r="S2" s="2"/>
    </row>
    <row r="3" spans="1:19" x14ac:dyDescent="0.2">
      <c r="A3" s="2">
        <v>2385</v>
      </c>
      <c r="B3" s="6" t="s">
        <v>31</v>
      </c>
      <c r="C3" s="2" t="s">
        <v>5083</v>
      </c>
      <c r="D3" s="2" t="s">
        <v>5084</v>
      </c>
      <c r="E3" s="2" t="s">
        <v>34</v>
      </c>
      <c r="F3" s="2" t="s">
        <v>35</v>
      </c>
      <c r="G3" s="2"/>
      <c r="H3" s="2" t="s">
        <v>5085</v>
      </c>
      <c r="I3" s="2" t="s">
        <v>5086</v>
      </c>
      <c r="J3" s="2"/>
      <c r="K3" s="2" t="s">
        <v>39</v>
      </c>
      <c r="L3" s="2" t="s">
        <v>5087</v>
      </c>
      <c r="M3" s="2" t="s">
        <v>5088</v>
      </c>
      <c r="N3" s="2" t="s">
        <v>5089</v>
      </c>
      <c r="O3" s="2" t="s">
        <v>5081</v>
      </c>
      <c r="P3" s="2" t="s">
        <v>5090</v>
      </c>
      <c r="Q3" s="2" t="s">
        <v>5091</v>
      </c>
      <c r="R3" s="2" t="s">
        <v>5088</v>
      </c>
      <c r="S3" s="2"/>
    </row>
    <row r="4" spans="1:19" x14ac:dyDescent="0.2">
      <c r="A4" s="2">
        <v>2386</v>
      </c>
      <c r="B4" s="6" t="s">
        <v>44</v>
      </c>
      <c r="C4" s="2" t="s">
        <v>5092</v>
      </c>
      <c r="D4" s="2" t="s">
        <v>5093</v>
      </c>
      <c r="E4" s="2" t="s">
        <v>47</v>
      </c>
      <c r="F4" s="2"/>
      <c r="G4" s="2"/>
      <c r="H4" s="2" t="s">
        <v>48</v>
      </c>
      <c r="I4" s="2" t="s">
        <v>48</v>
      </c>
      <c r="J4" s="2"/>
      <c r="K4" s="2" t="s">
        <v>26</v>
      </c>
      <c r="L4" s="2" t="s">
        <v>5078</v>
      </c>
      <c r="M4" s="2" t="s">
        <v>5079</v>
      </c>
      <c r="N4" s="2" t="s">
        <v>5080</v>
      </c>
      <c r="O4" s="2" t="s">
        <v>5081</v>
      </c>
      <c r="P4" s="2" t="s">
        <v>5094</v>
      </c>
      <c r="Q4" s="2"/>
      <c r="R4" s="2" t="s">
        <v>5095</v>
      </c>
      <c r="S4" s="2"/>
    </row>
    <row r="5" spans="1:19" x14ac:dyDescent="0.2">
      <c r="A5" s="2">
        <v>2387</v>
      </c>
      <c r="B5" s="6" t="s">
        <v>52</v>
      </c>
      <c r="C5" s="2" t="s">
        <v>5096</v>
      </c>
      <c r="D5" s="2" t="s">
        <v>5097</v>
      </c>
      <c r="E5" s="2" t="s">
        <v>55</v>
      </c>
      <c r="F5" s="16">
        <v>45658</v>
      </c>
      <c r="G5" s="2" t="s">
        <v>56</v>
      </c>
      <c r="H5" s="2" t="s">
        <v>5098</v>
      </c>
      <c r="I5" s="2" t="s">
        <v>5099</v>
      </c>
      <c r="J5" s="2"/>
      <c r="K5" s="2" t="s">
        <v>39</v>
      </c>
      <c r="L5" s="2" t="s">
        <v>5087</v>
      </c>
      <c r="M5" s="2" t="s">
        <v>5100</v>
      </c>
      <c r="N5" s="2" t="s">
        <v>5101</v>
      </c>
      <c r="O5" s="2" t="s">
        <v>5081</v>
      </c>
      <c r="P5" s="2" t="s">
        <v>5102</v>
      </c>
      <c r="Q5" s="2" t="s">
        <v>5091</v>
      </c>
      <c r="R5" s="2" t="s">
        <v>5100</v>
      </c>
      <c r="S5" s="2"/>
    </row>
    <row r="6" spans="1:19" x14ac:dyDescent="0.2">
      <c r="A6" s="2">
        <v>2388</v>
      </c>
      <c r="B6" s="6" t="s">
        <v>63</v>
      </c>
      <c r="C6" s="2" t="s">
        <v>5103</v>
      </c>
      <c r="D6" s="2" t="s">
        <v>5104</v>
      </c>
      <c r="E6" s="2" t="s">
        <v>66</v>
      </c>
      <c r="F6" s="2" t="s">
        <v>67</v>
      </c>
      <c r="G6" s="2" t="s">
        <v>68</v>
      </c>
      <c r="H6" s="2" t="s">
        <v>5105</v>
      </c>
      <c r="I6" s="2" t="s">
        <v>5106</v>
      </c>
      <c r="J6" s="2"/>
      <c r="K6" s="2" t="s">
        <v>39</v>
      </c>
      <c r="L6" s="2" t="s">
        <v>5087</v>
      </c>
      <c r="M6" s="2" t="s">
        <v>5107</v>
      </c>
      <c r="N6" s="2" t="s">
        <v>5108</v>
      </c>
      <c r="O6" s="2" t="s">
        <v>5081</v>
      </c>
      <c r="P6" s="2" t="s">
        <v>5109</v>
      </c>
      <c r="Q6" s="2"/>
      <c r="R6" s="2" t="s">
        <v>5107</v>
      </c>
      <c r="S6" s="2"/>
    </row>
    <row r="7" spans="1:19" x14ac:dyDescent="0.2">
      <c r="A7" s="2">
        <v>2389</v>
      </c>
      <c r="B7" s="6" t="s">
        <v>74</v>
      </c>
      <c r="C7" s="2" t="s">
        <v>5110</v>
      </c>
      <c r="D7" s="2" t="s">
        <v>5111</v>
      </c>
      <c r="E7" s="2" t="s">
        <v>68</v>
      </c>
      <c r="F7" s="2" t="s">
        <v>77</v>
      </c>
      <c r="G7" s="2"/>
      <c r="H7" s="2" t="s">
        <v>5085</v>
      </c>
      <c r="I7" s="2" t="s">
        <v>5112</v>
      </c>
      <c r="J7" s="2"/>
      <c r="K7" s="2" t="s">
        <v>39</v>
      </c>
      <c r="L7" s="2" t="s">
        <v>5087</v>
      </c>
      <c r="M7" s="2" t="s">
        <v>5079</v>
      </c>
      <c r="N7" s="2" t="s">
        <v>5108</v>
      </c>
      <c r="O7" s="2" t="s">
        <v>5081</v>
      </c>
      <c r="P7" s="2" t="s">
        <v>5113</v>
      </c>
      <c r="Q7" s="2" t="s">
        <v>5091</v>
      </c>
      <c r="R7" s="2" t="s">
        <v>5079</v>
      </c>
      <c r="S7" s="2"/>
    </row>
    <row r="8" spans="1:19" x14ac:dyDescent="0.2">
      <c r="A8" s="2">
        <v>2390</v>
      </c>
      <c r="B8" s="6" t="s">
        <v>80</v>
      </c>
      <c r="C8" s="2" t="s">
        <v>5114</v>
      </c>
      <c r="D8" s="2" t="s">
        <v>5115</v>
      </c>
      <c r="E8" s="2" t="s">
        <v>83</v>
      </c>
      <c r="F8" s="2"/>
      <c r="G8" s="2"/>
      <c r="H8" s="2" t="s">
        <v>84</v>
      </c>
      <c r="I8" s="2" t="s">
        <v>5116</v>
      </c>
      <c r="J8" s="2"/>
      <c r="K8" s="2" t="s">
        <v>26</v>
      </c>
      <c r="L8" s="2" t="s">
        <v>5078</v>
      </c>
      <c r="M8" s="2" t="s">
        <v>5079</v>
      </c>
      <c r="N8" s="2" t="s">
        <v>5089</v>
      </c>
      <c r="O8" s="2" t="s">
        <v>5081</v>
      </c>
      <c r="P8" s="2" t="s">
        <v>5117</v>
      </c>
      <c r="Q8" s="2"/>
      <c r="R8" s="2" t="s">
        <v>5079</v>
      </c>
      <c r="S8" s="2"/>
    </row>
    <row r="9" spans="1:19" x14ac:dyDescent="0.2">
      <c r="A9" s="2">
        <v>2391</v>
      </c>
      <c r="B9" s="6" t="s">
        <v>87</v>
      </c>
      <c r="C9" s="2" t="s">
        <v>5118</v>
      </c>
      <c r="D9" s="2" t="s">
        <v>5119</v>
      </c>
      <c r="E9" s="2" t="s">
        <v>90</v>
      </c>
      <c r="F9" s="2" t="s">
        <v>67</v>
      </c>
      <c r="G9" s="16">
        <v>45566</v>
      </c>
      <c r="H9" s="2" t="s">
        <v>91</v>
      </c>
      <c r="I9" s="2" t="s">
        <v>5120</v>
      </c>
      <c r="J9" s="2"/>
      <c r="K9" s="2" t="s">
        <v>26</v>
      </c>
      <c r="L9" s="2" t="s">
        <v>5078</v>
      </c>
      <c r="M9" s="2" t="s">
        <v>5079</v>
      </c>
      <c r="N9" s="2" t="s">
        <v>5121</v>
      </c>
      <c r="O9" s="2" t="s">
        <v>5081</v>
      </c>
      <c r="P9" s="2" t="s">
        <v>5122</v>
      </c>
      <c r="Q9" s="2" t="s">
        <v>5123</v>
      </c>
      <c r="R9" s="2" t="s">
        <v>5079</v>
      </c>
      <c r="S9" s="2" t="s">
        <v>5124</v>
      </c>
    </row>
    <row r="10" spans="1:19" x14ac:dyDescent="0.2">
      <c r="A10" s="2">
        <v>2392</v>
      </c>
      <c r="B10" s="6" t="s">
        <v>97</v>
      </c>
      <c r="C10" s="2" t="s">
        <v>5125</v>
      </c>
      <c r="D10" s="2" t="s">
        <v>5126</v>
      </c>
      <c r="E10" s="2" t="s">
        <v>100</v>
      </c>
      <c r="F10" s="2" t="s">
        <v>101</v>
      </c>
      <c r="G10" s="2" t="s">
        <v>101</v>
      </c>
      <c r="H10" s="2" t="s">
        <v>5085</v>
      </c>
      <c r="I10" s="2" t="s">
        <v>5127</v>
      </c>
      <c r="J10" s="2"/>
      <c r="K10" s="2" t="s">
        <v>39</v>
      </c>
      <c r="L10" s="2" t="s">
        <v>5087</v>
      </c>
      <c r="M10" s="2" t="s">
        <v>5128</v>
      </c>
      <c r="N10" s="2" t="s">
        <v>5108</v>
      </c>
      <c r="O10" s="2" t="s">
        <v>5081</v>
      </c>
      <c r="P10" s="2" t="s">
        <v>5129</v>
      </c>
      <c r="Q10" s="2"/>
      <c r="R10" s="2" t="s">
        <v>5128</v>
      </c>
      <c r="S10" s="2"/>
    </row>
    <row r="11" spans="1:19" x14ac:dyDescent="0.2">
      <c r="A11" s="2">
        <v>2393</v>
      </c>
      <c r="B11" s="6" t="s">
        <v>106</v>
      </c>
      <c r="C11" s="2" t="s">
        <v>5130</v>
      </c>
      <c r="D11" s="2" t="s">
        <v>5131</v>
      </c>
      <c r="E11" s="2" t="s">
        <v>109</v>
      </c>
      <c r="F11" s="2"/>
      <c r="G11" s="2"/>
      <c r="H11" s="2" t="s">
        <v>110</v>
      </c>
      <c r="I11" s="2" t="s">
        <v>5132</v>
      </c>
      <c r="J11" s="2"/>
      <c r="K11" s="2" t="s">
        <v>26</v>
      </c>
      <c r="L11" s="2" t="s">
        <v>5078</v>
      </c>
      <c r="M11" s="2" t="s">
        <v>5079</v>
      </c>
      <c r="N11" s="2" t="s">
        <v>5108</v>
      </c>
      <c r="O11" s="2" t="s">
        <v>5081</v>
      </c>
      <c r="P11" s="2" t="s">
        <v>5133</v>
      </c>
      <c r="Q11" s="2"/>
      <c r="R11" s="2" t="s">
        <v>5134</v>
      </c>
      <c r="S11" s="2"/>
    </row>
    <row r="12" spans="1:19" x14ac:dyDescent="0.2">
      <c r="A12" s="2">
        <v>2394</v>
      </c>
      <c r="B12" s="6" t="s">
        <v>114</v>
      </c>
      <c r="C12" s="2" t="s">
        <v>5135</v>
      </c>
      <c r="D12" s="2" t="s">
        <v>5136</v>
      </c>
      <c r="E12" s="2" t="s">
        <v>117</v>
      </c>
      <c r="F12" s="2" t="s">
        <v>117</v>
      </c>
      <c r="G12" s="2" t="s">
        <v>117</v>
      </c>
      <c r="H12" s="2" t="s">
        <v>118</v>
      </c>
      <c r="I12" s="2" t="s">
        <v>5137</v>
      </c>
      <c r="J12" s="2"/>
      <c r="K12" s="2" t="s">
        <v>26</v>
      </c>
      <c r="L12" s="2" t="s">
        <v>5078</v>
      </c>
      <c r="M12" s="2" t="s">
        <v>5107</v>
      </c>
      <c r="N12" s="2" t="s">
        <v>5108</v>
      </c>
      <c r="O12" s="2" t="s">
        <v>5081</v>
      </c>
      <c r="P12" s="2" t="s">
        <v>5138</v>
      </c>
      <c r="Q12" s="2"/>
      <c r="R12" s="2" t="s">
        <v>5107</v>
      </c>
      <c r="S12" s="2"/>
    </row>
    <row r="13" spans="1:19" x14ac:dyDescent="0.2">
      <c r="A13" s="2">
        <v>2395</v>
      </c>
      <c r="B13" s="6" t="s">
        <v>121</v>
      </c>
      <c r="C13" s="2" t="s">
        <v>5139</v>
      </c>
      <c r="D13" s="2" t="s">
        <v>5140</v>
      </c>
      <c r="E13" s="2" t="s">
        <v>124</v>
      </c>
      <c r="F13" s="2" t="s">
        <v>125</v>
      </c>
      <c r="G13" s="2"/>
      <c r="H13" s="2" t="s">
        <v>126</v>
      </c>
      <c r="I13" s="2" t="s">
        <v>5141</v>
      </c>
      <c r="J13" s="2"/>
      <c r="K13" s="2" t="s">
        <v>26</v>
      </c>
      <c r="L13" s="2" t="s">
        <v>5078</v>
      </c>
      <c r="M13" s="2" t="s">
        <v>5142</v>
      </c>
      <c r="N13" s="2" t="s">
        <v>5108</v>
      </c>
      <c r="O13" s="2" t="s">
        <v>5081</v>
      </c>
      <c r="P13" s="2" t="s">
        <v>5143</v>
      </c>
      <c r="Q13" s="2"/>
      <c r="R13" s="2" t="s">
        <v>5079</v>
      </c>
      <c r="S13" s="2"/>
    </row>
    <row r="14" spans="1:19" x14ac:dyDescent="0.2">
      <c r="A14" s="2">
        <v>2396</v>
      </c>
      <c r="B14" s="6" t="s">
        <v>130</v>
      </c>
      <c r="C14" s="2" t="s">
        <v>5144</v>
      </c>
      <c r="D14" s="2" t="s">
        <v>5145</v>
      </c>
      <c r="E14" s="2" t="s">
        <v>133</v>
      </c>
      <c r="F14" s="2" t="s">
        <v>134</v>
      </c>
      <c r="G14" s="2" t="s">
        <v>134</v>
      </c>
      <c r="H14" s="2" t="s">
        <v>135</v>
      </c>
      <c r="I14" s="2" t="s">
        <v>5146</v>
      </c>
      <c r="J14" s="2"/>
      <c r="K14" s="2" t="s">
        <v>26</v>
      </c>
      <c r="L14" s="2" t="s">
        <v>5078</v>
      </c>
      <c r="M14" s="2" t="s">
        <v>5134</v>
      </c>
      <c r="N14" s="2" t="s">
        <v>5108</v>
      </c>
      <c r="O14" s="2" t="s">
        <v>5081</v>
      </c>
      <c r="P14" s="2" t="s">
        <v>5147</v>
      </c>
      <c r="Q14" s="2"/>
      <c r="R14" s="2" t="s">
        <v>5134</v>
      </c>
      <c r="S14" s="2"/>
    </row>
    <row r="15" spans="1:19" x14ac:dyDescent="0.2">
      <c r="A15" s="2">
        <v>2397</v>
      </c>
      <c r="B15" s="6" t="s">
        <v>139</v>
      </c>
      <c r="C15" s="2" t="s">
        <v>5148</v>
      </c>
      <c r="D15" s="2" t="s">
        <v>5149</v>
      </c>
      <c r="E15" s="2" t="s">
        <v>142</v>
      </c>
      <c r="F15" s="2"/>
      <c r="G15" s="2"/>
      <c r="H15" s="2" t="s">
        <v>143</v>
      </c>
      <c r="I15" s="2" t="s">
        <v>5150</v>
      </c>
      <c r="J15" s="2"/>
      <c r="K15" s="2" t="s">
        <v>26</v>
      </c>
      <c r="L15" s="2" t="s">
        <v>5078</v>
      </c>
      <c r="M15" s="2" t="s">
        <v>5079</v>
      </c>
      <c r="N15" s="2" t="s">
        <v>5108</v>
      </c>
      <c r="O15" s="2" t="s">
        <v>5081</v>
      </c>
      <c r="P15" s="2" t="s">
        <v>5151</v>
      </c>
      <c r="Q15" s="2" t="s">
        <v>5091</v>
      </c>
      <c r="R15" s="2" t="s">
        <v>5079</v>
      </c>
      <c r="S15" s="2"/>
    </row>
    <row r="16" spans="1:19" x14ac:dyDescent="0.2">
      <c r="A16" s="2">
        <v>2398</v>
      </c>
      <c r="B16" s="6" t="s">
        <v>146</v>
      </c>
      <c r="C16" s="2" t="s">
        <v>5152</v>
      </c>
      <c r="D16" s="2" t="s">
        <v>5153</v>
      </c>
      <c r="E16" s="2" t="s">
        <v>149</v>
      </c>
      <c r="F16" s="16">
        <v>45505</v>
      </c>
      <c r="G16" s="2"/>
      <c r="H16" s="2" t="s">
        <v>5085</v>
      </c>
      <c r="I16" s="2" t="s">
        <v>5154</v>
      </c>
      <c r="J16" s="2"/>
      <c r="K16" s="2" t="s">
        <v>26</v>
      </c>
      <c r="L16" s="2" t="s">
        <v>5078</v>
      </c>
      <c r="M16" s="2" t="s">
        <v>5155</v>
      </c>
      <c r="N16" s="2" t="s">
        <v>5108</v>
      </c>
      <c r="O16" s="2" t="s">
        <v>5081</v>
      </c>
      <c r="P16" s="2" t="s">
        <v>5156</v>
      </c>
      <c r="Q16" s="2" t="s">
        <v>5091</v>
      </c>
      <c r="R16" s="2" t="s">
        <v>5155</v>
      </c>
      <c r="S16" s="2"/>
    </row>
    <row r="17" spans="1:19" x14ac:dyDescent="0.2">
      <c r="A17" s="2">
        <v>2399</v>
      </c>
      <c r="B17" s="6" t="s">
        <v>153</v>
      </c>
      <c r="C17" s="2" t="s">
        <v>5157</v>
      </c>
      <c r="D17" s="2" t="s">
        <v>5158</v>
      </c>
      <c r="E17" s="2" t="s">
        <v>83</v>
      </c>
      <c r="F17" s="2" t="s">
        <v>156</v>
      </c>
      <c r="G17" s="2" t="s">
        <v>156</v>
      </c>
      <c r="H17" s="2" t="s">
        <v>157</v>
      </c>
      <c r="I17" s="2" t="s">
        <v>5159</v>
      </c>
      <c r="J17" s="2"/>
      <c r="K17" s="2" t="s">
        <v>39</v>
      </c>
      <c r="L17" s="2" t="s">
        <v>5087</v>
      </c>
      <c r="M17" s="2" t="s">
        <v>5100</v>
      </c>
      <c r="N17" s="2" t="s">
        <v>5108</v>
      </c>
      <c r="O17" s="2" t="s">
        <v>5081</v>
      </c>
      <c r="P17" s="2" t="s">
        <v>5160</v>
      </c>
      <c r="Q17" s="2"/>
      <c r="R17" s="2" t="s">
        <v>5100</v>
      </c>
      <c r="S17" s="2" t="s">
        <v>5161</v>
      </c>
    </row>
    <row r="18" spans="1:19" x14ac:dyDescent="0.2">
      <c r="A18" s="2">
        <v>2400</v>
      </c>
      <c r="B18" s="6" t="s">
        <v>161</v>
      </c>
      <c r="C18" s="2" t="s">
        <v>5162</v>
      </c>
      <c r="D18" s="2" t="s">
        <v>5163</v>
      </c>
      <c r="E18" s="2" t="s">
        <v>164</v>
      </c>
      <c r="F18" s="2" t="s">
        <v>164</v>
      </c>
      <c r="G18" s="2"/>
      <c r="H18" s="2" t="s">
        <v>5085</v>
      </c>
      <c r="I18" s="2" t="s">
        <v>5164</v>
      </c>
      <c r="J18" s="2"/>
      <c r="K18" s="2" t="s">
        <v>39</v>
      </c>
      <c r="L18" s="2" t="s">
        <v>5087</v>
      </c>
      <c r="M18" s="2" t="s">
        <v>5100</v>
      </c>
      <c r="N18" s="2" t="s">
        <v>5108</v>
      </c>
      <c r="O18" s="2" t="s">
        <v>5081</v>
      </c>
      <c r="P18" s="2" t="s">
        <v>5165</v>
      </c>
      <c r="Q18" s="2" t="s">
        <v>5166</v>
      </c>
      <c r="R18" s="2" t="s">
        <v>5167</v>
      </c>
      <c r="S18" s="2"/>
    </row>
    <row r="19" spans="1:19" x14ac:dyDescent="0.2">
      <c r="A19" s="2">
        <v>2401</v>
      </c>
      <c r="B19" s="6" t="s">
        <v>169</v>
      </c>
      <c r="C19" s="2" t="s">
        <v>5168</v>
      </c>
      <c r="D19" s="2" t="s">
        <v>5169</v>
      </c>
      <c r="E19" s="2" t="s">
        <v>172</v>
      </c>
      <c r="F19" s="2"/>
      <c r="G19" s="2"/>
      <c r="H19" s="2" t="s">
        <v>173</v>
      </c>
      <c r="I19" s="2" t="s">
        <v>5170</v>
      </c>
      <c r="J19" s="2"/>
      <c r="K19" s="2" t="s">
        <v>26</v>
      </c>
      <c r="L19" s="2" t="s">
        <v>5078</v>
      </c>
      <c r="M19" s="2" t="s">
        <v>5079</v>
      </c>
      <c r="N19" s="2" t="s">
        <v>5108</v>
      </c>
      <c r="O19" s="2" t="s">
        <v>5081</v>
      </c>
      <c r="P19" s="2" t="s">
        <v>5171</v>
      </c>
      <c r="Q19" s="2" t="s">
        <v>5091</v>
      </c>
      <c r="R19" s="2" t="s">
        <v>5079</v>
      </c>
      <c r="S19" s="2"/>
    </row>
    <row r="20" spans="1:19" x14ac:dyDescent="0.2">
      <c r="A20" s="2">
        <v>2402</v>
      </c>
      <c r="B20" s="6" t="s">
        <v>176</v>
      </c>
      <c r="C20" s="2" t="s">
        <v>5172</v>
      </c>
      <c r="D20" s="2" t="s">
        <v>5173</v>
      </c>
      <c r="E20" s="2" t="s">
        <v>179</v>
      </c>
      <c r="F20" s="2" t="s">
        <v>117</v>
      </c>
      <c r="G20" s="2"/>
      <c r="H20" s="2" t="s">
        <v>5085</v>
      </c>
      <c r="I20" s="2" t="s">
        <v>5154</v>
      </c>
      <c r="J20" s="2"/>
      <c r="K20" s="2" t="s">
        <v>39</v>
      </c>
      <c r="L20" s="2" t="s">
        <v>5087</v>
      </c>
      <c r="M20" s="2" t="s">
        <v>5079</v>
      </c>
      <c r="N20" s="2" t="s">
        <v>5108</v>
      </c>
      <c r="O20" s="2" t="s">
        <v>5081</v>
      </c>
      <c r="P20" s="2" t="s">
        <v>5174</v>
      </c>
      <c r="Q20" s="2" t="s">
        <v>5091</v>
      </c>
      <c r="R20" s="2" t="s">
        <v>5079</v>
      </c>
      <c r="S20" s="2"/>
    </row>
    <row r="21" spans="1:19" x14ac:dyDescent="0.2">
      <c r="A21" s="2">
        <v>2403</v>
      </c>
      <c r="B21" s="6" t="s">
        <v>181</v>
      </c>
      <c r="C21" s="2" t="s">
        <v>5175</v>
      </c>
      <c r="D21" s="2" t="s">
        <v>5176</v>
      </c>
      <c r="E21" s="2" t="s">
        <v>184</v>
      </c>
      <c r="F21" s="2"/>
      <c r="G21" s="2"/>
      <c r="H21" s="2" t="s">
        <v>5085</v>
      </c>
      <c r="I21" s="2" t="s">
        <v>5177</v>
      </c>
      <c r="J21" s="2"/>
      <c r="K21" s="2" t="s">
        <v>39</v>
      </c>
      <c r="L21" s="2" t="s">
        <v>5087</v>
      </c>
      <c r="M21" s="2" t="s">
        <v>5178</v>
      </c>
      <c r="N21" s="2" t="s">
        <v>5108</v>
      </c>
      <c r="O21" s="2" t="s">
        <v>5081</v>
      </c>
      <c r="P21" s="2" t="s">
        <v>5179</v>
      </c>
      <c r="Q21" s="2"/>
      <c r="R21" s="2" t="s">
        <v>5178</v>
      </c>
      <c r="S21" s="2" t="s">
        <v>5180</v>
      </c>
    </row>
    <row r="22" spans="1:19" x14ac:dyDescent="0.2">
      <c r="A22" s="2">
        <v>2404</v>
      </c>
      <c r="B22" s="6" t="s">
        <v>189</v>
      </c>
      <c r="C22" s="2" t="s">
        <v>5181</v>
      </c>
      <c r="D22" s="2" t="s">
        <v>5182</v>
      </c>
      <c r="E22" s="2" t="s">
        <v>192</v>
      </c>
      <c r="F22" s="2"/>
      <c r="G22" s="2"/>
      <c r="H22" s="2" t="s">
        <v>5105</v>
      </c>
      <c r="I22" s="2" t="s">
        <v>5183</v>
      </c>
      <c r="J22" s="2"/>
      <c r="K22" s="2" t="s">
        <v>39</v>
      </c>
      <c r="L22" s="2" t="s">
        <v>5087</v>
      </c>
      <c r="M22" s="2" t="s">
        <v>5079</v>
      </c>
      <c r="N22" s="2" t="s">
        <v>5108</v>
      </c>
      <c r="O22" s="2" t="s">
        <v>5081</v>
      </c>
      <c r="P22" s="2" t="s">
        <v>5184</v>
      </c>
      <c r="Q22" s="2"/>
      <c r="R22" s="2" t="s">
        <v>5079</v>
      </c>
      <c r="S22" s="2"/>
    </row>
    <row r="23" spans="1:19" x14ac:dyDescent="0.2">
      <c r="A23" s="2">
        <v>2405</v>
      </c>
      <c r="B23" s="6" t="s">
        <v>196</v>
      </c>
      <c r="C23" s="2" t="s">
        <v>5185</v>
      </c>
      <c r="D23" s="2" t="s">
        <v>5186</v>
      </c>
      <c r="E23" s="2" t="s">
        <v>199</v>
      </c>
      <c r="F23" s="2" t="s">
        <v>200</v>
      </c>
      <c r="G23" s="2"/>
      <c r="H23" s="2" t="s">
        <v>5187</v>
      </c>
      <c r="I23" s="2" t="s">
        <v>5188</v>
      </c>
      <c r="J23" s="2"/>
      <c r="K23" s="2" t="s">
        <v>39</v>
      </c>
      <c r="L23" s="2" t="s">
        <v>5087</v>
      </c>
      <c r="M23" s="2" t="s">
        <v>5079</v>
      </c>
      <c r="N23" s="2" t="s">
        <v>5108</v>
      </c>
      <c r="O23" s="2" t="s">
        <v>5081</v>
      </c>
      <c r="P23" s="2" t="s">
        <v>5189</v>
      </c>
      <c r="Q23" s="2" t="s">
        <v>5091</v>
      </c>
      <c r="R23" s="2" t="s">
        <v>5079</v>
      </c>
      <c r="S23" s="2"/>
    </row>
    <row r="24" spans="1:19" x14ac:dyDescent="0.2">
      <c r="A24" s="2">
        <v>2406</v>
      </c>
      <c r="B24" s="6" t="s">
        <v>204</v>
      </c>
      <c r="C24" s="2" t="s">
        <v>5190</v>
      </c>
      <c r="D24" s="2" t="s">
        <v>5191</v>
      </c>
      <c r="E24" s="2" t="s">
        <v>207</v>
      </c>
      <c r="F24" s="2"/>
      <c r="G24" s="2"/>
      <c r="H24" s="2" t="s">
        <v>5085</v>
      </c>
      <c r="I24" s="2" t="s">
        <v>5192</v>
      </c>
      <c r="J24" s="2"/>
      <c r="K24" s="2" t="s">
        <v>39</v>
      </c>
      <c r="L24" s="2" t="s">
        <v>5087</v>
      </c>
      <c r="M24" s="2" t="s">
        <v>5193</v>
      </c>
      <c r="N24" s="2" t="s">
        <v>5108</v>
      </c>
      <c r="O24" s="2" t="s">
        <v>5081</v>
      </c>
      <c r="P24" s="2" t="s">
        <v>5194</v>
      </c>
      <c r="Q24" s="2" t="s">
        <v>5195</v>
      </c>
      <c r="R24" s="2" t="s">
        <v>5193</v>
      </c>
      <c r="S24" s="2"/>
    </row>
    <row r="25" spans="1:19" x14ac:dyDescent="0.2">
      <c r="A25" s="2">
        <v>2407</v>
      </c>
      <c r="B25" s="6" t="s">
        <v>213</v>
      </c>
      <c r="C25" s="2" t="s">
        <v>5196</v>
      </c>
      <c r="D25" s="2" t="s">
        <v>5197</v>
      </c>
      <c r="E25" s="2" t="s">
        <v>216</v>
      </c>
      <c r="F25" s="2"/>
      <c r="G25" s="2"/>
      <c r="H25" s="2" t="s">
        <v>173</v>
      </c>
      <c r="I25" s="2" t="s">
        <v>5198</v>
      </c>
      <c r="J25" s="2"/>
      <c r="K25" s="2" t="s">
        <v>26</v>
      </c>
      <c r="L25" s="2" t="s">
        <v>5078</v>
      </c>
      <c r="M25" s="2"/>
      <c r="N25" s="2" t="s">
        <v>5108</v>
      </c>
      <c r="O25" s="2" t="s">
        <v>5081</v>
      </c>
      <c r="P25" s="2" t="s">
        <v>5199</v>
      </c>
      <c r="Q25" s="2"/>
      <c r="R25" s="2"/>
      <c r="S25" s="2" t="s">
        <v>5200</v>
      </c>
    </row>
    <row r="26" spans="1:19" x14ac:dyDescent="0.2">
      <c r="A26" s="2">
        <v>2408</v>
      </c>
      <c r="B26" s="6" t="s">
        <v>220</v>
      </c>
      <c r="C26" s="2" t="s">
        <v>5201</v>
      </c>
      <c r="D26" s="2" t="s">
        <v>5202</v>
      </c>
      <c r="E26" s="2" t="s">
        <v>223</v>
      </c>
      <c r="F26" s="2"/>
      <c r="G26" s="2"/>
      <c r="H26" s="2" t="s">
        <v>5203</v>
      </c>
      <c r="I26" s="2" t="s">
        <v>5204</v>
      </c>
      <c r="J26" s="2"/>
      <c r="K26" s="2" t="s">
        <v>39</v>
      </c>
      <c r="L26" s="2" t="s">
        <v>5087</v>
      </c>
      <c r="M26" s="2"/>
      <c r="N26" s="2" t="s">
        <v>5108</v>
      </c>
      <c r="O26" s="2" t="s">
        <v>5081</v>
      </c>
      <c r="P26" s="2" t="s">
        <v>5160</v>
      </c>
      <c r="Q26" s="2" t="s">
        <v>5091</v>
      </c>
      <c r="R26" s="2"/>
      <c r="S26" s="2"/>
    </row>
    <row r="27" spans="1:19" x14ac:dyDescent="0.2">
      <c r="A27" s="2">
        <v>2409</v>
      </c>
      <c r="B27" s="6" t="s">
        <v>226</v>
      </c>
      <c r="C27" s="2" t="s">
        <v>5205</v>
      </c>
      <c r="D27" s="2" t="s">
        <v>5206</v>
      </c>
      <c r="E27" s="2" t="s">
        <v>229</v>
      </c>
      <c r="F27" s="2"/>
      <c r="G27" s="2"/>
      <c r="H27" s="2" t="s">
        <v>5085</v>
      </c>
      <c r="I27" s="2" t="s">
        <v>5207</v>
      </c>
      <c r="J27" s="2"/>
      <c r="K27" s="2" t="s">
        <v>39</v>
      </c>
      <c r="L27" s="2" t="s">
        <v>5087</v>
      </c>
      <c r="M27" s="2" t="s">
        <v>5079</v>
      </c>
      <c r="N27" s="2" t="s">
        <v>5108</v>
      </c>
      <c r="O27" s="2" t="s">
        <v>5081</v>
      </c>
      <c r="P27" s="2" t="s">
        <v>5208</v>
      </c>
      <c r="Q27" s="2" t="s">
        <v>5209</v>
      </c>
      <c r="R27" s="2" t="s">
        <v>5210</v>
      </c>
      <c r="S27" s="2" t="s">
        <v>5211</v>
      </c>
    </row>
    <row r="28" spans="1:19" x14ac:dyDescent="0.2">
      <c r="A28" s="2">
        <v>2410</v>
      </c>
      <c r="B28" s="6" t="s">
        <v>235</v>
      </c>
      <c r="C28" s="2" t="s">
        <v>5212</v>
      </c>
      <c r="D28" s="2" t="s">
        <v>5213</v>
      </c>
      <c r="E28" s="2" t="s">
        <v>238</v>
      </c>
      <c r="F28" s="2"/>
      <c r="G28" s="2"/>
      <c r="H28" s="2" t="s">
        <v>5085</v>
      </c>
      <c r="I28" s="2" t="s">
        <v>5214</v>
      </c>
      <c r="J28" s="2"/>
      <c r="K28" s="2" t="s">
        <v>39</v>
      </c>
      <c r="L28" s="2" t="s">
        <v>5087</v>
      </c>
      <c r="M28" s="2"/>
      <c r="N28" s="2" t="s">
        <v>5108</v>
      </c>
      <c r="O28" s="2" t="s">
        <v>5081</v>
      </c>
      <c r="P28" s="2" t="s">
        <v>5174</v>
      </c>
      <c r="Q28" s="2" t="s">
        <v>5091</v>
      </c>
      <c r="R28" s="2"/>
      <c r="S28" s="2"/>
    </row>
    <row r="29" spans="1:19" x14ac:dyDescent="0.2">
      <c r="A29" s="2">
        <v>2411</v>
      </c>
      <c r="B29" s="6" t="s">
        <v>240</v>
      </c>
      <c r="C29" s="2" t="s">
        <v>5215</v>
      </c>
      <c r="D29" s="2" t="s">
        <v>5216</v>
      </c>
      <c r="E29" s="2" t="s">
        <v>243</v>
      </c>
      <c r="F29" s="2"/>
      <c r="G29" s="2"/>
      <c r="H29" s="2" t="s">
        <v>5085</v>
      </c>
      <c r="I29" s="2" t="s">
        <v>5217</v>
      </c>
      <c r="J29" s="2"/>
      <c r="K29" s="2" t="s">
        <v>39</v>
      </c>
      <c r="L29" s="2" t="s">
        <v>5087</v>
      </c>
      <c r="M29" s="2" t="s">
        <v>5218</v>
      </c>
      <c r="N29" s="2" t="s">
        <v>5108</v>
      </c>
      <c r="O29" s="2" t="s">
        <v>5081</v>
      </c>
      <c r="P29" s="2" t="s">
        <v>5219</v>
      </c>
      <c r="Q29" s="2"/>
      <c r="R29" s="2" t="s">
        <v>5220</v>
      </c>
      <c r="S29" s="2"/>
    </row>
    <row r="30" spans="1:19" x14ac:dyDescent="0.2">
      <c r="A30" s="2">
        <v>2412</v>
      </c>
      <c r="B30" s="6" t="s">
        <v>248</v>
      </c>
      <c r="C30" s="2" t="s">
        <v>5221</v>
      </c>
      <c r="D30" s="2" t="s">
        <v>5222</v>
      </c>
      <c r="E30" s="2" t="s">
        <v>251</v>
      </c>
      <c r="F30" s="2"/>
      <c r="G30" s="2"/>
      <c r="H30" s="2" t="s">
        <v>5085</v>
      </c>
      <c r="I30" s="2" t="s">
        <v>5223</v>
      </c>
      <c r="J30" s="2"/>
      <c r="K30" s="2" t="s">
        <v>39</v>
      </c>
      <c r="L30" s="2" t="s">
        <v>5087</v>
      </c>
      <c r="M30" s="2" t="s">
        <v>5218</v>
      </c>
      <c r="N30" s="2" t="s">
        <v>5108</v>
      </c>
      <c r="O30" s="2" t="s">
        <v>5081</v>
      </c>
      <c r="P30" s="2" t="s">
        <v>5189</v>
      </c>
      <c r="Q30" s="2" t="s">
        <v>5224</v>
      </c>
      <c r="R30" s="2" t="s">
        <v>5218</v>
      </c>
      <c r="S30" s="2"/>
    </row>
    <row r="31" spans="1:19" x14ac:dyDescent="0.2">
      <c r="A31" s="2">
        <v>2413</v>
      </c>
      <c r="B31" s="6" t="s">
        <v>254</v>
      </c>
      <c r="C31" s="2" t="s">
        <v>5225</v>
      </c>
      <c r="D31" s="2" t="s">
        <v>5226</v>
      </c>
      <c r="E31" s="2" t="s">
        <v>257</v>
      </c>
      <c r="F31" s="2"/>
      <c r="G31" s="2"/>
      <c r="H31" s="2" t="s">
        <v>5227</v>
      </c>
      <c r="I31" s="2" t="s">
        <v>5228</v>
      </c>
      <c r="J31" s="2"/>
      <c r="K31" s="2" t="s">
        <v>39</v>
      </c>
      <c r="L31" s="2" t="s">
        <v>5087</v>
      </c>
      <c r="M31" s="2" t="s">
        <v>5218</v>
      </c>
      <c r="N31" s="2" t="s">
        <v>5108</v>
      </c>
      <c r="O31" s="2" t="s">
        <v>5081</v>
      </c>
      <c r="P31" s="2" t="s">
        <v>5229</v>
      </c>
      <c r="Q31" s="2" t="s">
        <v>5224</v>
      </c>
      <c r="R31" s="2" t="s">
        <v>5218</v>
      </c>
      <c r="S31" s="2" t="s">
        <v>5230</v>
      </c>
    </row>
    <row r="32" spans="1:19" x14ac:dyDescent="0.2">
      <c r="A32" s="2">
        <v>2414</v>
      </c>
      <c r="B32" s="6" t="s">
        <v>262</v>
      </c>
      <c r="C32" s="2" t="s">
        <v>5231</v>
      </c>
      <c r="D32" s="2" t="s">
        <v>5232</v>
      </c>
      <c r="E32" s="2" t="s">
        <v>265</v>
      </c>
      <c r="F32" s="2"/>
      <c r="G32" s="2"/>
      <c r="H32" s="2" t="s">
        <v>5085</v>
      </c>
      <c r="I32" s="2" t="s">
        <v>5233</v>
      </c>
      <c r="J32" s="2"/>
      <c r="K32" s="2" t="s">
        <v>39</v>
      </c>
      <c r="L32" s="2" t="s">
        <v>5087</v>
      </c>
      <c r="M32" s="2" t="s">
        <v>5234</v>
      </c>
      <c r="N32" s="2" t="s">
        <v>5108</v>
      </c>
      <c r="O32" s="2" t="s">
        <v>5081</v>
      </c>
      <c r="P32" s="2" t="s">
        <v>5219</v>
      </c>
      <c r="Q32" s="2" t="s">
        <v>5235</v>
      </c>
      <c r="R32" s="2" t="s">
        <v>5234</v>
      </c>
      <c r="S32" s="2" t="s">
        <v>5236</v>
      </c>
    </row>
    <row r="33" spans="1:19" x14ac:dyDescent="0.2">
      <c r="A33" s="2">
        <v>2415</v>
      </c>
      <c r="B33" s="6" t="s">
        <v>270</v>
      </c>
      <c r="C33" s="2" t="s">
        <v>5237</v>
      </c>
      <c r="D33" s="2" t="s">
        <v>5238</v>
      </c>
      <c r="E33" s="2" t="s">
        <v>100</v>
      </c>
      <c r="F33" s="2"/>
      <c r="G33" s="2"/>
      <c r="H33" s="2" t="s">
        <v>5085</v>
      </c>
      <c r="I33" s="2" t="s">
        <v>5239</v>
      </c>
      <c r="J33" s="2"/>
      <c r="K33" s="2" t="s">
        <v>39</v>
      </c>
      <c r="L33" s="2" t="s">
        <v>5087</v>
      </c>
      <c r="M33" s="2" t="s">
        <v>5240</v>
      </c>
      <c r="N33" s="2" t="s">
        <v>5089</v>
      </c>
      <c r="O33" s="2" t="s">
        <v>5081</v>
      </c>
      <c r="P33" s="2" t="s">
        <v>5241</v>
      </c>
      <c r="Q33" s="2" t="s">
        <v>5242</v>
      </c>
      <c r="R33" s="2" t="s">
        <v>5167</v>
      </c>
      <c r="S33" s="2"/>
    </row>
    <row r="34" spans="1:19" x14ac:dyDescent="0.2">
      <c r="A34" s="2">
        <v>2416</v>
      </c>
      <c r="B34" s="6" t="s">
        <v>276</v>
      </c>
      <c r="C34" s="2" t="s">
        <v>5243</v>
      </c>
      <c r="D34" s="2" t="s">
        <v>5244</v>
      </c>
      <c r="E34" s="2" t="s">
        <v>200</v>
      </c>
      <c r="F34" s="2"/>
      <c r="G34" s="2"/>
      <c r="H34" s="2" t="s">
        <v>5085</v>
      </c>
      <c r="I34" s="2" t="s">
        <v>5245</v>
      </c>
      <c r="J34" s="2"/>
      <c r="K34" s="2" t="s">
        <v>39</v>
      </c>
      <c r="L34" s="2" t="s">
        <v>5087</v>
      </c>
      <c r="M34" s="2" t="s">
        <v>5100</v>
      </c>
      <c r="N34" s="2" t="s">
        <v>5108</v>
      </c>
      <c r="O34" s="2" t="s">
        <v>5081</v>
      </c>
      <c r="P34" s="2" t="s">
        <v>5246</v>
      </c>
      <c r="Q34" s="2" t="s">
        <v>5235</v>
      </c>
      <c r="R34" s="2" t="s">
        <v>5100</v>
      </c>
      <c r="S34" s="2"/>
    </row>
    <row r="35" spans="1:19" x14ac:dyDescent="0.2">
      <c r="A35" s="2">
        <v>2417</v>
      </c>
      <c r="B35" s="6" t="s">
        <v>281</v>
      </c>
      <c r="C35" s="2" t="s">
        <v>5247</v>
      </c>
      <c r="D35" s="2" t="s">
        <v>5248</v>
      </c>
      <c r="E35" s="2" t="s">
        <v>284</v>
      </c>
      <c r="F35" s="2"/>
      <c r="G35" s="2"/>
      <c r="H35" s="2" t="s">
        <v>285</v>
      </c>
      <c r="I35" s="2" t="s">
        <v>5249</v>
      </c>
      <c r="J35" s="2"/>
      <c r="K35" s="2" t="s">
        <v>26</v>
      </c>
      <c r="L35" s="2" t="s">
        <v>5078</v>
      </c>
      <c r="M35" s="2" t="s">
        <v>5079</v>
      </c>
      <c r="N35" s="2" t="s">
        <v>5101</v>
      </c>
      <c r="O35" s="2" t="s">
        <v>5081</v>
      </c>
      <c r="P35" s="2" t="s">
        <v>5246</v>
      </c>
      <c r="Q35" s="2" t="s">
        <v>5250</v>
      </c>
      <c r="R35" s="2" t="s">
        <v>5079</v>
      </c>
      <c r="S35" s="2"/>
    </row>
    <row r="36" spans="1:19" x14ac:dyDescent="0.2">
      <c r="A36" s="2">
        <v>2418</v>
      </c>
      <c r="B36" s="6" t="s">
        <v>288</v>
      </c>
      <c r="C36" s="2" t="s">
        <v>5251</v>
      </c>
      <c r="D36" s="2" t="s">
        <v>5252</v>
      </c>
      <c r="E36" s="2" t="s">
        <v>291</v>
      </c>
      <c r="F36" s="2"/>
      <c r="G36" s="2"/>
      <c r="H36" s="2" t="s">
        <v>5085</v>
      </c>
      <c r="I36" s="2" t="s">
        <v>5253</v>
      </c>
      <c r="J36" s="2"/>
      <c r="K36" s="2" t="s">
        <v>39</v>
      </c>
      <c r="L36" s="2" t="s">
        <v>5087</v>
      </c>
      <c r="M36" s="2" t="s">
        <v>5167</v>
      </c>
      <c r="N36" s="2" t="s">
        <v>5108</v>
      </c>
      <c r="O36" s="2" t="s">
        <v>5081</v>
      </c>
      <c r="P36" s="2" t="s">
        <v>5254</v>
      </c>
      <c r="Q36" s="2"/>
      <c r="R36" s="2" t="s">
        <v>5167</v>
      </c>
      <c r="S36" s="2"/>
    </row>
    <row r="37" spans="1:19" x14ac:dyDescent="0.2">
      <c r="A37" s="2">
        <v>2419</v>
      </c>
      <c r="B37" s="6" t="s">
        <v>294</v>
      </c>
      <c r="C37" s="2" t="s">
        <v>5255</v>
      </c>
      <c r="D37" s="2" t="s">
        <v>5256</v>
      </c>
      <c r="E37" s="2" t="s">
        <v>297</v>
      </c>
      <c r="F37" s="2"/>
      <c r="G37" s="2"/>
      <c r="H37" s="2" t="s">
        <v>173</v>
      </c>
      <c r="I37" s="2" t="s">
        <v>5257</v>
      </c>
      <c r="J37" s="2"/>
      <c r="K37" s="2" t="s">
        <v>26</v>
      </c>
      <c r="L37" s="2" t="s">
        <v>5078</v>
      </c>
      <c r="M37" s="2"/>
      <c r="N37" s="2" t="s">
        <v>5108</v>
      </c>
      <c r="O37" s="2" t="s">
        <v>5081</v>
      </c>
      <c r="P37" s="2" t="s">
        <v>5258</v>
      </c>
      <c r="Q37" s="2"/>
      <c r="R37" s="2"/>
      <c r="S37" s="2" t="s">
        <v>5259</v>
      </c>
    </row>
    <row r="38" spans="1:19" x14ac:dyDescent="0.2">
      <c r="A38" s="2">
        <v>2420</v>
      </c>
      <c r="B38" s="6" t="s">
        <v>301</v>
      </c>
      <c r="C38" s="2" t="s">
        <v>5260</v>
      </c>
      <c r="D38" s="2" t="s">
        <v>5261</v>
      </c>
      <c r="E38" s="2" t="s">
        <v>297</v>
      </c>
      <c r="F38" s="2"/>
      <c r="G38" s="2"/>
      <c r="H38" s="2" t="s">
        <v>304</v>
      </c>
      <c r="I38" s="2" t="s">
        <v>5262</v>
      </c>
      <c r="J38" s="2"/>
      <c r="K38" s="2" t="s">
        <v>26</v>
      </c>
      <c r="L38" s="2" t="s">
        <v>5078</v>
      </c>
      <c r="M38" s="2" t="s">
        <v>5079</v>
      </c>
      <c r="N38" s="2" t="s">
        <v>5108</v>
      </c>
      <c r="O38" s="2" t="s">
        <v>5081</v>
      </c>
      <c r="P38" s="2"/>
      <c r="Q38" s="2" t="s">
        <v>5263</v>
      </c>
      <c r="R38" s="2"/>
      <c r="S38" s="2"/>
    </row>
    <row r="39" spans="1:19" x14ac:dyDescent="0.2">
      <c r="A39" s="2">
        <v>2421</v>
      </c>
      <c r="B39" s="6" t="s">
        <v>307</v>
      </c>
      <c r="C39" s="2" t="s">
        <v>5264</v>
      </c>
      <c r="D39" s="2" t="s">
        <v>5265</v>
      </c>
      <c r="E39" s="2" t="s">
        <v>310</v>
      </c>
      <c r="F39" s="2"/>
      <c r="G39" s="2"/>
      <c r="H39" s="2" t="s">
        <v>3155</v>
      </c>
      <c r="I39" s="2" t="s">
        <v>5266</v>
      </c>
      <c r="J39" s="2"/>
      <c r="K39" s="2" t="s">
        <v>26</v>
      </c>
      <c r="L39" s="2" t="s">
        <v>5078</v>
      </c>
      <c r="M39" s="2"/>
      <c r="N39" s="2" t="s">
        <v>5108</v>
      </c>
      <c r="O39" s="2" t="s">
        <v>5081</v>
      </c>
      <c r="P39" s="2" t="s">
        <v>5267</v>
      </c>
      <c r="Q39" s="2" t="s">
        <v>5268</v>
      </c>
      <c r="R39" s="2"/>
      <c r="S39" s="2" t="s">
        <v>5269</v>
      </c>
    </row>
    <row r="40" spans="1:19" x14ac:dyDescent="0.2">
      <c r="A40" s="2">
        <v>2422</v>
      </c>
      <c r="B40" s="6" t="s">
        <v>316</v>
      </c>
      <c r="C40" s="2" t="s">
        <v>5270</v>
      </c>
      <c r="D40" s="2" t="s">
        <v>5271</v>
      </c>
      <c r="E40" s="2" t="s">
        <v>319</v>
      </c>
      <c r="F40" s="2"/>
      <c r="G40" s="2"/>
      <c r="H40" s="2" t="s">
        <v>320</v>
      </c>
      <c r="I40" s="2" t="s">
        <v>5272</v>
      </c>
      <c r="J40" s="2"/>
      <c r="K40" s="2" t="s">
        <v>26</v>
      </c>
      <c r="L40" s="2" t="s">
        <v>5078</v>
      </c>
      <c r="M40" s="2" t="s">
        <v>5193</v>
      </c>
      <c r="N40" s="2" t="s">
        <v>5108</v>
      </c>
      <c r="O40" s="2" t="s">
        <v>5081</v>
      </c>
      <c r="P40" s="2" t="s">
        <v>5273</v>
      </c>
      <c r="Q40" s="2" t="s">
        <v>5091</v>
      </c>
      <c r="R40" s="2" t="s">
        <v>5193</v>
      </c>
      <c r="S40" s="2" t="s">
        <v>5274</v>
      </c>
    </row>
    <row r="41" spans="1:19" x14ac:dyDescent="0.2">
      <c r="A41" s="2">
        <v>2423</v>
      </c>
      <c r="B41" s="6" t="s">
        <v>324</v>
      </c>
      <c r="C41" s="2" t="s">
        <v>5275</v>
      </c>
      <c r="D41" s="2" t="s">
        <v>5276</v>
      </c>
      <c r="E41" s="2" t="s">
        <v>327</v>
      </c>
      <c r="F41" s="2"/>
      <c r="G41" s="2"/>
      <c r="H41" s="2" t="s">
        <v>5105</v>
      </c>
      <c r="I41" s="2" t="s">
        <v>5277</v>
      </c>
      <c r="J41" s="2"/>
      <c r="K41" s="2" t="s">
        <v>39</v>
      </c>
      <c r="L41" s="2" t="s">
        <v>5087</v>
      </c>
      <c r="M41" s="2" t="s">
        <v>5128</v>
      </c>
      <c r="N41" s="2" t="s">
        <v>5108</v>
      </c>
      <c r="O41" s="2" t="s">
        <v>5081</v>
      </c>
      <c r="P41" s="2" t="s">
        <v>5278</v>
      </c>
      <c r="Q41" s="2" t="s">
        <v>5091</v>
      </c>
      <c r="R41" s="2" t="s">
        <v>5128</v>
      </c>
      <c r="S41" s="2"/>
    </row>
    <row r="42" spans="1:19" x14ac:dyDescent="0.2">
      <c r="A42" s="2">
        <v>2424</v>
      </c>
      <c r="B42" s="6" t="s">
        <v>330</v>
      </c>
      <c r="C42" s="2" t="s">
        <v>5279</v>
      </c>
      <c r="D42" s="2" t="s">
        <v>5280</v>
      </c>
      <c r="E42" s="2" t="s">
        <v>257</v>
      </c>
      <c r="F42" s="2"/>
      <c r="G42" s="2"/>
      <c r="H42" s="2" t="s">
        <v>333</v>
      </c>
      <c r="I42" s="2" t="s">
        <v>5281</v>
      </c>
      <c r="J42" s="2"/>
      <c r="K42" s="2" t="s">
        <v>26</v>
      </c>
      <c r="L42" s="2" t="s">
        <v>5078</v>
      </c>
      <c r="M42" s="2" t="s">
        <v>5128</v>
      </c>
      <c r="N42" s="2" t="s">
        <v>5108</v>
      </c>
      <c r="O42" s="2" t="s">
        <v>5081</v>
      </c>
      <c r="P42" s="2" t="s">
        <v>5282</v>
      </c>
      <c r="Q42" s="2" t="s">
        <v>5091</v>
      </c>
      <c r="R42" s="2" t="s">
        <v>5283</v>
      </c>
      <c r="S42" s="2"/>
    </row>
    <row r="43" spans="1:19" x14ac:dyDescent="0.2">
      <c r="A43" s="2">
        <v>2425</v>
      </c>
      <c r="B43" s="6" t="s">
        <v>337</v>
      </c>
      <c r="C43" s="2" t="s">
        <v>5284</v>
      </c>
      <c r="D43" s="2" t="s">
        <v>5285</v>
      </c>
      <c r="E43" s="2" t="s">
        <v>340</v>
      </c>
      <c r="F43" s="2"/>
      <c r="G43" s="2"/>
      <c r="H43" s="2" t="s">
        <v>5085</v>
      </c>
      <c r="I43" s="2" t="s">
        <v>5286</v>
      </c>
      <c r="J43" s="2"/>
      <c r="K43" s="2" t="s">
        <v>39</v>
      </c>
      <c r="L43" s="2" t="s">
        <v>5087</v>
      </c>
      <c r="M43" s="2" t="s">
        <v>5193</v>
      </c>
      <c r="N43" s="2" t="s">
        <v>5108</v>
      </c>
      <c r="O43" s="2" t="s">
        <v>5081</v>
      </c>
      <c r="P43" s="2" t="s">
        <v>5287</v>
      </c>
      <c r="Q43" s="2" t="s">
        <v>5268</v>
      </c>
      <c r="R43" s="2" t="s">
        <v>5288</v>
      </c>
      <c r="S43" s="2"/>
    </row>
    <row r="44" spans="1:19" x14ac:dyDescent="0.2">
      <c r="A44" s="2">
        <v>2426</v>
      </c>
      <c r="B44" s="6" t="s">
        <v>344</v>
      </c>
      <c r="C44" s="2" t="s">
        <v>5289</v>
      </c>
      <c r="D44" s="2" t="s">
        <v>5290</v>
      </c>
      <c r="E44" s="2" t="s">
        <v>347</v>
      </c>
      <c r="F44" s="2"/>
      <c r="G44" s="2"/>
      <c r="H44" s="2" t="s">
        <v>5291</v>
      </c>
      <c r="I44" s="2" t="s">
        <v>5292</v>
      </c>
      <c r="J44" s="2"/>
      <c r="K44" s="2" t="s">
        <v>26</v>
      </c>
      <c r="L44" s="2" t="s">
        <v>5078</v>
      </c>
      <c r="M44" s="2" t="s">
        <v>5193</v>
      </c>
      <c r="N44" s="2" t="s">
        <v>5108</v>
      </c>
      <c r="O44" s="2" t="s">
        <v>5081</v>
      </c>
      <c r="P44" s="2" t="s">
        <v>5293</v>
      </c>
      <c r="Q44" s="2" t="s">
        <v>5268</v>
      </c>
      <c r="R44" s="2" t="s">
        <v>5193</v>
      </c>
      <c r="S44" s="2"/>
    </row>
    <row r="45" spans="1:19" x14ac:dyDescent="0.2">
      <c r="A45" s="2">
        <v>2427</v>
      </c>
      <c r="B45" s="6" t="s">
        <v>351</v>
      </c>
      <c r="C45" s="2" t="s">
        <v>5294</v>
      </c>
      <c r="D45" s="2" t="s">
        <v>5295</v>
      </c>
      <c r="E45" s="2" t="s">
        <v>354</v>
      </c>
      <c r="F45" s="2"/>
      <c r="G45" s="2"/>
      <c r="H45" s="2" t="s">
        <v>5227</v>
      </c>
      <c r="I45" s="2" t="s">
        <v>5296</v>
      </c>
      <c r="J45" s="2"/>
      <c r="K45" s="2" t="s">
        <v>39</v>
      </c>
      <c r="L45" s="2" t="s">
        <v>5087</v>
      </c>
      <c r="M45" s="2" t="s">
        <v>5297</v>
      </c>
      <c r="N45" s="2" t="s">
        <v>5108</v>
      </c>
      <c r="O45" s="2" t="s">
        <v>5081</v>
      </c>
      <c r="P45" s="2" t="s">
        <v>5298</v>
      </c>
      <c r="Q45" s="2" t="s">
        <v>5123</v>
      </c>
      <c r="R45" s="2" t="s">
        <v>5297</v>
      </c>
      <c r="S45" s="2"/>
    </row>
    <row r="46" spans="1:19" x14ac:dyDescent="0.2">
      <c r="A46" s="2">
        <v>2428</v>
      </c>
      <c r="B46" s="6" t="s">
        <v>358</v>
      </c>
      <c r="C46" s="2" t="s">
        <v>5299</v>
      </c>
      <c r="D46" s="2" t="s">
        <v>5300</v>
      </c>
      <c r="E46" s="2" t="s">
        <v>34</v>
      </c>
      <c r="F46" s="2"/>
      <c r="G46" s="2"/>
      <c r="H46" s="2" t="s">
        <v>173</v>
      </c>
      <c r="I46" s="2" t="s">
        <v>5301</v>
      </c>
      <c r="J46" s="2"/>
      <c r="K46" s="2" t="s">
        <v>26</v>
      </c>
      <c r="L46" s="2" t="s">
        <v>5078</v>
      </c>
      <c r="M46" s="2" t="s">
        <v>5297</v>
      </c>
      <c r="N46" s="2" t="s">
        <v>5108</v>
      </c>
      <c r="O46" s="2" t="s">
        <v>5081</v>
      </c>
      <c r="P46" s="2" t="s">
        <v>5302</v>
      </c>
      <c r="Q46" s="2"/>
      <c r="R46" s="2" t="s">
        <v>5297</v>
      </c>
      <c r="S46" s="2"/>
    </row>
    <row r="47" spans="1:19" x14ac:dyDescent="0.2">
      <c r="A47" s="2">
        <v>2429</v>
      </c>
      <c r="B47" s="6" t="s">
        <v>363</v>
      </c>
      <c r="C47" s="2" t="s">
        <v>5303</v>
      </c>
      <c r="D47" s="2" t="s">
        <v>5304</v>
      </c>
      <c r="E47" s="2" t="s">
        <v>366</v>
      </c>
      <c r="F47" s="2" t="s">
        <v>367</v>
      </c>
      <c r="G47" s="2" t="s">
        <v>367</v>
      </c>
      <c r="H47" s="2" t="s">
        <v>5305</v>
      </c>
      <c r="I47" s="2" t="s">
        <v>5306</v>
      </c>
      <c r="J47" s="2"/>
      <c r="K47" s="2" t="s">
        <v>39</v>
      </c>
      <c r="L47" s="2" t="s">
        <v>5087</v>
      </c>
      <c r="M47" s="2"/>
      <c r="N47" s="2" t="s">
        <v>5108</v>
      </c>
      <c r="O47" s="2" t="s">
        <v>5081</v>
      </c>
      <c r="P47" s="2" t="s">
        <v>5307</v>
      </c>
      <c r="Q47" s="2" t="s">
        <v>5268</v>
      </c>
      <c r="R47" s="2"/>
      <c r="S47" s="2"/>
    </row>
    <row r="48" spans="1:19" x14ac:dyDescent="0.2">
      <c r="A48" s="2">
        <v>2430</v>
      </c>
      <c r="B48" s="6" t="s">
        <v>371</v>
      </c>
      <c r="C48" s="2" t="s">
        <v>5308</v>
      </c>
      <c r="D48" s="2" t="s">
        <v>5309</v>
      </c>
      <c r="E48" s="2" t="s">
        <v>354</v>
      </c>
      <c r="F48" s="2"/>
      <c r="G48" s="2"/>
      <c r="H48" s="2" t="s">
        <v>5310</v>
      </c>
      <c r="I48" s="2" t="s">
        <v>5311</v>
      </c>
      <c r="J48" s="2"/>
      <c r="K48" s="2" t="s">
        <v>39</v>
      </c>
      <c r="L48" s="2" t="s">
        <v>5087</v>
      </c>
      <c r="M48" s="2"/>
      <c r="N48" s="2" t="s">
        <v>5108</v>
      </c>
      <c r="O48" s="2" t="s">
        <v>5081</v>
      </c>
      <c r="P48" s="2" t="s">
        <v>5160</v>
      </c>
      <c r="Q48" s="2" t="s">
        <v>5235</v>
      </c>
      <c r="R48" s="2"/>
      <c r="S48" s="2"/>
    </row>
    <row r="49" spans="1:19" x14ac:dyDescent="0.2">
      <c r="A49" s="2">
        <v>2431</v>
      </c>
      <c r="B49" s="6" t="s">
        <v>376</v>
      </c>
      <c r="C49" s="2" t="s">
        <v>5312</v>
      </c>
      <c r="D49" s="2" t="s">
        <v>5313</v>
      </c>
      <c r="E49" s="2" t="s">
        <v>379</v>
      </c>
      <c r="F49" s="2"/>
      <c r="G49" s="2"/>
      <c r="H49" s="2" t="s">
        <v>380</v>
      </c>
      <c r="I49" s="2" t="s">
        <v>5314</v>
      </c>
      <c r="J49" s="2"/>
      <c r="K49" s="2" t="s">
        <v>26</v>
      </c>
      <c r="L49" s="2" t="s">
        <v>5078</v>
      </c>
      <c r="M49" s="2"/>
      <c r="N49" s="2" t="s">
        <v>5108</v>
      </c>
      <c r="O49" s="2" t="s">
        <v>5081</v>
      </c>
      <c r="P49" s="2" t="s">
        <v>5315</v>
      </c>
      <c r="Q49" s="2" t="s">
        <v>5316</v>
      </c>
      <c r="R49" s="2"/>
      <c r="S49" s="2"/>
    </row>
    <row r="50" spans="1:19" x14ac:dyDescent="0.2">
      <c r="A50" s="2">
        <v>2432</v>
      </c>
      <c r="B50" s="6" t="s">
        <v>384</v>
      </c>
      <c r="C50" s="2" t="s">
        <v>5317</v>
      </c>
      <c r="D50" s="2" t="s">
        <v>5318</v>
      </c>
      <c r="E50" s="2" t="s">
        <v>291</v>
      </c>
      <c r="F50" s="2"/>
      <c r="G50" s="2"/>
      <c r="H50" s="2" t="s">
        <v>5085</v>
      </c>
      <c r="I50" s="2" t="s">
        <v>5233</v>
      </c>
      <c r="J50" s="2"/>
      <c r="K50" s="2" t="s">
        <v>39</v>
      </c>
      <c r="L50" s="2" t="s">
        <v>5087</v>
      </c>
      <c r="M50" s="2" t="s">
        <v>5167</v>
      </c>
      <c r="N50" s="2" t="s">
        <v>5108</v>
      </c>
      <c r="O50" s="2" t="s">
        <v>5081</v>
      </c>
      <c r="P50" s="2" t="s">
        <v>5319</v>
      </c>
      <c r="Q50" s="2" t="s">
        <v>5320</v>
      </c>
      <c r="R50" s="2" t="s">
        <v>5167</v>
      </c>
      <c r="S50" s="2" t="s">
        <v>5321</v>
      </c>
    </row>
    <row r="51" spans="1:19" x14ac:dyDescent="0.2">
      <c r="A51" s="2">
        <v>354</v>
      </c>
      <c r="B51" s="6" t="s">
        <v>389</v>
      </c>
      <c r="C51" s="2" t="s">
        <v>5322</v>
      </c>
      <c r="D51" s="2" t="s">
        <v>5323</v>
      </c>
      <c r="E51" s="2" t="s">
        <v>392</v>
      </c>
      <c r="F51" s="2" t="s">
        <v>392</v>
      </c>
      <c r="G51" s="2" t="s">
        <v>392</v>
      </c>
      <c r="H51" s="2" t="s">
        <v>393</v>
      </c>
      <c r="I51" s="2" t="s">
        <v>394</v>
      </c>
      <c r="J51" s="2"/>
      <c r="K51" s="2" t="s">
        <v>26</v>
      </c>
      <c r="L51" s="2" t="s">
        <v>5078</v>
      </c>
      <c r="M51" s="2" t="s">
        <v>5324</v>
      </c>
      <c r="N51" s="2" t="s">
        <v>5325</v>
      </c>
      <c r="O51" s="2" t="s">
        <v>5326</v>
      </c>
      <c r="P51" s="2" t="s">
        <v>5327</v>
      </c>
      <c r="Q51" s="2"/>
      <c r="R51" s="2" t="s">
        <v>5324</v>
      </c>
      <c r="S51" s="2"/>
    </row>
    <row r="52" spans="1:19" x14ac:dyDescent="0.2">
      <c r="A52" s="2">
        <v>355</v>
      </c>
      <c r="B52" s="6" t="s">
        <v>399</v>
      </c>
      <c r="C52" s="2" t="s">
        <v>5328</v>
      </c>
      <c r="D52" s="2" t="s">
        <v>5329</v>
      </c>
      <c r="E52" s="2" t="s">
        <v>402</v>
      </c>
      <c r="F52" s="2" t="s">
        <v>403</v>
      </c>
      <c r="G52" s="2" t="s">
        <v>403</v>
      </c>
      <c r="H52" s="2" t="s">
        <v>393</v>
      </c>
      <c r="I52" s="2" t="s">
        <v>404</v>
      </c>
      <c r="J52" s="2"/>
      <c r="K52" s="2" t="s">
        <v>26</v>
      </c>
      <c r="L52" s="2" t="s">
        <v>5078</v>
      </c>
      <c r="M52" s="2" t="s">
        <v>5079</v>
      </c>
      <c r="N52" s="2" t="s">
        <v>5325</v>
      </c>
      <c r="O52" s="2" t="s">
        <v>5330</v>
      </c>
      <c r="P52" s="2" t="s">
        <v>5331</v>
      </c>
      <c r="Q52" s="2" t="s">
        <v>5091</v>
      </c>
      <c r="R52" s="2" t="s">
        <v>5079</v>
      </c>
      <c r="S52" s="2"/>
    </row>
    <row r="53" spans="1:19" x14ac:dyDescent="0.2">
      <c r="A53" s="2">
        <v>356</v>
      </c>
      <c r="B53" s="6" t="s">
        <v>407</v>
      </c>
      <c r="C53" s="2" t="s">
        <v>5332</v>
      </c>
      <c r="D53" s="2" t="s">
        <v>5333</v>
      </c>
      <c r="E53" s="2" t="s">
        <v>410</v>
      </c>
      <c r="F53" s="2" t="s">
        <v>410</v>
      </c>
      <c r="G53" s="2" t="s">
        <v>410</v>
      </c>
      <c r="H53" s="2" t="s">
        <v>393</v>
      </c>
      <c r="I53" s="2" t="s">
        <v>411</v>
      </c>
      <c r="J53" s="2"/>
      <c r="K53" s="2" t="s">
        <v>412</v>
      </c>
      <c r="L53" s="2" t="s">
        <v>5334</v>
      </c>
      <c r="M53" s="2" t="s">
        <v>5100</v>
      </c>
      <c r="N53" s="2" t="s">
        <v>5325</v>
      </c>
      <c r="O53" s="2" t="s">
        <v>5335</v>
      </c>
      <c r="P53" s="2" t="s">
        <v>5336</v>
      </c>
      <c r="Q53" s="2" t="s">
        <v>5224</v>
      </c>
      <c r="R53" s="2" t="s">
        <v>5100</v>
      </c>
      <c r="S53" s="2" t="s">
        <v>5236</v>
      </c>
    </row>
    <row r="54" spans="1:19" x14ac:dyDescent="0.2">
      <c r="A54" s="2">
        <v>357</v>
      </c>
      <c r="B54" s="6" t="s">
        <v>415</v>
      </c>
      <c r="C54" s="2" t="s">
        <v>5337</v>
      </c>
      <c r="D54" s="2" t="s">
        <v>5338</v>
      </c>
      <c r="E54" s="2" t="s">
        <v>410</v>
      </c>
      <c r="F54" s="2" t="s">
        <v>410</v>
      </c>
      <c r="G54" s="2" t="s">
        <v>410</v>
      </c>
      <c r="H54" s="2" t="s">
        <v>393</v>
      </c>
      <c r="I54" s="2" t="s">
        <v>5339</v>
      </c>
      <c r="J54" s="2"/>
      <c r="K54" s="2" t="s">
        <v>39</v>
      </c>
      <c r="L54" s="2" t="s">
        <v>5087</v>
      </c>
      <c r="M54" s="2" t="s">
        <v>5100</v>
      </c>
      <c r="N54" s="2" t="s">
        <v>5325</v>
      </c>
      <c r="O54" s="2" t="s">
        <v>5330</v>
      </c>
      <c r="P54" s="2" t="s">
        <v>5340</v>
      </c>
      <c r="Q54" s="2" t="s">
        <v>5341</v>
      </c>
      <c r="R54" s="2" t="s">
        <v>5100</v>
      </c>
      <c r="S54" s="2" t="s">
        <v>5230</v>
      </c>
    </row>
    <row r="55" spans="1:19" x14ac:dyDescent="0.2">
      <c r="A55" s="2">
        <v>358</v>
      </c>
      <c r="B55" s="6" t="s">
        <v>421</v>
      </c>
      <c r="C55" s="2" t="s">
        <v>5342</v>
      </c>
      <c r="D55" s="2" t="s">
        <v>5343</v>
      </c>
      <c r="E55" s="2" t="s">
        <v>424</v>
      </c>
      <c r="F55" s="2"/>
      <c r="G55" s="2"/>
      <c r="H55" s="2" t="s">
        <v>393</v>
      </c>
      <c r="I55" s="2" t="s">
        <v>5344</v>
      </c>
      <c r="J55" s="2"/>
      <c r="K55" s="2" t="s">
        <v>426</v>
      </c>
      <c r="L55" s="2" t="s">
        <v>5345</v>
      </c>
      <c r="M55" s="2" t="s">
        <v>5079</v>
      </c>
      <c r="N55" s="2" t="s">
        <v>5325</v>
      </c>
      <c r="O55" s="2" t="s">
        <v>5335</v>
      </c>
      <c r="P55" s="2" t="s">
        <v>5346</v>
      </c>
      <c r="Q55" s="2" t="s">
        <v>5091</v>
      </c>
      <c r="R55" s="2" t="s">
        <v>5079</v>
      </c>
      <c r="S55" s="2"/>
    </row>
    <row r="56" spans="1:19" x14ac:dyDescent="0.2">
      <c r="A56" s="2">
        <v>359</v>
      </c>
      <c r="B56" s="6" t="s">
        <v>428</v>
      </c>
      <c r="C56" s="2" t="s">
        <v>5347</v>
      </c>
      <c r="D56" s="2" t="s">
        <v>5348</v>
      </c>
      <c r="E56" s="2" t="s">
        <v>431</v>
      </c>
      <c r="F56" s="2"/>
      <c r="G56" s="2"/>
      <c r="H56" s="2" t="s">
        <v>393</v>
      </c>
      <c r="I56" s="2" t="s">
        <v>432</v>
      </c>
      <c r="J56" s="2"/>
      <c r="K56" s="2" t="s">
        <v>426</v>
      </c>
      <c r="L56" s="2" t="s">
        <v>5345</v>
      </c>
      <c r="M56" s="2" t="s">
        <v>5079</v>
      </c>
      <c r="N56" s="2" t="s">
        <v>5325</v>
      </c>
      <c r="O56" s="2" t="s">
        <v>5330</v>
      </c>
      <c r="P56" s="2" t="s">
        <v>5349</v>
      </c>
      <c r="Q56" s="2" t="s">
        <v>5091</v>
      </c>
      <c r="R56" s="2" t="s">
        <v>5079</v>
      </c>
      <c r="S56" s="2"/>
    </row>
    <row r="57" spans="1:19" x14ac:dyDescent="0.2">
      <c r="A57" s="2">
        <v>361</v>
      </c>
      <c r="B57" s="6" t="s">
        <v>434</v>
      </c>
      <c r="C57" s="2" t="s">
        <v>5350</v>
      </c>
      <c r="D57" s="2" t="s">
        <v>5351</v>
      </c>
      <c r="E57" s="2" t="s">
        <v>437</v>
      </c>
      <c r="F57" s="2" t="s">
        <v>437</v>
      </c>
      <c r="G57" s="2" t="s">
        <v>437</v>
      </c>
      <c r="H57" s="2" t="s">
        <v>393</v>
      </c>
      <c r="I57" s="2" t="s">
        <v>438</v>
      </c>
      <c r="J57" s="2"/>
      <c r="K57" s="2" t="s">
        <v>412</v>
      </c>
      <c r="L57" s="2" t="s">
        <v>5334</v>
      </c>
      <c r="M57" s="2" t="s">
        <v>5352</v>
      </c>
      <c r="N57" s="2" t="s">
        <v>5325</v>
      </c>
      <c r="O57" s="2" t="s">
        <v>5330</v>
      </c>
      <c r="P57" s="2" t="s">
        <v>5353</v>
      </c>
      <c r="Q57" s="2" t="s">
        <v>5091</v>
      </c>
      <c r="R57" s="2" t="s">
        <v>5352</v>
      </c>
      <c r="S57" s="2" t="s">
        <v>5354</v>
      </c>
    </row>
    <row r="58" spans="1:19" x14ac:dyDescent="0.2">
      <c r="A58" s="2">
        <v>362</v>
      </c>
      <c r="B58" s="6" t="s">
        <v>442</v>
      </c>
      <c r="C58" s="2" t="s">
        <v>5355</v>
      </c>
      <c r="D58" s="2" t="s">
        <v>5356</v>
      </c>
      <c r="E58" s="2" t="s">
        <v>445</v>
      </c>
      <c r="F58" s="2"/>
      <c r="G58" s="2"/>
      <c r="H58" s="2" t="s">
        <v>393</v>
      </c>
      <c r="I58" s="2" t="s">
        <v>5357</v>
      </c>
      <c r="J58" s="2"/>
      <c r="K58" s="2" t="s">
        <v>39</v>
      </c>
      <c r="L58" s="2" t="s">
        <v>5087</v>
      </c>
      <c r="M58" s="2" t="s">
        <v>5088</v>
      </c>
      <c r="N58" s="2" t="s">
        <v>5325</v>
      </c>
      <c r="O58" s="2" t="s">
        <v>5335</v>
      </c>
      <c r="P58" s="2" t="s">
        <v>5358</v>
      </c>
      <c r="Q58" s="2" t="s">
        <v>5091</v>
      </c>
      <c r="R58" s="2" t="s">
        <v>5088</v>
      </c>
      <c r="S58" s="2"/>
    </row>
    <row r="59" spans="1:19" x14ac:dyDescent="0.2">
      <c r="A59" s="2">
        <v>363</v>
      </c>
      <c r="B59" s="6" t="s">
        <v>448</v>
      </c>
      <c r="C59" s="2" t="s">
        <v>5359</v>
      </c>
      <c r="D59" s="2" t="s">
        <v>5360</v>
      </c>
      <c r="E59" s="2" t="s">
        <v>451</v>
      </c>
      <c r="F59" s="2" t="s">
        <v>452</v>
      </c>
      <c r="G59" s="2" t="s">
        <v>452</v>
      </c>
      <c r="H59" s="2" t="s">
        <v>393</v>
      </c>
      <c r="I59" s="2" t="s">
        <v>453</v>
      </c>
      <c r="J59" s="2"/>
      <c r="K59" s="2" t="s">
        <v>39</v>
      </c>
      <c r="L59" s="2" t="s">
        <v>5087</v>
      </c>
      <c r="M59" s="2" t="s">
        <v>5361</v>
      </c>
      <c r="N59" s="2" t="s">
        <v>5325</v>
      </c>
      <c r="O59" s="2" t="s">
        <v>5362</v>
      </c>
      <c r="P59" s="2" t="s">
        <v>5363</v>
      </c>
      <c r="Q59" s="2" t="s">
        <v>5091</v>
      </c>
      <c r="R59" s="2" t="s">
        <v>5364</v>
      </c>
      <c r="S59" s="2"/>
    </row>
    <row r="60" spans="1:19" x14ac:dyDescent="0.2">
      <c r="A60" s="2">
        <v>364</v>
      </c>
      <c r="B60" s="6" t="s">
        <v>458</v>
      </c>
      <c r="C60" s="2" t="s">
        <v>5365</v>
      </c>
      <c r="D60" s="2" t="s">
        <v>5366</v>
      </c>
      <c r="E60" s="2" t="s">
        <v>403</v>
      </c>
      <c r="F60" s="2"/>
      <c r="G60" s="2"/>
      <c r="H60" s="2" t="s">
        <v>393</v>
      </c>
      <c r="I60" s="2" t="s">
        <v>453</v>
      </c>
      <c r="J60" s="2"/>
      <c r="K60" s="2" t="s">
        <v>26</v>
      </c>
      <c r="L60" s="2" t="s">
        <v>5078</v>
      </c>
      <c r="M60" s="2" t="s">
        <v>5367</v>
      </c>
      <c r="N60" s="2" t="s">
        <v>5325</v>
      </c>
      <c r="O60" s="2" t="s">
        <v>5362</v>
      </c>
      <c r="P60" s="2" t="s">
        <v>5368</v>
      </c>
      <c r="Q60" s="2" t="s">
        <v>5091</v>
      </c>
      <c r="R60" s="2" t="s">
        <v>5367</v>
      </c>
      <c r="S60" s="2"/>
    </row>
    <row r="61" spans="1:19" x14ac:dyDescent="0.2">
      <c r="A61" s="2">
        <v>368</v>
      </c>
      <c r="B61" s="6" t="s">
        <v>463</v>
      </c>
      <c r="C61" s="2" t="s">
        <v>5369</v>
      </c>
      <c r="D61" s="2" t="s">
        <v>5370</v>
      </c>
      <c r="E61" s="2" t="s">
        <v>466</v>
      </c>
      <c r="F61" s="2" t="s">
        <v>467</v>
      </c>
      <c r="G61" s="2" t="s">
        <v>467</v>
      </c>
      <c r="H61" s="2" t="s">
        <v>393</v>
      </c>
      <c r="I61" s="2" t="s">
        <v>5371</v>
      </c>
      <c r="J61" s="2" t="s">
        <v>5372</v>
      </c>
      <c r="K61" s="2" t="s">
        <v>39</v>
      </c>
      <c r="L61" s="2" t="s">
        <v>5087</v>
      </c>
      <c r="M61" s="2"/>
      <c r="N61" s="2" t="s">
        <v>5325</v>
      </c>
      <c r="O61" s="2" t="s">
        <v>5326</v>
      </c>
      <c r="P61" s="2" t="s">
        <v>5373</v>
      </c>
      <c r="Q61" s="2" t="s">
        <v>5374</v>
      </c>
      <c r="R61" s="2"/>
      <c r="S61" s="2"/>
    </row>
    <row r="62" spans="1:19" x14ac:dyDescent="0.2">
      <c r="A62" s="2">
        <v>369</v>
      </c>
      <c r="B62" s="6" t="s">
        <v>473</v>
      </c>
      <c r="C62" s="2" t="s">
        <v>5375</v>
      </c>
      <c r="D62" s="2" t="s">
        <v>5376</v>
      </c>
      <c r="E62" s="2" t="s">
        <v>476</v>
      </c>
      <c r="F62" s="2"/>
      <c r="G62" s="2"/>
      <c r="H62" s="2" t="s">
        <v>393</v>
      </c>
      <c r="I62" s="2" t="s">
        <v>5377</v>
      </c>
      <c r="J62" s="2"/>
      <c r="K62" s="2" t="s">
        <v>39</v>
      </c>
      <c r="L62" s="2" t="s">
        <v>5087</v>
      </c>
      <c r="M62" s="2"/>
      <c r="N62" s="2" t="s">
        <v>5325</v>
      </c>
      <c r="O62" s="2" t="s">
        <v>5330</v>
      </c>
      <c r="P62" s="2" t="s">
        <v>5378</v>
      </c>
      <c r="Q62" s="2" t="s">
        <v>5379</v>
      </c>
      <c r="R62" s="2"/>
      <c r="S62" s="2"/>
    </row>
    <row r="63" spans="1:19" x14ac:dyDescent="0.2">
      <c r="A63" s="2">
        <v>370</v>
      </c>
      <c r="B63" s="6" t="s">
        <v>480</v>
      </c>
      <c r="C63" s="2" t="s">
        <v>5380</v>
      </c>
      <c r="D63" s="2" t="s">
        <v>5381</v>
      </c>
      <c r="E63" s="2" t="s">
        <v>483</v>
      </c>
      <c r="F63" s="2" t="s">
        <v>483</v>
      </c>
      <c r="G63" s="2" t="s">
        <v>483</v>
      </c>
      <c r="H63" s="2" t="s">
        <v>393</v>
      </c>
      <c r="I63" s="2" t="s">
        <v>484</v>
      </c>
      <c r="J63" s="2" t="s">
        <v>5085</v>
      </c>
      <c r="K63" s="2" t="s">
        <v>39</v>
      </c>
      <c r="L63" s="2" t="s">
        <v>5087</v>
      </c>
      <c r="M63" s="2"/>
      <c r="N63" s="2" t="s">
        <v>5325</v>
      </c>
      <c r="O63" s="2" t="s">
        <v>5362</v>
      </c>
      <c r="P63" s="2" t="s">
        <v>5382</v>
      </c>
      <c r="Q63" s="2" t="s">
        <v>5383</v>
      </c>
      <c r="R63" s="2"/>
      <c r="S63" s="2"/>
    </row>
    <row r="64" spans="1:19" x14ac:dyDescent="0.2">
      <c r="A64" s="2">
        <v>360</v>
      </c>
      <c r="B64" s="6" t="s">
        <v>487</v>
      </c>
      <c r="C64" s="2" t="s">
        <v>5384</v>
      </c>
      <c r="D64" s="2" t="s">
        <v>5385</v>
      </c>
      <c r="E64" s="2" t="s">
        <v>490</v>
      </c>
      <c r="F64" s="2"/>
      <c r="G64" s="2"/>
      <c r="H64" s="2" t="s">
        <v>393</v>
      </c>
      <c r="I64" s="2" t="s">
        <v>491</v>
      </c>
      <c r="J64" s="2" t="s">
        <v>5386</v>
      </c>
      <c r="K64" s="2" t="s">
        <v>493</v>
      </c>
      <c r="L64" s="2" t="s">
        <v>5387</v>
      </c>
      <c r="M64" s="2" t="s">
        <v>5100</v>
      </c>
      <c r="N64" s="2" t="s">
        <v>5325</v>
      </c>
      <c r="O64" s="2" t="s">
        <v>5330</v>
      </c>
      <c r="P64" s="2" t="s">
        <v>5388</v>
      </c>
      <c r="Q64" s="2"/>
      <c r="R64" s="2" t="s">
        <v>5100</v>
      </c>
      <c r="S64" s="2" t="s">
        <v>5389</v>
      </c>
    </row>
    <row r="65" spans="1:19" x14ac:dyDescent="0.2">
      <c r="A65" s="2">
        <v>365</v>
      </c>
      <c r="B65" s="6" t="s">
        <v>496</v>
      </c>
      <c r="C65" s="2" t="s">
        <v>5390</v>
      </c>
      <c r="D65" s="2" t="s">
        <v>5391</v>
      </c>
      <c r="E65" s="2" t="s">
        <v>410</v>
      </c>
      <c r="F65" s="2"/>
      <c r="G65" s="2"/>
      <c r="H65" s="2" t="s">
        <v>393</v>
      </c>
      <c r="I65" s="2" t="s">
        <v>453</v>
      </c>
      <c r="J65" s="2"/>
      <c r="K65" s="2" t="s">
        <v>26</v>
      </c>
      <c r="L65" s="2" t="s">
        <v>5078</v>
      </c>
      <c r="M65" s="2" t="s">
        <v>5361</v>
      </c>
      <c r="N65" s="2" t="s">
        <v>5325</v>
      </c>
      <c r="O65" s="2" t="s">
        <v>5392</v>
      </c>
      <c r="P65" s="2" t="s">
        <v>5393</v>
      </c>
      <c r="Q65" s="2" t="s">
        <v>5091</v>
      </c>
      <c r="R65" s="2" t="s">
        <v>5394</v>
      </c>
      <c r="S65" s="2"/>
    </row>
    <row r="66" spans="1:19" x14ac:dyDescent="0.2">
      <c r="A66" s="2">
        <v>371</v>
      </c>
      <c r="B66" s="6" t="s">
        <v>503</v>
      </c>
      <c r="C66" s="2" t="s">
        <v>5395</v>
      </c>
      <c r="D66" s="2" t="s">
        <v>5396</v>
      </c>
      <c r="E66" s="2" t="s">
        <v>506</v>
      </c>
      <c r="F66" s="2" t="s">
        <v>506</v>
      </c>
      <c r="G66" s="2" t="s">
        <v>506</v>
      </c>
      <c r="H66" s="2" t="s">
        <v>393</v>
      </c>
      <c r="I66" s="2" t="s">
        <v>5397</v>
      </c>
      <c r="J66" s="2"/>
      <c r="K66" s="2" t="s">
        <v>39</v>
      </c>
      <c r="L66" s="2" t="s">
        <v>5087</v>
      </c>
      <c r="M66" s="2" t="s">
        <v>5079</v>
      </c>
      <c r="N66" s="2" t="s">
        <v>5325</v>
      </c>
      <c r="O66" s="2" t="s">
        <v>5081</v>
      </c>
      <c r="P66" s="2" t="s">
        <v>5398</v>
      </c>
      <c r="Q66" s="2" t="s">
        <v>5399</v>
      </c>
      <c r="R66" s="2" t="s">
        <v>5079</v>
      </c>
      <c r="S66" s="2"/>
    </row>
    <row r="67" spans="1:19" x14ac:dyDescent="0.2">
      <c r="A67" s="2">
        <v>1450</v>
      </c>
      <c r="B67" s="6" t="s">
        <v>510</v>
      </c>
      <c r="C67" s="2" t="s">
        <v>5400</v>
      </c>
      <c r="D67" s="2" t="s">
        <v>5401</v>
      </c>
      <c r="E67" s="2" t="s">
        <v>513</v>
      </c>
      <c r="F67" s="2" t="s">
        <v>514</v>
      </c>
      <c r="G67" s="2" t="s">
        <v>514</v>
      </c>
      <c r="H67" s="2" t="s">
        <v>393</v>
      </c>
      <c r="I67" s="2" t="s">
        <v>515</v>
      </c>
      <c r="J67" s="2"/>
      <c r="K67" s="2" t="s">
        <v>26</v>
      </c>
      <c r="L67" s="2" t="s">
        <v>5078</v>
      </c>
      <c r="M67" s="2"/>
      <c r="N67" s="2" t="s">
        <v>5325</v>
      </c>
      <c r="O67" s="2" t="s">
        <v>5081</v>
      </c>
      <c r="P67" s="2" t="s">
        <v>5402</v>
      </c>
      <c r="Q67" s="2" t="s">
        <v>5403</v>
      </c>
      <c r="R67" s="2"/>
      <c r="S67" s="2" t="s">
        <v>5404</v>
      </c>
    </row>
    <row r="68" spans="1:19" x14ac:dyDescent="0.2">
      <c r="A68" s="2">
        <v>1451</v>
      </c>
      <c r="B68" s="6" t="s">
        <v>519</v>
      </c>
      <c r="C68" s="2" t="s">
        <v>5405</v>
      </c>
      <c r="D68" s="2" t="s">
        <v>5406</v>
      </c>
      <c r="E68" s="2" t="s">
        <v>522</v>
      </c>
      <c r="F68" s="2" t="s">
        <v>523</v>
      </c>
      <c r="G68" s="2" t="s">
        <v>523</v>
      </c>
      <c r="H68" s="2" t="s">
        <v>393</v>
      </c>
      <c r="I68" s="2" t="s">
        <v>5407</v>
      </c>
      <c r="J68" s="2"/>
      <c r="K68" s="2" t="s">
        <v>39</v>
      </c>
      <c r="L68" s="2" t="s">
        <v>5087</v>
      </c>
      <c r="M68" s="2" t="s">
        <v>5079</v>
      </c>
      <c r="N68" s="2" t="s">
        <v>5325</v>
      </c>
      <c r="O68" s="2" t="s">
        <v>5330</v>
      </c>
      <c r="P68" s="2" t="s">
        <v>5408</v>
      </c>
      <c r="Q68" s="2" t="s">
        <v>5409</v>
      </c>
      <c r="R68" s="2" t="s">
        <v>5079</v>
      </c>
      <c r="S68" s="2"/>
    </row>
    <row r="69" spans="1:19" x14ac:dyDescent="0.2">
      <c r="A69" s="2">
        <v>1453</v>
      </c>
      <c r="B69" s="6" t="s">
        <v>528</v>
      </c>
      <c r="C69" s="2" t="s">
        <v>5410</v>
      </c>
      <c r="D69" s="2" t="s">
        <v>5411</v>
      </c>
      <c r="E69" s="2" t="s">
        <v>531</v>
      </c>
      <c r="F69" s="2" t="s">
        <v>531</v>
      </c>
      <c r="G69" s="2" t="s">
        <v>531</v>
      </c>
      <c r="H69" s="2" t="s">
        <v>393</v>
      </c>
      <c r="I69" s="2" t="s">
        <v>5412</v>
      </c>
      <c r="J69" s="2"/>
      <c r="K69" s="2" t="s">
        <v>493</v>
      </c>
      <c r="L69" s="2" t="s">
        <v>5387</v>
      </c>
      <c r="M69" s="2"/>
      <c r="N69" s="2" t="s">
        <v>5325</v>
      </c>
      <c r="O69" s="2" t="s">
        <v>5330</v>
      </c>
      <c r="P69" s="2" t="s">
        <v>5413</v>
      </c>
      <c r="Q69" s="2" t="s">
        <v>5235</v>
      </c>
      <c r="R69" s="2"/>
      <c r="S69" s="2"/>
    </row>
    <row r="70" spans="1:19" x14ac:dyDescent="0.2">
      <c r="A70" s="2">
        <v>1454</v>
      </c>
      <c r="B70" s="6" t="s">
        <v>534</v>
      </c>
      <c r="C70" s="2" t="s">
        <v>5414</v>
      </c>
      <c r="D70" s="2" t="s">
        <v>5415</v>
      </c>
      <c r="E70" s="2" t="s">
        <v>476</v>
      </c>
      <c r="F70" s="2" t="s">
        <v>537</v>
      </c>
      <c r="G70" s="2" t="s">
        <v>537</v>
      </c>
      <c r="H70" s="2" t="s">
        <v>393</v>
      </c>
      <c r="I70" s="2" t="s">
        <v>538</v>
      </c>
      <c r="J70" s="2"/>
      <c r="K70" s="2" t="s">
        <v>26</v>
      </c>
      <c r="L70" s="2" t="s">
        <v>5078</v>
      </c>
      <c r="M70" s="2" t="s">
        <v>5079</v>
      </c>
      <c r="N70" s="2" t="s">
        <v>5325</v>
      </c>
      <c r="O70" s="2" t="s">
        <v>5362</v>
      </c>
      <c r="P70" s="2" t="s">
        <v>5416</v>
      </c>
      <c r="Q70" s="2" t="s">
        <v>5417</v>
      </c>
      <c r="R70" s="2" t="s">
        <v>5079</v>
      </c>
      <c r="S70" s="2"/>
    </row>
    <row r="71" spans="1:19" x14ac:dyDescent="0.2">
      <c r="A71" s="2">
        <v>428</v>
      </c>
      <c r="B71" s="6" t="s">
        <v>542</v>
      </c>
      <c r="C71" s="2" t="s">
        <v>5418</v>
      </c>
      <c r="D71" s="2" t="s">
        <v>5419</v>
      </c>
      <c r="E71" s="2" t="s">
        <v>545</v>
      </c>
      <c r="F71" s="2" t="s">
        <v>546</v>
      </c>
      <c r="G71" s="2" t="s">
        <v>545</v>
      </c>
      <c r="H71" s="2" t="s">
        <v>393</v>
      </c>
      <c r="I71" s="2" t="s">
        <v>5420</v>
      </c>
      <c r="J71" s="2"/>
      <c r="K71" s="2" t="s">
        <v>426</v>
      </c>
      <c r="L71" s="2" t="s">
        <v>5345</v>
      </c>
      <c r="M71" s="2"/>
      <c r="N71" s="2" t="s">
        <v>5325</v>
      </c>
      <c r="O71" s="2" t="s">
        <v>5326</v>
      </c>
      <c r="P71" s="2" t="s">
        <v>5421</v>
      </c>
      <c r="Q71" s="2"/>
      <c r="R71" s="2"/>
      <c r="S71" s="2"/>
    </row>
    <row r="72" spans="1:19" x14ac:dyDescent="0.2">
      <c r="A72" s="2">
        <v>429</v>
      </c>
      <c r="B72" s="6" t="s">
        <v>549</v>
      </c>
      <c r="C72" s="2" t="s">
        <v>5422</v>
      </c>
      <c r="D72" s="2" t="s">
        <v>5423</v>
      </c>
      <c r="E72" s="2" t="s">
        <v>552</v>
      </c>
      <c r="F72" s="2"/>
      <c r="G72" s="2"/>
      <c r="H72" s="2" t="s">
        <v>393</v>
      </c>
      <c r="I72" s="2" t="s">
        <v>553</v>
      </c>
      <c r="J72" s="2"/>
      <c r="K72" s="2" t="s">
        <v>26</v>
      </c>
      <c r="L72" s="2" t="s">
        <v>5078</v>
      </c>
      <c r="M72" s="2" t="s">
        <v>5079</v>
      </c>
      <c r="N72" s="2" t="s">
        <v>5325</v>
      </c>
      <c r="O72" s="2" t="s">
        <v>5326</v>
      </c>
      <c r="P72" s="2" t="s">
        <v>5424</v>
      </c>
      <c r="Q72" s="2" t="s">
        <v>5091</v>
      </c>
      <c r="R72" s="2" t="s">
        <v>5079</v>
      </c>
      <c r="S72" s="2"/>
    </row>
    <row r="73" spans="1:19" x14ac:dyDescent="0.2">
      <c r="A73" s="2">
        <v>430</v>
      </c>
      <c r="B73" s="6" t="s">
        <v>555</v>
      </c>
      <c r="C73" s="2" t="s">
        <v>5425</v>
      </c>
      <c r="D73" s="2" t="s">
        <v>5426</v>
      </c>
      <c r="E73" s="2" t="s">
        <v>558</v>
      </c>
      <c r="F73" s="2" t="s">
        <v>558</v>
      </c>
      <c r="G73" s="2" t="s">
        <v>558</v>
      </c>
      <c r="H73" s="2" t="s">
        <v>393</v>
      </c>
      <c r="I73" s="2" t="s">
        <v>5427</v>
      </c>
      <c r="J73" s="2"/>
      <c r="K73" s="2" t="s">
        <v>39</v>
      </c>
      <c r="L73" s="2" t="s">
        <v>5087</v>
      </c>
      <c r="M73" s="2"/>
      <c r="N73" s="2" t="s">
        <v>5325</v>
      </c>
      <c r="O73" s="2" t="s">
        <v>5326</v>
      </c>
      <c r="P73" s="2" t="s">
        <v>5428</v>
      </c>
      <c r="Q73" s="2" t="s">
        <v>5091</v>
      </c>
      <c r="R73" s="2"/>
      <c r="S73" s="2"/>
    </row>
    <row r="74" spans="1:19" x14ac:dyDescent="0.2">
      <c r="A74" s="2">
        <v>431</v>
      </c>
      <c r="B74" s="6" t="s">
        <v>561</v>
      </c>
      <c r="C74" s="2" t="s">
        <v>5429</v>
      </c>
      <c r="D74" s="2" t="s">
        <v>5430</v>
      </c>
      <c r="E74" s="2" t="s">
        <v>564</v>
      </c>
      <c r="F74" s="2" t="s">
        <v>564</v>
      </c>
      <c r="G74" s="2" t="s">
        <v>564</v>
      </c>
      <c r="H74" s="2" t="s">
        <v>393</v>
      </c>
      <c r="I74" s="2" t="s">
        <v>5427</v>
      </c>
      <c r="J74" s="2"/>
      <c r="K74" s="2" t="s">
        <v>39</v>
      </c>
      <c r="L74" s="2" t="s">
        <v>5087</v>
      </c>
      <c r="M74" s="2" t="s">
        <v>5100</v>
      </c>
      <c r="N74" s="2" t="s">
        <v>5325</v>
      </c>
      <c r="O74" s="2" t="s">
        <v>5326</v>
      </c>
      <c r="P74" s="2" t="s">
        <v>5431</v>
      </c>
      <c r="Q74" s="2" t="s">
        <v>5224</v>
      </c>
      <c r="R74" s="2" t="s">
        <v>5100</v>
      </c>
      <c r="S74" s="2" t="s">
        <v>5230</v>
      </c>
    </row>
    <row r="75" spans="1:19" x14ac:dyDescent="0.2">
      <c r="A75" s="2">
        <v>438</v>
      </c>
      <c r="B75" s="6" t="s">
        <v>566</v>
      </c>
      <c r="C75" s="2" t="s">
        <v>5432</v>
      </c>
      <c r="D75" s="2" t="s">
        <v>5433</v>
      </c>
      <c r="E75" s="2" t="s">
        <v>569</v>
      </c>
      <c r="F75" s="2"/>
      <c r="G75" s="2"/>
      <c r="H75" s="2" t="s">
        <v>393</v>
      </c>
      <c r="I75" s="2" t="s">
        <v>570</v>
      </c>
      <c r="J75" s="2"/>
      <c r="K75" s="2" t="s">
        <v>26</v>
      </c>
      <c r="L75" s="2" t="s">
        <v>5078</v>
      </c>
      <c r="M75" s="2"/>
      <c r="N75" s="2" t="s">
        <v>5325</v>
      </c>
      <c r="O75" s="2" t="s">
        <v>5335</v>
      </c>
      <c r="P75" s="2" t="s">
        <v>5434</v>
      </c>
      <c r="Q75" s="2" t="s">
        <v>5091</v>
      </c>
      <c r="R75" s="2"/>
      <c r="S75" s="2"/>
    </row>
    <row r="76" spans="1:19" x14ac:dyDescent="0.2">
      <c r="A76" s="2">
        <v>440</v>
      </c>
      <c r="B76" s="6" t="s">
        <v>572</v>
      </c>
      <c r="C76" s="2" t="s">
        <v>5435</v>
      </c>
      <c r="D76" s="2" t="s">
        <v>5436</v>
      </c>
      <c r="E76" s="2" t="s">
        <v>575</v>
      </c>
      <c r="F76" s="2"/>
      <c r="G76" s="2"/>
      <c r="H76" s="2" t="s">
        <v>393</v>
      </c>
      <c r="I76" s="2" t="s">
        <v>576</v>
      </c>
      <c r="J76" s="2" t="s">
        <v>5386</v>
      </c>
      <c r="K76" s="2" t="s">
        <v>426</v>
      </c>
      <c r="L76" s="2" t="s">
        <v>5345</v>
      </c>
      <c r="M76" s="2" t="s">
        <v>5100</v>
      </c>
      <c r="N76" s="2" t="s">
        <v>5325</v>
      </c>
      <c r="O76" s="2" t="s">
        <v>5335</v>
      </c>
      <c r="P76" s="2" t="s">
        <v>5437</v>
      </c>
      <c r="Q76" s="2" t="s">
        <v>5224</v>
      </c>
      <c r="R76" s="2" t="s">
        <v>5438</v>
      </c>
      <c r="S76" s="2" t="s">
        <v>5439</v>
      </c>
    </row>
    <row r="77" spans="1:19" x14ac:dyDescent="0.2">
      <c r="A77" s="2">
        <v>1455</v>
      </c>
      <c r="B77" s="6" t="s">
        <v>580</v>
      </c>
      <c r="C77" s="2" t="s">
        <v>5440</v>
      </c>
      <c r="D77" s="2" t="s">
        <v>5441</v>
      </c>
      <c r="E77" s="2" t="s">
        <v>583</v>
      </c>
      <c r="F77" s="2" t="s">
        <v>583</v>
      </c>
      <c r="G77" s="2" t="s">
        <v>583</v>
      </c>
      <c r="H77" s="2" t="s">
        <v>393</v>
      </c>
      <c r="I77" s="2" t="s">
        <v>453</v>
      </c>
      <c r="J77" s="2"/>
      <c r="K77" s="2" t="s">
        <v>26</v>
      </c>
      <c r="L77" s="2" t="s">
        <v>5078</v>
      </c>
      <c r="M77" s="2" t="s">
        <v>5079</v>
      </c>
      <c r="N77" s="2" t="s">
        <v>5325</v>
      </c>
      <c r="O77" s="2" t="s">
        <v>5081</v>
      </c>
      <c r="P77" s="2" t="s">
        <v>5442</v>
      </c>
      <c r="Q77" s="2" t="s">
        <v>5091</v>
      </c>
      <c r="R77" s="2" t="s">
        <v>5079</v>
      </c>
      <c r="S77" s="2"/>
    </row>
    <row r="78" spans="1:19" x14ac:dyDescent="0.2">
      <c r="A78" s="2">
        <v>1662</v>
      </c>
      <c r="B78" s="6" t="s">
        <v>585</v>
      </c>
      <c r="C78" s="2" t="s">
        <v>5443</v>
      </c>
      <c r="D78" s="2" t="s">
        <v>5444</v>
      </c>
      <c r="E78" s="2" t="s">
        <v>588</v>
      </c>
      <c r="F78" s="2" t="s">
        <v>588</v>
      </c>
      <c r="G78" s="2" t="s">
        <v>588</v>
      </c>
      <c r="H78" s="2" t="s">
        <v>393</v>
      </c>
      <c r="I78" s="2" t="s">
        <v>589</v>
      </c>
      <c r="J78" s="2"/>
      <c r="K78" s="2" t="s">
        <v>26</v>
      </c>
      <c r="L78" s="2" t="s">
        <v>5078</v>
      </c>
      <c r="M78" s="2" t="s">
        <v>5079</v>
      </c>
      <c r="N78" s="2" t="s">
        <v>5325</v>
      </c>
      <c r="O78" s="2" t="s">
        <v>5326</v>
      </c>
      <c r="P78" s="2" t="s">
        <v>5445</v>
      </c>
      <c r="Q78" s="2" t="s">
        <v>5268</v>
      </c>
      <c r="R78" s="2" t="s">
        <v>5079</v>
      </c>
      <c r="S78" s="2"/>
    </row>
    <row r="79" spans="1:19" x14ac:dyDescent="0.2">
      <c r="A79" s="2">
        <v>1663</v>
      </c>
      <c r="B79" s="6" t="s">
        <v>591</v>
      </c>
      <c r="C79" s="2" t="s">
        <v>5446</v>
      </c>
      <c r="D79" s="2" t="s">
        <v>5447</v>
      </c>
      <c r="E79" s="2" t="s">
        <v>588</v>
      </c>
      <c r="F79" s="2" t="s">
        <v>588</v>
      </c>
      <c r="G79" s="2" t="s">
        <v>588</v>
      </c>
      <c r="H79" s="2" t="s">
        <v>393</v>
      </c>
      <c r="I79" s="2" t="s">
        <v>5448</v>
      </c>
      <c r="J79" s="2" t="s">
        <v>5310</v>
      </c>
      <c r="K79" s="2" t="s">
        <v>39</v>
      </c>
      <c r="L79" s="2" t="s">
        <v>5087</v>
      </c>
      <c r="M79" s="2" t="s">
        <v>5079</v>
      </c>
      <c r="N79" s="2" t="s">
        <v>5325</v>
      </c>
      <c r="O79" s="2" t="s">
        <v>5335</v>
      </c>
      <c r="P79" s="2" t="s">
        <v>5449</v>
      </c>
      <c r="Q79" s="2" t="s">
        <v>5268</v>
      </c>
      <c r="R79" s="2" t="s">
        <v>5079</v>
      </c>
      <c r="S79" s="2"/>
    </row>
    <row r="80" spans="1:19" x14ac:dyDescent="0.2">
      <c r="A80" s="2">
        <v>1666</v>
      </c>
      <c r="B80" s="6" t="s">
        <v>596</v>
      </c>
      <c r="C80" s="2" t="s">
        <v>5450</v>
      </c>
      <c r="D80" s="2" t="s">
        <v>5451</v>
      </c>
      <c r="E80" s="2" t="s">
        <v>599</v>
      </c>
      <c r="F80" s="2" t="s">
        <v>600</v>
      </c>
      <c r="G80" s="2" t="s">
        <v>600</v>
      </c>
      <c r="H80" s="2" t="s">
        <v>393</v>
      </c>
      <c r="I80" s="2" t="s">
        <v>5452</v>
      </c>
      <c r="J80" s="2"/>
      <c r="K80" s="2" t="s">
        <v>602</v>
      </c>
      <c r="L80" s="2" t="s">
        <v>5453</v>
      </c>
      <c r="M80" s="2" t="s">
        <v>5454</v>
      </c>
      <c r="N80" s="2" t="s">
        <v>5325</v>
      </c>
      <c r="O80" s="2" t="s">
        <v>5335</v>
      </c>
      <c r="P80" s="2" t="s">
        <v>5455</v>
      </c>
      <c r="Q80" s="2" t="s">
        <v>5235</v>
      </c>
      <c r="R80" s="2" t="s">
        <v>5100</v>
      </c>
      <c r="S80" s="2"/>
    </row>
    <row r="81" spans="1:19" x14ac:dyDescent="0.2">
      <c r="A81" s="2">
        <v>2109</v>
      </c>
      <c r="B81" s="6" t="s">
        <v>605</v>
      </c>
      <c r="C81" s="2" t="s">
        <v>5456</v>
      </c>
      <c r="D81" s="2" t="s">
        <v>5457</v>
      </c>
      <c r="E81" s="2" t="s">
        <v>608</v>
      </c>
      <c r="F81" s="2" t="s">
        <v>22</v>
      </c>
      <c r="G81" s="2" t="s">
        <v>22</v>
      </c>
      <c r="H81" s="2" t="s">
        <v>393</v>
      </c>
      <c r="I81" s="2" t="s">
        <v>609</v>
      </c>
      <c r="J81" s="2"/>
      <c r="K81" s="2" t="s">
        <v>26</v>
      </c>
      <c r="L81" s="2" t="s">
        <v>5078</v>
      </c>
      <c r="M81" s="2" t="s">
        <v>5095</v>
      </c>
      <c r="N81" s="2" t="s">
        <v>5325</v>
      </c>
      <c r="O81" s="2" t="s">
        <v>5362</v>
      </c>
      <c r="P81" s="2" t="s">
        <v>5458</v>
      </c>
      <c r="Q81" s="2" t="s">
        <v>5459</v>
      </c>
      <c r="R81" s="2" t="s">
        <v>5460</v>
      </c>
      <c r="S81" s="2" t="s">
        <v>5439</v>
      </c>
    </row>
    <row r="82" spans="1:19" x14ac:dyDescent="0.2">
      <c r="A82" s="2">
        <v>2121</v>
      </c>
      <c r="B82" s="6" t="s">
        <v>614</v>
      </c>
      <c r="C82" s="2" t="s">
        <v>5461</v>
      </c>
      <c r="D82" s="2" t="s">
        <v>5462</v>
      </c>
      <c r="E82" s="2" t="s">
        <v>617</v>
      </c>
      <c r="F82" s="2" t="s">
        <v>617</v>
      </c>
      <c r="G82" s="2" t="s">
        <v>617</v>
      </c>
      <c r="H82" s="2" t="s">
        <v>393</v>
      </c>
      <c r="I82" s="2" t="s">
        <v>618</v>
      </c>
      <c r="J82" s="2"/>
      <c r="K82" s="2" t="s">
        <v>26</v>
      </c>
      <c r="L82" s="2" t="s">
        <v>5078</v>
      </c>
      <c r="M82" s="2" t="s">
        <v>5367</v>
      </c>
      <c r="N82" s="2" t="s">
        <v>5325</v>
      </c>
      <c r="O82" s="2" t="s">
        <v>5335</v>
      </c>
      <c r="P82" s="2" t="s">
        <v>5463</v>
      </c>
      <c r="Q82" s="2" t="s">
        <v>5091</v>
      </c>
      <c r="R82" s="2" t="s">
        <v>5464</v>
      </c>
      <c r="S82" s="2"/>
    </row>
    <row r="83" spans="1:19" x14ac:dyDescent="0.2">
      <c r="A83" s="2">
        <v>2122</v>
      </c>
      <c r="B83" s="6" t="s">
        <v>621</v>
      </c>
      <c r="C83" s="2" t="s">
        <v>5465</v>
      </c>
      <c r="D83" s="2" t="s">
        <v>5466</v>
      </c>
      <c r="E83" s="2" t="s">
        <v>624</v>
      </c>
      <c r="F83" s="2" t="s">
        <v>625</v>
      </c>
      <c r="G83" s="2" t="s">
        <v>624</v>
      </c>
      <c r="H83" s="2" t="s">
        <v>393</v>
      </c>
      <c r="I83" s="2" t="s">
        <v>618</v>
      </c>
      <c r="J83" s="2"/>
      <c r="K83" s="2" t="s">
        <v>26</v>
      </c>
      <c r="L83" s="2" t="s">
        <v>5078</v>
      </c>
      <c r="M83" s="2" t="s">
        <v>5467</v>
      </c>
      <c r="N83" s="2" t="s">
        <v>5325</v>
      </c>
      <c r="O83" s="2" t="s">
        <v>5081</v>
      </c>
      <c r="P83" s="2" t="s">
        <v>5468</v>
      </c>
      <c r="Q83" s="2" t="s">
        <v>5469</v>
      </c>
      <c r="R83" s="2" t="s">
        <v>5470</v>
      </c>
      <c r="S83" s="2" t="s">
        <v>5471</v>
      </c>
    </row>
    <row r="84" spans="1:19" x14ac:dyDescent="0.2">
      <c r="A84" s="2">
        <v>2123</v>
      </c>
      <c r="B84" s="6" t="s">
        <v>631</v>
      </c>
      <c r="C84" s="2" t="s">
        <v>5472</v>
      </c>
      <c r="D84" s="2" t="s">
        <v>5473</v>
      </c>
      <c r="E84" s="2" t="s">
        <v>125</v>
      </c>
      <c r="F84" s="2" t="s">
        <v>125</v>
      </c>
      <c r="G84" s="2" t="s">
        <v>125</v>
      </c>
      <c r="H84" s="2" t="s">
        <v>393</v>
      </c>
      <c r="I84" s="2" t="s">
        <v>618</v>
      </c>
      <c r="J84" s="2"/>
      <c r="K84" s="2" t="s">
        <v>26</v>
      </c>
      <c r="L84" s="2" t="s">
        <v>5078</v>
      </c>
      <c r="M84" s="2" t="s">
        <v>5474</v>
      </c>
      <c r="N84" s="2" t="s">
        <v>5325</v>
      </c>
      <c r="O84" s="2" t="s">
        <v>5326</v>
      </c>
      <c r="P84" s="2" t="s">
        <v>5475</v>
      </c>
      <c r="Q84" s="2" t="s">
        <v>5469</v>
      </c>
      <c r="R84" s="2" t="s">
        <v>5476</v>
      </c>
      <c r="S84" s="2"/>
    </row>
    <row r="85" spans="1:19" x14ac:dyDescent="0.2">
      <c r="A85" s="2">
        <v>2124</v>
      </c>
      <c r="B85" s="6" t="s">
        <v>637</v>
      </c>
      <c r="C85" s="2" t="s">
        <v>5477</v>
      </c>
      <c r="D85" s="2" t="s">
        <v>5478</v>
      </c>
      <c r="E85" s="2" t="s">
        <v>124</v>
      </c>
      <c r="F85" s="2"/>
      <c r="G85" s="2"/>
      <c r="H85" s="2" t="s">
        <v>393</v>
      </c>
      <c r="I85" s="2" t="s">
        <v>618</v>
      </c>
      <c r="J85" s="2"/>
      <c r="K85" s="2" t="s">
        <v>26</v>
      </c>
      <c r="L85" s="2" t="s">
        <v>5078</v>
      </c>
      <c r="M85" s="2" t="s">
        <v>5079</v>
      </c>
      <c r="N85" s="2" t="s">
        <v>5325</v>
      </c>
      <c r="O85" s="2" t="s">
        <v>5081</v>
      </c>
      <c r="P85" s="2" t="s">
        <v>5479</v>
      </c>
      <c r="Q85" s="2"/>
      <c r="R85" s="2" t="s">
        <v>5079</v>
      </c>
      <c r="S85" s="2"/>
    </row>
    <row r="86" spans="1:19" x14ac:dyDescent="0.2">
      <c r="A86" s="2">
        <v>2126</v>
      </c>
      <c r="B86" s="6" t="s">
        <v>641</v>
      </c>
      <c r="C86" s="2" t="s">
        <v>5480</v>
      </c>
      <c r="D86" s="2" t="s">
        <v>5481</v>
      </c>
      <c r="E86" s="2" t="s">
        <v>644</v>
      </c>
      <c r="F86" s="2" t="s">
        <v>644</v>
      </c>
      <c r="G86" s="2" t="s">
        <v>644</v>
      </c>
      <c r="H86" s="2" t="s">
        <v>393</v>
      </c>
      <c r="I86" s="2" t="s">
        <v>618</v>
      </c>
      <c r="J86" s="2"/>
      <c r="K86" s="2" t="s">
        <v>645</v>
      </c>
      <c r="L86" s="2" t="s">
        <v>5482</v>
      </c>
      <c r="M86" s="2" t="s">
        <v>5095</v>
      </c>
      <c r="N86" s="2" t="s">
        <v>5325</v>
      </c>
      <c r="O86" s="2" t="s">
        <v>5330</v>
      </c>
      <c r="P86" s="2" t="s">
        <v>5483</v>
      </c>
      <c r="Q86" s="2" t="s">
        <v>5469</v>
      </c>
      <c r="R86" s="2" t="s">
        <v>5095</v>
      </c>
      <c r="S86" s="2" t="s">
        <v>5471</v>
      </c>
    </row>
    <row r="87" spans="1:19" x14ac:dyDescent="0.2">
      <c r="A87" s="2">
        <v>2127</v>
      </c>
      <c r="B87" s="6" t="s">
        <v>647</v>
      </c>
      <c r="C87" s="2" t="s">
        <v>5484</v>
      </c>
      <c r="D87" s="2" t="s">
        <v>5485</v>
      </c>
      <c r="E87" s="2" t="s">
        <v>650</v>
      </c>
      <c r="F87" s="2" t="s">
        <v>216</v>
      </c>
      <c r="G87" s="2" t="s">
        <v>650</v>
      </c>
      <c r="H87" s="2" t="s">
        <v>393</v>
      </c>
      <c r="I87" s="2" t="s">
        <v>618</v>
      </c>
      <c r="J87" s="2"/>
      <c r="K87" s="2" t="s">
        <v>26</v>
      </c>
      <c r="L87" s="2" t="s">
        <v>5078</v>
      </c>
      <c r="M87" s="2" t="s">
        <v>5095</v>
      </c>
      <c r="N87" s="2" t="s">
        <v>5325</v>
      </c>
      <c r="O87" s="2" t="s">
        <v>5335</v>
      </c>
      <c r="P87" s="2" t="s">
        <v>5486</v>
      </c>
      <c r="Q87" s="2" t="s">
        <v>5487</v>
      </c>
      <c r="R87" s="2" t="s">
        <v>5488</v>
      </c>
      <c r="S87" s="2" t="s">
        <v>5471</v>
      </c>
    </row>
    <row r="88" spans="1:19" x14ac:dyDescent="0.2">
      <c r="A88" s="2">
        <v>464</v>
      </c>
      <c r="B88" s="6" t="s">
        <v>654</v>
      </c>
      <c r="C88" s="2" t="s">
        <v>5489</v>
      </c>
      <c r="D88" s="2" t="s">
        <v>5490</v>
      </c>
      <c r="E88" s="2" t="s">
        <v>657</v>
      </c>
      <c r="F88" s="2" t="s">
        <v>658</v>
      </c>
      <c r="G88" s="2" t="s">
        <v>658</v>
      </c>
      <c r="H88" s="2" t="s">
        <v>393</v>
      </c>
      <c r="I88" s="2" t="s">
        <v>659</v>
      </c>
      <c r="J88" s="2" t="s">
        <v>660</v>
      </c>
      <c r="K88" s="2" t="s">
        <v>412</v>
      </c>
      <c r="L88" s="2" t="s">
        <v>5334</v>
      </c>
      <c r="M88" s="2" t="s">
        <v>5491</v>
      </c>
      <c r="N88" s="2" t="s">
        <v>5325</v>
      </c>
      <c r="O88" s="2" t="s">
        <v>5335</v>
      </c>
      <c r="P88" s="2" t="s">
        <v>5492</v>
      </c>
      <c r="Q88" s="2" t="s">
        <v>5091</v>
      </c>
      <c r="R88" s="2" t="s">
        <v>5493</v>
      </c>
      <c r="S88" s="2"/>
    </row>
    <row r="89" spans="1:19" x14ac:dyDescent="0.2">
      <c r="A89" s="2">
        <v>465</v>
      </c>
      <c r="B89" s="6" t="s">
        <v>664</v>
      </c>
      <c r="C89" s="2" t="s">
        <v>5494</v>
      </c>
      <c r="D89" s="2" t="s">
        <v>5495</v>
      </c>
      <c r="E89" s="2" t="s">
        <v>546</v>
      </c>
      <c r="F89" s="2"/>
      <c r="G89" s="2"/>
      <c r="H89" s="2" t="s">
        <v>393</v>
      </c>
      <c r="I89" s="2" t="s">
        <v>659</v>
      </c>
      <c r="J89" s="2"/>
      <c r="K89" s="2" t="s">
        <v>426</v>
      </c>
      <c r="L89" s="2" t="s">
        <v>5345</v>
      </c>
      <c r="M89" s="2"/>
      <c r="N89" s="2" t="s">
        <v>5325</v>
      </c>
      <c r="O89" s="2" t="s">
        <v>5335</v>
      </c>
      <c r="P89" s="2" t="s">
        <v>5496</v>
      </c>
      <c r="Q89" s="2" t="s">
        <v>5091</v>
      </c>
      <c r="R89" s="2"/>
      <c r="S89" s="2"/>
    </row>
    <row r="90" spans="1:19" x14ac:dyDescent="0.2">
      <c r="A90" s="2">
        <v>468</v>
      </c>
      <c r="B90" s="6" t="s">
        <v>668</v>
      </c>
      <c r="C90" s="2" t="s">
        <v>5497</v>
      </c>
      <c r="D90" s="2" t="s">
        <v>5498</v>
      </c>
      <c r="E90" s="2" t="s">
        <v>671</v>
      </c>
      <c r="F90" s="2"/>
      <c r="G90" s="2"/>
      <c r="H90" s="2" t="s">
        <v>393</v>
      </c>
      <c r="I90" s="2" t="s">
        <v>659</v>
      </c>
      <c r="J90" s="2"/>
      <c r="K90" s="2" t="s">
        <v>412</v>
      </c>
      <c r="L90" s="2" t="s">
        <v>5334</v>
      </c>
      <c r="M90" s="2"/>
      <c r="N90" s="2" t="s">
        <v>5325</v>
      </c>
      <c r="O90" s="2" t="s">
        <v>5335</v>
      </c>
      <c r="P90" s="2" t="s">
        <v>5499</v>
      </c>
      <c r="Q90" s="2" t="s">
        <v>5500</v>
      </c>
      <c r="R90" s="2"/>
      <c r="S90" s="2"/>
    </row>
    <row r="91" spans="1:19" x14ac:dyDescent="0.2">
      <c r="A91" s="2">
        <v>469</v>
      </c>
      <c r="B91" s="6" t="s">
        <v>674</v>
      </c>
      <c r="C91" s="2" t="s">
        <v>5501</v>
      </c>
      <c r="D91" s="2" t="s">
        <v>5502</v>
      </c>
      <c r="E91" s="2" t="s">
        <v>677</v>
      </c>
      <c r="F91" s="2"/>
      <c r="G91" s="2"/>
      <c r="H91" s="2" t="s">
        <v>393</v>
      </c>
      <c r="I91" s="2" t="s">
        <v>659</v>
      </c>
      <c r="J91" s="2" t="s">
        <v>5187</v>
      </c>
      <c r="K91" s="2" t="s">
        <v>426</v>
      </c>
      <c r="L91" s="2" t="s">
        <v>5345</v>
      </c>
      <c r="M91" s="2"/>
      <c r="N91" s="2" t="s">
        <v>5325</v>
      </c>
      <c r="O91" s="2" t="s">
        <v>5081</v>
      </c>
      <c r="P91" s="2" t="s">
        <v>5503</v>
      </c>
      <c r="Q91" s="2" t="s">
        <v>5091</v>
      </c>
      <c r="R91" s="2"/>
      <c r="S91" s="2"/>
    </row>
    <row r="92" spans="1:19" x14ac:dyDescent="0.2">
      <c r="A92" s="2">
        <v>470</v>
      </c>
      <c r="B92" s="6" t="s">
        <v>680</v>
      </c>
      <c r="C92" s="2" t="s">
        <v>5504</v>
      </c>
      <c r="D92" s="2" t="s">
        <v>5505</v>
      </c>
      <c r="E92" s="2" t="s">
        <v>683</v>
      </c>
      <c r="F92" s="2"/>
      <c r="G92" s="2"/>
      <c r="H92" s="2" t="s">
        <v>393</v>
      </c>
      <c r="I92" s="2" t="s">
        <v>659</v>
      </c>
      <c r="J92" s="2"/>
      <c r="K92" s="2" t="s">
        <v>26</v>
      </c>
      <c r="L92" s="2" t="s">
        <v>5078</v>
      </c>
      <c r="M92" s="2" t="s">
        <v>5079</v>
      </c>
      <c r="N92" s="2" t="s">
        <v>5325</v>
      </c>
      <c r="O92" s="2" t="s">
        <v>5326</v>
      </c>
      <c r="P92" s="2" t="s">
        <v>5506</v>
      </c>
      <c r="Q92" s="2" t="s">
        <v>5091</v>
      </c>
      <c r="R92" s="2" t="s">
        <v>5079</v>
      </c>
      <c r="S92" s="2"/>
    </row>
    <row r="93" spans="1:19" x14ac:dyDescent="0.2">
      <c r="A93" s="2">
        <v>471</v>
      </c>
      <c r="B93" s="6" t="s">
        <v>685</v>
      </c>
      <c r="C93" s="2" t="s">
        <v>5507</v>
      </c>
      <c r="D93" s="2" t="s">
        <v>5508</v>
      </c>
      <c r="E93" s="2" t="s">
        <v>688</v>
      </c>
      <c r="F93" s="2"/>
      <c r="G93" s="2"/>
      <c r="H93" s="2" t="s">
        <v>393</v>
      </c>
      <c r="I93" s="2" t="s">
        <v>659</v>
      </c>
      <c r="J93" s="2"/>
      <c r="K93" s="2" t="s">
        <v>412</v>
      </c>
      <c r="L93" s="2" t="s">
        <v>5334</v>
      </c>
      <c r="M93" s="2"/>
      <c r="N93" s="2" t="s">
        <v>5325</v>
      </c>
      <c r="O93" s="2" t="s">
        <v>5335</v>
      </c>
      <c r="P93" s="2" t="s">
        <v>5509</v>
      </c>
      <c r="Q93" s="2" t="s">
        <v>5091</v>
      </c>
      <c r="R93" s="2"/>
      <c r="S93" s="2"/>
    </row>
    <row r="94" spans="1:19" x14ac:dyDescent="0.2">
      <c r="A94" s="2">
        <v>425</v>
      </c>
      <c r="B94" s="6" t="s">
        <v>690</v>
      </c>
      <c r="C94" s="2" t="s">
        <v>5510</v>
      </c>
      <c r="D94" s="2" t="s">
        <v>5511</v>
      </c>
      <c r="E94" s="2" t="s">
        <v>545</v>
      </c>
      <c r="F94" s="2"/>
      <c r="G94" s="2"/>
      <c r="H94" s="2" t="s">
        <v>393</v>
      </c>
      <c r="I94" s="2" t="s">
        <v>5512</v>
      </c>
      <c r="J94" s="2"/>
      <c r="K94" s="2" t="s">
        <v>39</v>
      </c>
      <c r="L94" s="2" t="s">
        <v>5087</v>
      </c>
      <c r="M94" s="2" t="s">
        <v>5352</v>
      </c>
      <c r="N94" s="2" t="s">
        <v>5325</v>
      </c>
      <c r="O94" s="2" t="s">
        <v>5335</v>
      </c>
      <c r="P94" s="2" t="s">
        <v>5513</v>
      </c>
      <c r="Q94" s="2" t="s">
        <v>5091</v>
      </c>
      <c r="R94" s="2" t="s">
        <v>5352</v>
      </c>
      <c r="S94" s="2"/>
    </row>
    <row r="95" spans="1:19" x14ac:dyDescent="0.2">
      <c r="A95" s="2">
        <v>522</v>
      </c>
      <c r="B95" s="6" t="s">
        <v>695</v>
      </c>
      <c r="C95" s="2" t="s">
        <v>5514</v>
      </c>
      <c r="D95" s="2" t="s">
        <v>5515</v>
      </c>
      <c r="E95" s="2" t="s">
        <v>671</v>
      </c>
      <c r="F95" s="2" t="s">
        <v>671</v>
      </c>
      <c r="G95" s="2" t="s">
        <v>671</v>
      </c>
      <c r="H95" s="2" t="s">
        <v>393</v>
      </c>
      <c r="I95" s="2" t="s">
        <v>491</v>
      </c>
      <c r="J95" s="2"/>
      <c r="K95" s="2" t="s">
        <v>493</v>
      </c>
      <c r="L95" s="2" t="s">
        <v>5387</v>
      </c>
      <c r="M95" s="2" t="s">
        <v>5516</v>
      </c>
      <c r="N95" s="2" t="s">
        <v>5325</v>
      </c>
      <c r="O95" s="2" t="s">
        <v>5517</v>
      </c>
      <c r="P95" s="2" t="s">
        <v>5518</v>
      </c>
      <c r="Q95" s="2"/>
      <c r="R95" s="2" t="s">
        <v>5100</v>
      </c>
      <c r="S95" s="2"/>
    </row>
    <row r="96" spans="1:19" x14ac:dyDescent="0.2">
      <c r="A96" s="2">
        <v>523</v>
      </c>
      <c r="B96" s="6" t="s">
        <v>702</v>
      </c>
      <c r="C96" s="2" t="s">
        <v>5519</v>
      </c>
      <c r="D96" s="2" t="s">
        <v>5520</v>
      </c>
      <c r="E96" s="2" t="s">
        <v>705</v>
      </c>
      <c r="F96" s="2" t="s">
        <v>705</v>
      </c>
      <c r="G96" s="2" t="s">
        <v>705</v>
      </c>
      <c r="H96" s="2" t="s">
        <v>393</v>
      </c>
      <c r="I96" s="2" t="s">
        <v>491</v>
      </c>
      <c r="J96" s="2" t="s">
        <v>5521</v>
      </c>
      <c r="K96" s="2" t="s">
        <v>493</v>
      </c>
      <c r="L96" s="2" t="s">
        <v>5387</v>
      </c>
      <c r="M96" s="2" t="s">
        <v>5100</v>
      </c>
      <c r="N96" s="2" t="s">
        <v>5325</v>
      </c>
      <c r="O96" s="2" t="s">
        <v>5522</v>
      </c>
      <c r="P96" s="2" t="s">
        <v>5523</v>
      </c>
      <c r="Q96" s="2" t="s">
        <v>5224</v>
      </c>
      <c r="R96" s="2" t="s">
        <v>5524</v>
      </c>
      <c r="S96" s="2" t="s">
        <v>5230</v>
      </c>
    </row>
    <row r="97" spans="1:19" x14ac:dyDescent="0.2">
      <c r="A97" s="2">
        <v>883</v>
      </c>
      <c r="B97" s="6" t="s">
        <v>710</v>
      </c>
      <c r="C97" s="2" t="s">
        <v>5525</v>
      </c>
      <c r="D97" s="2" t="s">
        <v>5526</v>
      </c>
      <c r="E97" s="2" t="s">
        <v>583</v>
      </c>
      <c r="F97" s="2"/>
      <c r="G97" s="2"/>
      <c r="H97" s="2" t="s">
        <v>393</v>
      </c>
      <c r="I97" s="2" t="s">
        <v>713</v>
      </c>
      <c r="J97" s="2"/>
      <c r="K97" s="2" t="s">
        <v>26</v>
      </c>
      <c r="L97" s="2" t="s">
        <v>5078</v>
      </c>
      <c r="M97" s="2"/>
      <c r="N97" s="2" t="s">
        <v>5325</v>
      </c>
      <c r="O97" s="2" t="s">
        <v>5326</v>
      </c>
      <c r="P97" s="2" t="s">
        <v>5527</v>
      </c>
      <c r="Q97" s="2" t="s">
        <v>5528</v>
      </c>
      <c r="R97" s="2"/>
      <c r="S97" s="2" t="s">
        <v>5529</v>
      </c>
    </row>
    <row r="98" spans="1:19" x14ac:dyDescent="0.2">
      <c r="A98" s="2">
        <v>1020</v>
      </c>
      <c r="B98" s="6" t="s">
        <v>717</v>
      </c>
      <c r="C98" s="2" t="s">
        <v>5530</v>
      </c>
      <c r="D98" s="2" t="s">
        <v>5531</v>
      </c>
      <c r="E98" s="2" t="s">
        <v>720</v>
      </c>
      <c r="F98" s="2"/>
      <c r="G98" s="2"/>
      <c r="H98" s="2" t="s">
        <v>393</v>
      </c>
      <c r="I98" s="2" t="s">
        <v>589</v>
      </c>
      <c r="J98" s="2"/>
      <c r="K98" s="2" t="s">
        <v>26</v>
      </c>
      <c r="L98" s="2" t="s">
        <v>5078</v>
      </c>
      <c r="M98" s="2" t="s">
        <v>5079</v>
      </c>
      <c r="N98" s="2" t="s">
        <v>5325</v>
      </c>
      <c r="O98" s="2" t="s">
        <v>5081</v>
      </c>
      <c r="P98" s="2" t="s">
        <v>5532</v>
      </c>
      <c r="Q98" s="2" t="s">
        <v>5533</v>
      </c>
      <c r="R98" s="2" t="s">
        <v>5079</v>
      </c>
      <c r="S98" s="2"/>
    </row>
    <row r="99" spans="1:19" x14ac:dyDescent="0.2">
      <c r="A99" s="2">
        <v>446</v>
      </c>
      <c r="B99" s="6" t="s">
        <v>723</v>
      </c>
      <c r="C99" s="2" t="s">
        <v>5534</v>
      </c>
      <c r="D99" s="2" t="s">
        <v>5535</v>
      </c>
      <c r="E99" s="2" t="s">
        <v>677</v>
      </c>
      <c r="F99" s="2"/>
      <c r="G99" s="2"/>
      <c r="H99" s="2" t="s">
        <v>393</v>
      </c>
      <c r="I99" s="2" t="s">
        <v>5339</v>
      </c>
      <c r="J99" s="2"/>
      <c r="K99" s="2" t="s">
        <v>39</v>
      </c>
      <c r="L99" s="2" t="s">
        <v>5087</v>
      </c>
      <c r="M99" s="2" t="s">
        <v>5536</v>
      </c>
      <c r="N99" s="2" t="s">
        <v>5325</v>
      </c>
      <c r="O99" s="2" t="s">
        <v>5326</v>
      </c>
      <c r="P99" s="2" t="s">
        <v>5537</v>
      </c>
      <c r="Q99" s="2" t="s">
        <v>5091</v>
      </c>
      <c r="R99" s="2" t="s">
        <v>5536</v>
      </c>
      <c r="S99" s="2" t="s">
        <v>5538</v>
      </c>
    </row>
    <row r="100" spans="1:19" x14ac:dyDescent="0.2">
      <c r="A100" s="2">
        <v>447</v>
      </c>
      <c r="B100" s="6" t="s">
        <v>730</v>
      </c>
      <c r="C100" s="2" t="s">
        <v>5539</v>
      </c>
      <c r="D100" s="2" t="s">
        <v>5540</v>
      </c>
      <c r="E100" s="2" t="s">
        <v>657</v>
      </c>
      <c r="F100" s="2"/>
      <c r="G100" s="2"/>
      <c r="H100" s="2" t="s">
        <v>393</v>
      </c>
      <c r="I100" s="2" t="s">
        <v>733</v>
      </c>
      <c r="J100" s="2"/>
      <c r="K100" s="2" t="s">
        <v>426</v>
      </c>
      <c r="L100" s="2" t="s">
        <v>5345</v>
      </c>
      <c r="M100" s="2" t="s">
        <v>5079</v>
      </c>
      <c r="N100" s="2" t="s">
        <v>5325</v>
      </c>
      <c r="O100" s="2" t="s">
        <v>5335</v>
      </c>
      <c r="P100" s="2" t="s">
        <v>5541</v>
      </c>
      <c r="Q100" s="2" t="s">
        <v>5091</v>
      </c>
      <c r="R100" s="2" t="s">
        <v>5079</v>
      </c>
      <c r="S100" s="2"/>
    </row>
    <row r="101" spans="1:19" x14ac:dyDescent="0.2">
      <c r="A101" s="2">
        <v>449</v>
      </c>
      <c r="B101" s="6" t="s">
        <v>735</v>
      </c>
      <c r="C101" s="2" t="s">
        <v>5542</v>
      </c>
      <c r="D101" s="2" t="s">
        <v>5543</v>
      </c>
      <c r="E101" s="2" t="s">
        <v>738</v>
      </c>
      <c r="F101" s="2"/>
      <c r="G101" s="2"/>
      <c r="H101" s="2" t="s">
        <v>393</v>
      </c>
      <c r="I101" s="2" t="s">
        <v>739</v>
      </c>
      <c r="J101" s="2"/>
      <c r="K101" s="2" t="s">
        <v>426</v>
      </c>
      <c r="L101" s="2" t="s">
        <v>5345</v>
      </c>
      <c r="M101" s="2" t="s">
        <v>5544</v>
      </c>
      <c r="N101" s="2" t="s">
        <v>5325</v>
      </c>
      <c r="O101" s="2" t="s">
        <v>5335</v>
      </c>
      <c r="P101" s="2" t="s">
        <v>5545</v>
      </c>
      <c r="Q101" s="2" t="s">
        <v>5091</v>
      </c>
      <c r="R101" s="2" t="s">
        <v>5178</v>
      </c>
      <c r="S101" s="2"/>
    </row>
    <row r="102" spans="1:19" x14ac:dyDescent="0.2">
      <c r="A102" s="2">
        <v>450</v>
      </c>
      <c r="B102" s="6" t="s">
        <v>742</v>
      </c>
      <c r="C102" s="2" t="s">
        <v>5546</v>
      </c>
      <c r="D102" s="2" t="s">
        <v>5547</v>
      </c>
      <c r="E102" s="2" t="s">
        <v>745</v>
      </c>
      <c r="F102" s="2"/>
      <c r="G102" s="2"/>
      <c r="H102" s="2" t="s">
        <v>393</v>
      </c>
      <c r="I102" s="2" t="s">
        <v>739</v>
      </c>
      <c r="J102" s="2"/>
      <c r="K102" s="2" t="s">
        <v>426</v>
      </c>
      <c r="L102" s="2" t="s">
        <v>5345</v>
      </c>
      <c r="M102" s="2" t="s">
        <v>5548</v>
      </c>
      <c r="N102" s="2" t="s">
        <v>5325</v>
      </c>
      <c r="O102" s="2" t="s">
        <v>5335</v>
      </c>
      <c r="P102" s="2" t="s">
        <v>5549</v>
      </c>
      <c r="Q102" s="2" t="s">
        <v>5091</v>
      </c>
      <c r="R102" s="2" t="s">
        <v>5107</v>
      </c>
      <c r="S102" s="2"/>
    </row>
    <row r="103" spans="1:19" x14ac:dyDescent="0.2">
      <c r="A103" s="2">
        <v>453</v>
      </c>
      <c r="B103" s="6" t="s">
        <v>748</v>
      </c>
      <c r="C103" s="2" t="s">
        <v>5550</v>
      </c>
      <c r="D103" s="2" t="s">
        <v>5551</v>
      </c>
      <c r="E103" s="2" t="s">
        <v>751</v>
      </c>
      <c r="F103" s="2"/>
      <c r="G103" s="2"/>
      <c r="H103" s="2" t="s">
        <v>393</v>
      </c>
      <c r="I103" s="2" t="s">
        <v>739</v>
      </c>
      <c r="J103" s="2"/>
      <c r="K103" s="2" t="s">
        <v>426</v>
      </c>
      <c r="L103" s="2" t="s">
        <v>5345</v>
      </c>
      <c r="M103" s="2" t="s">
        <v>5193</v>
      </c>
      <c r="N103" s="2" t="s">
        <v>5325</v>
      </c>
      <c r="O103" s="2" t="s">
        <v>5335</v>
      </c>
      <c r="P103" s="2" t="s">
        <v>5552</v>
      </c>
      <c r="Q103" s="2" t="s">
        <v>5091</v>
      </c>
      <c r="R103" s="2" t="s">
        <v>5193</v>
      </c>
      <c r="S103" s="2"/>
    </row>
    <row r="104" spans="1:19" x14ac:dyDescent="0.2">
      <c r="A104" s="2">
        <v>457</v>
      </c>
      <c r="B104" s="6" t="s">
        <v>753</v>
      </c>
      <c r="C104" s="2" t="s">
        <v>5553</v>
      </c>
      <c r="D104" s="2" t="s">
        <v>5554</v>
      </c>
      <c r="E104" s="2" t="s">
        <v>745</v>
      </c>
      <c r="F104" s="2"/>
      <c r="G104" s="2"/>
      <c r="H104" s="2" t="s">
        <v>393</v>
      </c>
      <c r="I104" s="2" t="s">
        <v>756</v>
      </c>
      <c r="J104" s="2"/>
      <c r="K104" s="2" t="s">
        <v>26</v>
      </c>
      <c r="L104" s="2" t="s">
        <v>5078</v>
      </c>
      <c r="M104" s="2" t="s">
        <v>5079</v>
      </c>
      <c r="N104" s="2" t="s">
        <v>5325</v>
      </c>
      <c r="O104" s="2" t="s">
        <v>5335</v>
      </c>
      <c r="P104" s="2" t="s">
        <v>5555</v>
      </c>
      <c r="Q104" s="2" t="s">
        <v>5091</v>
      </c>
      <c r="R104" s="2" t="s">
        <v>5079</v>
      </c>
      <c r="S104" s="2"/>
    </row>
    <row r="105" spans="1:19" x14ac:dyDescent="0.2">
      <c r="A105" s="2">
        <v>404</v>
      </c>
      <c r="B105" s="6" t="s">
        <v>758</v>
      </c>
      <c r="C105" s="2" t="s">
        <v>5556</v>
      </c>
      <c r="D105" s="2" t="s">
        <v>5557</v>
      </c>
      <c r="E105" s="2" t="s">
        <v>588</v>
      </c>
      <c r="F105" s="2" t="s">
        <v>761</v>
      </c>
      <c r="G105" s="2" t="s">
        <v>761</v>
      </c>
      <c r="H105" s="2" t="s">
        <v>393</v>
      </c>
      <c r="I105" s="2" t="s">
        <v>5412</v>
      </c>
      <c r="J105" s="2"/>
      <c r="K105" s="2" t="s">
        <v>602</v>
      </c>
      <c r="L105" s="2" t="s">
        <v>5453</v>
      </c>
      <c r="M105" s="2" t="s">
        <v>5558</v>
      </c>
      <c r="N105" s="2" t="s">
        <v>5325</v>
      </c>
      <c r="O105" s="2" t="s">
        <v>5330</v>
      </c>
      <c r="P105" s="2" t="s">
        <v>5559</v>
      </c>
      <c r="Q105" s="2" t="s">
        <v>5341</v>
      </c>
      <c r="R105" s="2" t="s">
        <v>5560</v>
      </c>
      <c r="S105" s="2" t="s">
        <v>5561</v>
      </c>
    </row>
    <row r="106" spans="1:19" x14ac:dyDescent="0.2">
      <c r="A106" s="2">
        <v>432</v>
      </c>
      <c r="B106" s="6" t="s">
        <v>766</v>
      </c>
      <c r="C106" s="2" t="s">
        <v>5562</v>
      </c>
      <c r="D106" s="2" t="s">
        <v>5563</v>
      </c>
      <c r="E106" s="2" t="s">
        <v>552</v>
      </c>
      <c r="F106" s="2" t="s">
        <v>552</v>
      </c>
      <c r="G106" s="2" t="s">
        <v>552</v>
      </c>
      <c r="H106" s="2" t="s">
        <v>393</v>
      </c>
      <c r="I106" s="2" t="s">
        <v>5564</v>
      </c>
      <c r="J106" s="2"/>
      <c r="K106" s="2" t="s">
        <v>39</v>
      </c>
      <c r="L106" s="2" t="s">
        <v>5087</v>
      </c>
      <c r="M106" s="2" t="s">
        <v>5565</v>
      </c>
      <c r="N106" s="2" t="s">
        <v>5325</v>
      </c>
      <c r="O106" s="2" t="s">
        <v>5335</v>
      </c>
      <c r="P106" s="2" t="s">
        <v>5566</v>
      </c>
      <c r="Q106" s="2" t="s">
        <v>5224</v>
      </c>
      <c r="R106" s="2" t="s">
        <v>5567</v>
      </c>
      <c r="S106" s="2" t="s">
        <v>5568</v>
      </c>
    </row>
    <row r="107" spans="1:19" x14ac:dyDescent="0.2">
      <c r="A107" s="2">
        <v>433</v>
      </c>
      <c r="B107" s="6" t="s">
        <v>775</v>
      </c>
      <c r="C107" s="2" t="s">
        <v>5569</v>
      </c>
      <c r="D107" s="2" t="s">
        <v>5570</v>
      </c>
      <c r="E107" s="2" t="s">
        <v>778</v>
      </c>
      <c r="F107" s="2"/>
      <c r="G107" s="2"/>
      <c r="H107" s="2" t="s">
        <v>393</v>
      </c>
      <c r="I107" s="2" t="s">
        <v>779</v>
      </c>
      <c r="J107" s="2"/>
      <c r="K107" s="2" t="s">
        <v>412</v>
      </c>
      <c r="L107" s="2" t="s">
        <v>5334</v>
      </c>
      <c r="M107" s="2" t="s">
        <v>5571</v>
      </c>
      <c r="N107" s="2" t="s">
        <v>5325</v>
      </c>
      <c r="O107" s="2" t="s">
        <v>5335</v>
      </c>
      <c r="P107" s="2" t="s">
        <v>5572</v>
      </c>
      <c r="Q107" s="2" t="s">
        <v>5573</v>
      </c>
      <c r="R107" s="2" t="s">
        <v>5574</v>
      </c>
      <c r="S107" s="2"/>
    </row>
    <row r="108" spans="1:19" x14ac:dyDescent="0.2">
      <c r="A108" s="2">
        <v>434</v>
      </c>
      <c r="B108" s="6" t="s">
        <v>784</v>
      </c>
      <c r="C108" s="2" t="s">
        <v>5575</v>
      </c>
      <c r="D108" s="2" t="s">
        <v>5576</v>
      </c>
      <c r="E108" s="2" t="s">
        <v>787</v>
      </c>
      <c r="F108" s="2" t="s">
        <v>788</v>
      </c>
      <c r="G108" s="2" t="s">
        <v>789</v>
      </c>
      <c r="H108" s="2" t="s">
        <v>393</v>
      </c>
      <c r="I108" s="2" t="s">
        <v>790</v>
      </c>
      <c r="J108" s="2"/>
      <c r="K108" s="2" t="s">
        <v>412</v>
      </c>
      <c r="L108" s="2" t="s">
        <v>5334</v>
      </c>
      <c r="M108" s="2" t="s">
        <v>5367</v>
      </c>
      <c r="N108" s="2" t="s">
        <v>5325</v>
      </c>
      <c r="O108" s="2" t="s">
        <v>5335</v>
      </c>
      <c r="P108" s="2" t="s">
        <v>5577</v>
      </c>
      <c r="Q108" s="2" t="s">
        <v>5578</v>
      </c>
      <c r="R108" s="2" t="s">
        <v>5579</v>
      </c>
      <c r="S108" s="2"/>
    </row>
    <row r="109" spans="1:19" x14ac:dyDescent="0.2">
      <c r="A109" s="2">
        <v>435</v>
      </c>
      <c r="B109" s="6" t="s">
        <v>794</v>
      </c>
      <c r="C109" s="2" t="s">
        <v>5580</v>
      </c>
      <c r="D109" s="2" t="s">
        <v>5581</v>
      </c>
      <c r="E109" s="2" t="s">
        <v>797</v>
      </c>
      <c r="F109" s="2"/>
      <c r="G109" s="2"/>
      <c r="H109" s="2" t="s">
        <v>393</v>
      </c>
      <c r="I109" s="2" t="s">
        <v>411</v>
      </c>
      <c r="J109" s="2"/>
      <c r="K109" s="2" t="s">
        <v>426</v>
      </c>
      <c r="L109" s="2" t="s">
        <v>5345</v>
      </c>
      <c r="M109" s="2" t="s">
        <v>5079</v>
      </c>
      <c r="N109" s="2" t="s">
        <v>5325</v>
      </c>
      <c r="O109" s="2" t="s">
        <v>5335</v>
      </c>
      <c r="P109" s="2" t="s">
        <v>5582</v>
      </c>
      <c r="Q109" s="2" t="s">
        <v>5091</v>
      </c>
      <c r="R109" s="2" t="s">
        <v>5079</v>
      </c>
      <c r="S109" s="2"/>
    </row>
    <row r="110" spans="1:19" x14ac:dyDescent="0.2">
      <c r="A110" s="2">
        <v>436</v>
      </c>
      <c r="B110" s="6" t="s">
        <v>799</v>
      </c>
      <c r="C110" s="2" t="s">
        <v>5583</v>
      </c>
      <c r="D110" s="2" t="s">
        <v>5584</v>
      </c>
      <c r="E110" s="2" t="s">
        <v>788</v>
      </c>
      <c r="F110" s="16">
        <v>44682</v>
      </c>
      <c r="G110" s="2" t="s">
        <v>788</v>
      </c>
      <c r="H110" s="2" t="s">
        <v>393</v>
      </c>
      <c r="I110" s="2" t="s">
        <v>802</v>
      </c>
      <c r="J110" s="2"/>
      <c r="K110" s="2" t="s">
        <v>39</v>
      </c>
      <c r="L110" s="2" t="s">
        <v>5087</v>
      </c>
      <c r="M110" s="2" t="s">
        <v>5585</v>
      </c>
      <c r="N110" s="2" t="s">
        <v>5325</v>
      </c>
      <c r="O110" s="2" t="s">
        <v>5326</v>
      </c>
      <c r="P110" s="2" t="s">
        <v>5586</v>
      </c>
      <c r="Q110" s="2" t="s">
        <v>5587</v>
      </c>
      <c r="R110" s="2" t="s">
        <v>5585</v>
      </c>
      <c r="S110" s="2"/>
    </row>
    <row r="111" spans="1:19" x14ac:dyDescent="0.2">
      <c r="A111" s="2">
        <v>437</v>
      </c>
      <c r="B111" s="6" t="s">
        <v>807</v>
      </c>
      <c r="C111" s="2" t="s">
        <v>5588</v>
      </c>
      <c r="D111" s="2" t="s">
        <v>5589</v>
      </c>
      <c r="E111" s="2" t="s">
        <v>810</v>
      </c>
      <c r="F111" s="2"/>
      <c r="G111" s="2"/>
      <c r="H111" s="2" t="s">
        <v>393</v>
      </c>
      <c r="I111" s="2" t="s">
        <v>570</v>
      </c>
      <c r="J111" s="2"/>
      <c r="K111" s="2" t="s">
        <v>426</v>
      </c>
      <c r="L111" s="2" t="s">
        <v>5345</v>
      </c>
      <c r="M111" s="2" t="s">
        <v>5079</v>
      </c>
      <c r="N111" s="2" t="s">
        <v>5325</v>
      </c>
      <c r="O111" s="2" t="s">
        <v>5335</v>
      </c>
      <c r="P111" s="2" t="s">
        <v>5590</v>
      </c>
      <c r="Q111" s="2" t="s">
        <v>5091</v>
      </c>
      <c r="R111" s="2" t="s">
        <v>5079</v>
      </c>
      <c r="S111" s="2"/>
    </row>
    <row r="112" spans="1:19" x14ac:dyDescent="0.2">
      <c r="A112" s="2">
        <v>439</v>
      </c>
      <c r="B112" s="6" t="s">
        <v>813</v>
      </c>
      <c r="C112" s="2" t="s">
        <v>5591</v>
      </c>
      <c r="D112" s="2" t="s">
        <v>5592</v>
      </c>
      <c r="E112" s="2" t="s">
        <v>816</v>
      </c>
      <c r="F112" s="2"/>
      <c r="G112" s="2"/>
      <c r="H112" s="2" t="s">
        <v>393</v>
      </c>
      <c r="I112" s="2" t="s">
        <v>817</v>
      </c>
      <c r="J112" s="2"/>
      <c r="K112" s="2" t="s">
        <v>26</v>
      </c>
      <c r="L112" s="2" t="s">
        <v>5078</v>
      </c>
      <c r="M112" s="2" t="s">
        <v>5178</v>
      </c>
      <c r="N112" s="2" t="s">
        <v>5325</v>
      </c>
      <c r="O112" s="2" t="s">
        <v>5081</v>
      </c>
      <c r="P112" s="2" t="s">
        <v>5082</v>
      </c>
      <c r="Q112" s="2"/>
      <c r="R112" s="2" t="s">
        <v>5178</v>
      </c>
      <c r="S112" s="2"/>
    </row>
    <row r="113" spans="1:19" x14ac:dyDescent="0.2">
      <c r="A113" s="2">
        <v>441</v>
      </c>
      <c r="B113" s="6" t="s">
        <v>819</v>
      </c>
      <c r="C113" s="2" t="s">
        <v>5593</v>
      </c>
      <c r="D113" s="2" t="s">
        <v>5594</v>
      </c>
      <c r="E113" s="2" t="s">
        <v>822</v>
      </c>
      <c r="F113" s="2" t="s">
        <v>823</v>
      </c>
      <c r="G113" s="2" t="s">
        <v>824</v>
      </c>
      <c r="H113" s="2" t="s">
        <v>393</v>
      </c>
      <c r="I113" s="2" t="s">
        <v>825</v>
      </c>
      <c r="J113" s="2"/>
      <c r="K113" s="2" t="s">
        <v>412</v>
      </c>
      <c r="L113" s="2" t="s">
        <v>5334</v>
      </c>
      <c r="M113" s="2" t="s">
        <v>5595</v>
      </c>
      <c r="N113" s="2" t="s">
        <v>5325</v>
      </c>
      <c r="O113" s="2" t="s">
        <v>5392</v>
      </c>
      <c r="P113" s="2" t="s">
        <v>5596</v>
      </c>
      <c r="Q113" s="2" t="s">
        <v>5578</v>
      </c>
      <c r="R113" s="2" t="s">
        <v>5595</v>
      </c>
      <c r="S113" s="2"/>
    </row>
    <row r="114" spans="1:19" x14ac:dyDescent="0.2">
      <c r="A114" s="2">
        <v>442</v>
      </c>
      <c r="B114" s="6" t="s">
        <v>829</v>
      </c>
      <c r="C114" s="2" t="s">
        <v>5597</v>
      </c>
      <c r="D114" s="2" t="s">
        <v>5598</v>
      </c>
      <c r="E114" s="2" t="s">
        <v>558</v>
      </c>
      <c r="F114" s="2" t="s">
        <v>832</v>
      </c>
      <c r="G114" s="2" t="s">
        <v>833</v>
      </c>
      <c r="H114" s="2" t="s">
        <v>393</v>
      </c>
      <c r="I114" s="2" t="s">
        <v>825</v>
      </c>
      <c r="J114" s="2"/>
      <c r="K114" s="2" t="s">
        <v>412</v>
      </c>
      <c r="L114" s="2" t="s">
        <v>5334</v>
      </c>
      <c r="M114" s="2" t="s">
        <v>5599</v>
      </c>
      <c r="N114" s="2" t="s">
        <v>5325</v>
      </c>
      <c r="O114" s="2" t="s">
        <v>5335</v>
      </c>
      <c r="P114" s="2" t="s">
        <v>5600</v>
      </c>
      <c r="Q114" s="2" t="s">
        <v>5578</v>
      </c>
      <c r="R114" s="2" t="s">
        <v>5599</v>
      </c>
      <c r="S114" s="2"/>
    </row>
    <row r="115" spans="1:19" x14ac:dyDescent="0.2">
      <c r="A115" s="2">
        <v>443</v>
      </c>
      <c r="B115" s="6" t="s">
        <v>837</v>
      </c>
      <c r="C115" s="2" t="s">
        <v>5601</v>
      </c>
      <c r="D115" s="2" t="s">
        <v>5602</v>
      </c>
      <c r="E115" s="2" t="s">
        <v>840</v>
      </c>
      <c r="F115" s="2"/>
      <c r="G115" s="2"/>
      <c r="H115" s="2" t="s">
        <v>393</v>
      </c>
      <c r="I115" s="2" t="s">
        <v>5603</v>
      </c>
      <c r="J115" s="2"/>
      <c r="K115" s="2" t="s">
        <v>39</v>
      </c>
      <c r="L115" s="2" t="s">
        <v>5087</v>
      </c>
      <c r="M115" s="2" t="s">
        <v>5079</v>
      </c>
      <c r="N115" s="2" t="s">
        <v>5325</v>
      </c>
      <c r="O115" s="2" t="s">
        <v>5335</v>
      </c>
      <c r="P115" s="2" t="s">
        <v>5604</v>
      </c>
      <c r="Q115" s="2" t="s">
        <v>5091</v>
      </c>
      <c r="R115" s="2" t="s">
        <v>5079</v>
      </c>
      <c r="S115" s="2"/>
    </row>
    <row r="116" spans="1:19" x14ac:dyDescent="0.2">
      <c r="A116" s="2">
        <v>1664</v>
      </c>
      <c r="B116" s="6" t="s">
        <v>843</v>
      </c>
      <c r="C116" s="2" t="s">
        <v>5605</v>
      </c>
      <c r="D116" s="2" t="s">
        <v>5606</v>
      </c>
      <c r="E116" s="2" t="s">
        <v>846</v>
      </c>
      <c r="F116" s="2" t="s">
        <v>846</v>
      </c>
      <c r="G116" s="2" t="s">
        <v>846</v>
      </c>
      <c r="H116" s="2" t="s">
        <v>393</v>
      </c>
      <c r="I116" s="2" t="s">
        <v>438</v>
      </c>
      <c r="J116" s="2"/>
      <c r="K116" s="2" t="s">
        <v>26</v>
      </c>
      <c r="L116" s="2" t="s">
        <v>5078</v>
      </c>
      <c r="M116" s="2" t="s">
        <v>5079</v>
      </c>
      <c r="N116" s="2" t="s">
        <v>5325</v>
      </c>
      <c r="O116" s="2" t="s">
        <v>5330</v>
      </c>
      <c r="P116" s="2" t="s">
        <v>5607</v>
      </c>
      <c r="Q116" s="2" t="s">
        <v>5608</v>
      </c>
      <c r="R116" s="2" t="s">
        <v>5079</v>
      </c>
      <c r="S116" s="2"/>
    </row>
    <row r="117" spans="1:19" x14ac:dyDescent="0.2">
      <c r="A117" s="2">
        <v>1665</v>
      </c>
      <c r="B117" s="6" t="s">
        <v>849</v>
      </c>
      <c r="C117" s="2" t="s">
        <v>5609</v>
      </c>
      <c r="D117" s="2" t="s">
        <v>5610</v>
      </c>
      <c r="E117" s="2" t="s">
        <v>77</v>
      </c>
      <c r="F117" s="2" t="s">
        <v>77</v>
      </c>
      <c r="G117" s="2" t="s">
        <v>77</v>
      </c>
      <c r="H117" s="2" t="s">
        <v>393</v>
      </c>
      <c r="I117" s="2" t="s">
        <v>5611</v>
      </c>
      <c r="J117" s="2"/>
      <c r="K117" s="2" t="s">
        <v>39</v>
      </c>
      <c r="L117" s="2" t="s">
        <v>5087</v>
      </c>
      <c r="M117" s="2" t="s">
        <v>5167</v>
      </c>
      <c r="N117" s="2" t="s">
        <v>5325</v>
      </c>
      <c r="O117" s="2" t="s">
        <v>5330</v>
      </c>
      <c r="P117" s="2" t="s">
        <v>5612</v>
      </c>
      <c r="Q117" s="2" t="s">
        <v>5235</v>
      </c>
      <c r="R117" s="2" t="s">
        <v>5167</v>
      </c>
      <c r="S117" s="2" t="s">
        <v>5613</v>
      </c>
    </row>
    <row r="118" spans="1:19" x14ac:dyDescent="0.2">
      <c r="A118" s="2">
        <v>1667</v>
      </c>
      <c r="B118" s="6" t="s">
        <v>855</v>
      </c>
      <c r="C118" s="2" t="s">
        <v>5614</v>
      </c>
      <c r="D118" s="2" t="s">
        <v>5615</v>
      </c>
      <c r="E118" s="2" t="s">
        <v>858</v>
      </c>
      <c r="F118" s="2" t="s">
        <v>588</v>
      </c>
      <c r="G118" s="2" t="s">
        <v>588</v>
      </c>
      <c r="H118" s="2" t="s">
        <v>393</v>
      </c>
      <c r="I118" s="2" t="s">
        <v>5616</v>
      </c>
      <c r="J118" s="2"/>
      <c r="K118" s="2" t="s">
        <v>39</v>
      </c>
      <c r="L118" s="2" t="s">
        <v>5087</v>
      </c>
      <c r="M118" s="2" t="s">
        <v>5617</v>
      </c>
      <c r="N118" s="2" t="s">
        <v>5325</v>
      </c>
      <c r="O118" s="2" t="s">
        <v>5326</v>
      </c>
      <c r="P118" s="2" t="s">
        <v>5618</v>
      </c>
      <c r="Q118" s="2" t="s">
        <v>5091</v>
      </c>
      <c r="R118" s="2" t="s">
        <v>5617</v>
      </c>
      <c r="S118" s="2"/>
    </row>
    <row r="119" spans="1:19" x14ac:dyDescent="0.2">
      <c r="A119" s="2">
        <v>2120</v>
      </c>
      <c r="B119" s="6" t="s">
        <v>863</v>
      </c>
      <c r="C119" s="2" t="s">
        <v>5619</v>
      </c>
      <c r="D119" s="2" t="s">
        <v>5620</v>
      </c>
      <c r="E119" s="2" t="s">
        <v>866</v>
      </c>
      <c r="F119" s="2" t="s">
        <v>866</v>
      </c>
      <c r="G119" s="2" t="s">
        <v>866</v>
      </c>
      <c r="H119" s="2" t="s">
        <v>393</v>
      </c>
      <c r="I119" s="2" t="s">
        <v>867</v>
      </c>
      <c r="J119" s="2"/>
      <c r="K119" s="2" t="s">
        <v>412</v>
      </c>
      <c r="L119" s="2" t="s">
        <v>5334</v>
      </c>
      <c r="M119" s="2" t="s">
        <v>5095</v>
      </c>
      <c r="N119" s="2" t="s">
        <v>5325</v>
      </c>
      <c r="O119" s="2" t="s">
        <v>5335</v>
      </c>
      <c r="P119" s="2" t="s">
        <v>5621</v>
      </c>
      <c r="Q119" s="2" t="s">
        <v>5091</v>
      </c>
      <c r="R119" s="2" t="s">
        <v>5622</v>
      </c>
      <c r="S119" s="2" t="s">
        <v>5471</v>
      </c>
    </row>
    <row r="120" spans="1:19" x14ac:dyDescent="0.2">
      <c r="A120" s="2">
        <v>2125</v>
      </c>
      <c r="B120" s="6" t="s">
        <v>870</v>
      </c>
      <c r="C120" s="2" t="s">
        <v>5623</v>
      </c>
      <c r="D120" s="2" t="s">
        <v>5624</v>
      </c>
      <c r="E120" s="2" t="s">
        <v>873</v>
      </c>
      <c r="F120" s="2" t="s">
        <v>625</v>
      </c>
      <c r="G120" s="2" t="s">
        <v>625</v>
      </c>
      <c r="H120" s="2" t="s">
        <v>393</v>
      </c>
      <c r="I120" s="2" t="s">
        <v>874</v>
      </c>
      <c r="J120" s="2"/>
      <c r="K120" s="2" t="s">
        <v>26</v>
      </c>
      <c r="L120" s="2" t="s">
        <v>5078</v>
      </c>
      <c r="M120" s="2" t="s">
        <v>5625</v>
      </c>
      <c r="N120" s="2" t="s">
        <v>5325</v>
      </c>
      <c r="O120" s="2" t="s">
        <v>5326</v>
      </c>
      <c r="P120" s="2" t="s">
        <v>5626</v>
      </c>
      <c r="Q120" s="2"/>
      <c r="R120" s="2" t="s">
        <v>5107</v>
      </c>
      <c r="S120" s="2"/>
    </row>
    <row r="121" spans="1:19" x14ac:dyDescent="0.2">
      <c r="A121" s="2">
        <v>2129</v>
      </c>
      <c r="B121" s="6" t="s">
        <v>877</v>
      </c>
      <c r="C121" s="2" t="s">
        <v>5627</v>
      </c>
      <c r="D121" s="2" t="s">
        <v>5628</v>
      </c>
      <c r="E121" s="2" t="s">
        <v>22</v>
      </c>
      <c r="F121" s="2" t="s">
        <v>22</v>
      </c>
      <c r="G121" s="2" t="s">
        <v>22</v>
      </c>
      <c r="H121" s="2" t="s">
        <v>393</v>
      </c>
      <c r="I121" s="2" t="s">
        <v>5629</v>
      </c>
      <c r="J121" s="2"/>
      <c r="K121" s="2" t="s">
        <v>493</v>
      </c>
      <c r="L121" s="2" t="s">
        <v>5387</v>
      </c>
      <c r="M121" s="2" t="s">
        <v>5193</v>
      </c>
      <c r="N121" s="2" t="s">
        <v>5325</v>
      </c>
      <c r="O121" s="2" t="s">
        <v>5335</v>
      </c>
      <c r="P121" s="2" t="s">
        <v>5630</v>
      </c>
      <c r="Q121" s="2" t="s">
        <v>5091</v>
      </c>
      <c r="R121" s="2" t="s">
        <v>5193</v>
      </c>
      <c r="S121" s="2" t="s">
        <v>5613</v>
      </c>
    </row>
    <row r="122" spans="1:19" x14ac:dyDescent="0.2">
      <c r="A122" s="2">
        <v>1</v>
      </c>
      <c r="B122" s="6" t="s">
        <v>882</v>
      </c>
      <c r="C122" s="2" t="s">
        <v>5631</v>
      </c>
      <c r="D122" s="2" t="s">
        <v>5632</v>
      </c>
      <c r="E122" s="2" t="s">
        <v>885</v>
      </c>
      <c r="F122" s="2"/>
      <c r="G122" s="2"/>
      <c r="H122" s="2" t="s">
        <v>393</v>
      </c>
      <c r="I122" s="2" t="s">
        <v>886</v>
      </c>
      <c r="J122" s="2" t="s">
        <v>135</v>
      </c>
      <c r="K122" s="2" t="s">
        <v>26</v>
      </c>
      <c r="L122" s="2" t="s">
        <v>5078</v>
      </c>
      <c r="M122" s="2" t="s">
        <v>5079</v>
      </c>
      <c r="N122" s="2" t="s">
        <v>5325</v>
      </c>
      <c r="O122" s="2" t="s">
        <v>5330</v>
      </c>
      <c r="P122" s="2" t="s">
        <v>5633</v>
      </c>
      <c r="Q122" s="2" t="s">
        <v>5634</v>
      </c>
      <c r="R122" s="2" t="s">
        <v>5079</v>
      </c>
      <c r="S122" s="2"/>
    </row>
    <row r="123" spans="1:19" x14ac:dyDescent="0.2">
      <c r="A123" s="2">
        <v>1019</v>
      </c>
      <c r="B123" s="6" t="s">
        <v>890</v>
      </c>
      <c r="C123" s="2" t="s">
        <v>5635</v>
      </c>
      <c r="D123" s="2" t="s">
        <v>5636</v>
      </c>
      <c r="E123" s="2" t="s">
        <v>893</v>
      </c>
      <c r="F123" s="2"/>
      <c r="G123" s="2"/>
      <c r="H123" s="2" t="s">
        <v>393</v>
      </c>
      <c r="I123" s="2" t="s">
        <v>894</v>
      </c>
      <c r="J123" s="2"/>
      <c r="K123" s="2" t="s">
        <v>26</v>
      </c>
      <c r="L123" s="2" t="s">
        <v>5078</v>
      </c>
      <c r="M123" s="2"/>
      <c r="N123" s="2" t="s">
        <v>5325</v>
      </c>
      <c r="O123" s="2" t="s">
        <v>5081</v>
      </c>
      <c r="P123" s="2" t="s">
        <v>5637</v>
      </c>
      <c r="Q123" s="2" t="s">
        <v>5638</v>
      </c>
      <c r="R123" s="2"/>
      <c r="S123" s="2" t="s">
        <v>5639</v>
      </c>
    </row>
    <row r="124" spans="1:19" x14ac:dyDescent="0.2">
      <c r="A124" s="2">
        <v>445</v>
      </c>
      <c r="B124" s="6" t="s">
        <v>899</v>
      </c>
      <c r="C124" s="2" t="s">
        <v>5640</v>
      </c>
      <c r="D124" s="2" t="s">
        <v>5641</v>
      </c>
      <c r="E124" s="2" t="s">
        <v>902</v>
      </c>
      <c r="F124" s="2"/>
      <c r="G124" s="2"/>
      <c r="H124" s="2" t="s">
        <v>393</v>
      </c>
      <c r="I124" s="2" t="s">
        <v>903</v>
      </c>
      <c r="J124" s="2"/>
      <c r="K124" s="2" t="s">
        <v>26</v>
      </c>
      <c r="L124" s="2" t="s">
        <v>5078</v>
      </c>
      <c r="M124" s="2" t="s">
        <v>5100</v>
      </c>
      <c r="N124" s="2" t="s">
        <v>5325</v>
      </c>
      <c r="O124" s="2" t="s">
        <v>5326</v>
      </c>
      <c r="P124" s="2" t="s">
        <v>5642</v>
      </c>
      <c r="Q124" s="2" t="s">
        <v>5578</v>
      </c>
      <c r="R124" s="2" t="s">
        <v>5643</v>
      </c>
      <c r="S124" s="2"/>
    </row>
    <row r="125" spans="1:19" x14ac:dyDescent="0.2">
      <c r="A125" s="2">
        <v>451</v>
      </c>
      <c r="B125" s="6" t="s">
        <v>905</v>
      </c>
      <c r="C125" s="2" t="s">
        <v>5644</v>
      </c>
      <c r="D125" s="2" t="s">
        <v>5645</v>
      </c>
      <c r="E125" s="2" t="s">
        <v>908</v>
      </c>
      <c r="F125" s="2"/>
      <c r="G125" s="2"/>
      <c r="H125" s="2" t="s">
        <v>393</v>
      </c>
      <c r="I125" s="2" t="s">
        <v>739</v>
      </c>
      <c r="J125" s="2"/>
      <c r="K125" s="2" t="s">
        <v>412</v>
      </c>
      <c r="L125" s="2" t="s">
        <v>5334</v>
      </c>
      <c r="M125" s="2" t="s">
        <v>5079</v>
      </c>
      <c r="N125" s="2" t="s">
        <v>5325</v>
      </c>
      <c r="O125" s="2" t="s">
        <v>5335</v>
      </c>
      <c r="P125" s="2" t="s">
        <v>5646</v>
      </c>
      <c r="Q125" s="2" t="s">
        <v>5587</v>
      </c>
      <c r="R125" s="2" t="s">
        <v>5079</v>
      </c>
      <c r="S125" s="2"/>
    </row>
    <row r="126" spans="1:19" x14ac:dyDescent="0.2">
      <c r="A126" s="2">
        <v>454</v>
      </c>
      <c r="B126" s="6" t="s">
        <v>910</v>
      </c>
      <c r="C126" s="2" t="s">
        <v>5647</v>
      </c>
      <c r="D126" s="2" t="s">
        <v>5648</v>
      </c>
      <c r="E126" s="2" t="s">
        <v>913</v>
      </c>
      <c r="F126" s="2"/>
      <c r="G126" s="2"/>
      <c r="H126" s="2" t="s">
        <v>393</v>
      </c>
      <c r="I126" s="2" t="s">
        <v>914</v>
      </c>
      <c r="J126" s="2"/>
      <c r="K126" s="2" t="s">
        <v>39</v>
      </c>
      <c r="L126" s="2" t="s">
        <v>5087</v>
      </c>
      <c r="M126" s="2" t="s">
        <v>5079</v>
      </c>
      <c r="N126" s="2" t="s">
        <v>5325</v>
      </c>
      <c r="O126" s="2" t="s">
        <v>5326</v>
      </c>
      <c r="P126" s="2" t="s">
        <v>5649</v>
      </c>
      <c r="Q126" s="2" t="s">
        <v>5091</v>
      </c>
      <c r="R126" s="2" t="s">
        <v>5079</v>
      </c>
      <c r="S126" s="2" t="s">
        <v>5650</v>
      </c>
    </row>
    <row r="127" spans="1:19" x14ac:dyDescent="0.2">
      <c r="A127" s="2">
        <v>455</v>
      </c>
      <c r="B127" s="6" t="s">
        <v>918</v>
      </c>
      <c r="C127" s="2" t="s">
        <v>5651</v>
      </c>
      <c r="D127" s="2" t="s">
        <v>5652</v>
      </c>
      <c r="E127" s="2" t="s">
        <v>751</v>
      </c>
      <c r="F127" s="2"/>
      <c r="G127" s="2"/>
      <c r="H127" s="2" t="s">
        <v>393</v>
      </c>
      <c r="I127" s="2" t="s">
        <v>921</v>
      </c>
      <c r="J127" s="2"/>
      <c r="K127" s="2" t="s">
        <v>26</v>
      </c>
      <c r="L127" s="2" t="s">
        <v>5078</v>
      </c>
      <c r="M127" s="2" t="s">
        <v>5079</v>
      </c>
      <c r="N127" s="2" t="s">
        <v>5325</v>
      </c>
      <c r="O127" s="2" t="s">
        <v>5326</v>
      </c>
      <c r="P127" s="2" t="s">
        <v>5653</v>
      </c>
      <c r="Q127" s="2" t="s">
        <v>5091</v>
      </c>
      <c r="R127" s="2" t="s">
        <v>5079</v>
      </c>
      <c r="S127" s="2"/>
    </row>
    <row r="128" spans="1:19" x14ac:dyDescent="0.2">
      <c r="A128" s="2">
        <v>456</v>
      </c>
      <c r="B128" s="6" t="s">
        <v>924</v>
      </c>
      <c r="C128" s="2" t="s">
        <v>5654</v>
      </c>
      <c r="D128" s="2" t="s">
        <v>5655</v>
      </c>
      <c r="E128" s="2" t="s">
        <v>927</v>
      </c>
      <c r="F128" s="2"/>
      <c r="G128" s="2"/>
      <c r="H128" s="2" t="s">
        <v>393</v>
      </c>
      <c r="I128" s="2" t="s">
        <v>5656</v>
      </c>
      <c r="J128" s="2"/>
      <c r="K128" s="2" t="s">
        <v>39</v>
      </c>
      <c r="L128" s="2" t="s">
        <v>5087</v>
      </c>
      <c r="M128" s="2" t="s">
        <v>5100</v>
      </c>
      <c r="N128" s="2" t="s">
        <v>5325</v>
      </c>
      <c r="O128" s="2" t="s">
        <v>5081</v>
      </c>
      <c r="P128" s="2" t="s">
        <v>5657</v>
      </c>
      <c r="Q128" s="2" t="s">
        <v>5658</v>
      </c>
      <c r="R128" s="2" t="s">
        <v>5100</v>
      </c>
      <c r="S128" s="2"/>
    </row>
    <row r="129" spans="1:19" x14ac:dyDescent="0.2">
      <c r="A129" s="2">
        <v>458</v>
      </c>
      <c r="B129" s="6" t="s">
        <v>932</v>
      </c>
      <c r="C129" s="2" t="s">
        <v>5659</v>
      </c>
      <c r="D129" s="2" t="s">
        <v>5660</v>
      </c>
      <c r="E129" s="2" t="s">
        <v>935</v>
      </c>
      <c r="F129" s="2"/>
      <c r="G129" s="2"/>
      <c r="H129" s="2" t="s">
        <v>393</v>
      </c>
      <c r="I129" s="2" t="s">
        <v>756</v>
      </c>
      <c r="J129" s="2"/>
      <c r="K129" s="2" t="s">
        <v>412</v>
      </c>
      <c r="L129" s="2" t="s">
        <v>5334</v>
      </c>
      <c r="M129" s="2" t="s">
        <v>5599</v>
      </c>
      <c r="N129" s="2" t="s">
        <v>5325</v>
      </c>
      <c r="O129" s="2" t="s">
        <v>5335</v>
      </c>
      <c r="P129" s="2" t="s">
        <v>5661</v>
      </c>
      <c r="Q129" s="2" t="s">
        <v>5573</v>
      </c>
      <c r="R129" s="2" t="s">
        <v>5599</v>
      </c>
      <c r="S129" s="2"/>
    </row>
    <row r="130" spans="1:19" x14ac:dyDescent="0.2">
      <c r="A130" s="2">
        <v>459</v>
      </c>
      <c r="B130" s="6" t="s">
        <v>938</v>
      </c>
      <c r="C130" s="2" t="s">
        <v>5662</v>
      </c>
      <c r="D130" s="2" t="s">
        <v>5663</v>
      </c>
      <c r="E130" s="2" t="s">
        <v>751</v>
      </c>
      <c r="F130" s="2"/>
      <c r="G130" s="2"/>
      <c r="H130" s="2" t="s">
        <v>393</v>
      </c>
      <c r="I130" s="2" t="s">
        <v>756</v>
      </c>
      <c r="J130" s="2"/>
      <c r="K130" s="2" t="s">
        <v>412</v>
      </c>
      <c r="L130" s="2" t="s">
        <v>5334</v>
      </c>
      <c r="M130" s="2" t="s">
        <v>5079</v>
      </c>
      <c r="N130" s="2" t="s">
        <v>5325</v>
      </c>
      <c r="O130" s="2" t="s">
        <v>5335</v>
      </c>
      <c r="P130" s="2" t="s">
        <v>5664</v>
      </c>
      <c r="Q130" s="2" t="s">
        <v>5573</v>
      </c>
      <c r="R130" s="2" t="s">
        <v>5665</v>
      </c>
      <c r="S130" s="2"/>
    </row>
    <row r="131" spans="1:19" x14ac:dyDescent="0.2">
      <c r="A131" s="2">
        <v>460</v>
      </c>
      <c r="B131" s="6" t="s">
        <v>943</v>
      </c>
      <c r="C131" s="2" t="s">
        <v>5666</v>
      </c>
      <c r="D131" s="2" t="s">
        <v>5667</v>
      </c>
      <c r="E131" s="2" t="s">
        <v>946</v>
      </c>
      <c r="F131" s="2"/>
      <c r="G131" s="2"/>
      <c r="H131" s="2" t="s">
        <v>393</v>
      </c>
      <c r="I131" s="2" t="s">
        <v>756</v>
      </c>
      <c r="J131" s="2"/>
      <c r="K131" s="2" t="s">
        <v>26</v>
      </c>
      <c r="L131" s="2" t="s">
        <v>5078</v>
      </c>
      <c r="M131" s="2" t="s">
        <v>5079</v>
      </c>
      <c r="N131" s="2" t="s">
        <v>5325</v>
      </c>
      <c r="O131" s="2" t="s">
        <v>5326</v>
      </c>
      <c r="P131" s="2" t="s">
        <v>5668</v>
      </c>
      <c r="Q131" s="2" t="s">
        <v>5091</v>
      </c>
      <c r="R131" s="2" t="s">
        <v>5079</v>
      </c>
      <c r="S131" s="2"/>
    </row>
    <row r="132" spans="1:19" x14ac:dyDescent="0.2">
      <c r="A132" s="2">
        <v>461</v>
      </c>
      <c r="B132" s="6" t="s">
        <v>948</v>
      </c>
      <c r="C132" s="2" t="s">
        <v>5669</v>
      </c>
      <c r="D132" s="2" t="s">
        <v>5670</v>
      </c>
      <c r="E132" s="2" t="s">
        <v>778</v>
      </c>
      <c r="F132" s="2"/>
      <c r="G132" s="2"/>
      <c r="H132" s="2" t="s">
        <v>393</v>
      </c>
      <c r="I132" s="2" t="s">
        <v>756</v>
      </c>
      <c r="J132" s="2"/>
      <c r="K132" s="2" t="s">
        <v>26</v>
      </c>
      <c r="L132" s="2" t="s">
        <v>5078</v>
      </c>
      <c r="M132" s="2" t="s">
        <v>5079</v>
      </c>
      <c r="N132" s="2" t="s">
        <v>5325</v>
      </c>
      <c r="O132" s="2" t="s">
        <v>5335</v>
      </c>
      <c r="P132" s="2" t="s">
        <v>5671</v>
      </c>
      <c r="Q132" s="2" t="s">
        <v>5091</v>
      </c>
      <c r="R132" s="2" t="s">
        <v>5079</v>
      </c>
      <c r="S132" s="2"/>
    </row>
    <row r="133" spans="1:19" x14ac:dyDescent="0.2">
      <c r="A133" s="2">
        <v>462</v>
      </c>
      <c r="B133" s="6" t="s">
        <v>952</v>
      </c>
      <c r="C133" s="2" t="s">
        <v>5672</v>
      </c>
      <c r="D133" s="2" t="s">
        <v>5673</v>
      </c>
      <c r="E133" s="2" t="s">
        <v>955</v>
      </c>
      <c r="F133" s="2"/>
      <c r="G133" s="2"/>
      <c r="H133" s="2" t="s">
        <v>393</v>
      </c>
      <c r="I133" s="2" t="s">
        <v>756</v>
      </c>
      <c r="J133" s="2"/>
      <c r="K133" s="2" t="s">
        <v>412</v>
      </c>
      <c r="L133" s="2" t="s">
        <v>5334</v>
      </c>
      <c r="M133" s="2" t="s">
        <v>5079</v>
      </c>
      <c r="N133" s="2" t="s">
        <v>5325</v>
      </c>
      <c r="O133" s="2" t="s">
        <v>5335</v>
      </c>
      <c r="P133" s="2" t="s">
        <v>5674</v>
      </c>
      <c r="Q133" s="2" t="s">
        <v>5675</v>
      </c>
      <c r="R133" s="2" t="s">
        <v>5676</v>
      </c>
      <c r="S133" s="2"/>
    </row>
    <row r="134" spans="1:19" x14ac:dyDescent="0.2">
      <c r="A134" s="2">
        <v>463</v>
      </c>
      <c r="B134" s="6" t="s">
        <v>959</v>
      </c>
      <c r="C134" s="2" t="s">
        <v>5677</v>
      </c>
      <c r="D134" s="2" t="s">
        <v>5678</v>
      </c>
      <c r="E134" s="2" t="s">
        <v>745</v>
      </c>
      <c r="F134" s="2"/>
      <c r="G134" s="2"/>
      <c r="H134" s="2" t="s">
        <v>393</v>
      </c>
      <c r="I134" s="2" t="s">
        <v>659</v>
      </c>
      <c r="J134" s="2"/>
      <c r="K134" s="2" t="s">
        <v>426</v>
      </c>
      <c r="L134" s="2" t="s">
        <v>5345</v>
      </c>
      <c r="M134" s="2" t="s">
        <v>5679</v>
      </c>
      <c r="N134" s="2" t="s">
        <v>5325</v>
      </c>
      <c r="O134" s="2" t="s">
        <v>5335</v>
      </c>
      <c r="P134" s="2" t="s">
        <v>5680</v>
      </c>
      <c r="Q134" s="2" t="s">
        <v>5091</v>
      </c>
      <c r="R134" s="2" t="s">
        <v>5681</v>
      </c>
      <c r="S134" s="2"/>
    </row>
    <row r="135" spans="1:19" x14ac:dyDescent="0.2">
      <c r="A135" s="2">
        <v>811</v>
      </c>
      <c r="B135" s="6" t="s">
        <v>965</v>
      </c>
      <c r="C135" s="2" t="s">
        <v>5682</v>
      </c>
      <c r="D135" s="2" t="s">
        <v>5683</v>
      </c>
      <c r="E135" s="2" t="s">
        <v>968</v>
      </c>
      <c r="F135" s="2" t="s">
        <v>968</v>
      </c>
      <c r="G135" s="2" t="s">
        <v>968</v>
      </c>
      <c r="H135" s="2" t="s">
        <v>393</v>
      </c>
      <c r="I135" s="2" t="s">
        <v>453</v>
      </c>
      <c r="J135" s="2"/>
      <c r="K135" s="2" t="s">
        <v>426</v>
      </c>
      <c r="L135" s="2" t="s">
        <v>5345</v>
      </c>
      <c r="M135" s="2" t="s">
        <v>5352</v>
      </c>
      <c r="N135" s="2" t="s">
        <v>5325</v>
      </c>
      <c r="O135" s="2" t="s">
        <v>5335</v>
      </c>
      <c r="P135" s="2" t="s">
        <v>5684</v>
      </c>
      <c r="Q135" s="2" t="s">
        <v>5091</v>
      </c>
      <c r="R135" s="2" t="s">
        <v>5352</v>
      </c>
      <c r="S135" s="2"/>
    </row>
    <row r="136" spans="1:19" x14ac:dyDescent="0.2">
      <c r="A136" s="2">
        <v>423</v>
      </c>
      <c r="B136" s="6" t="s">
        <v>970</v>
      </c>
      <c r="C136" s="2" t="s">
        <v>5685</v>
      </c>
      <c r="D136" s="2" t="s">
        <v>5686</v>
      </c>
      <c r="E136" s="2" t="s">
        <v>973</v>
      </c>
      <c r="F136" s="2"/>
      <c r="G136" s="2"/>
      <c r="H136" s="2" t="s">
        <v>393</v>
      </c>
      <c r="I136" s="2" t="s">
        <v>974</v>
      </c>
      <c r="J136" s="2"/>
      <c r="K136" s="2" t="s">
        <v>26</v>
      </c>
      <c r="L136" s="2" t="s">
        <v>5078</v>
      </c>
      <c r="M136" s="2" t="s">
        <v>5079</v>
      </c>
      <c r="N136" s="2" t="s">
        <v>5325</v>
      </c>
      <c r="O136" s="2" t="s">
        <v>5335</v>
      </c>
      <c r="P136" s="2" t="s">
        <v>5687</v>
      </c>
      <c r="Q136" s="2" t="s">
        <v>5091</v>
      </c>
      <c r="R136" s="2" t="s">
        <v>5079</v>
      </c>
      <c r="S136" s="2"/>
    </row>
    <row r="137" spans="1:19" x14ac:dyDescent="0.2">
      <c r="A137" s="2">
        <v>525</v>
      </c>
      <c r="B137" s="6" t="s">
        <v>976</v>
      </c>
      <c r="C137" s="2" t="s">
        <v>5688</v>
      </c>
      <c r="D137" s="2" t="s">
        <v>5689</v>
      </c>
      <c r="E137" s="2" t="s">
        <v>979</v>
      </c>
      <c r="F137" s="2" t="s">
        <v>980</v>
      </c>
      <c r="G137" s="2" t="s">
        <v>979</v>
      </c>
      <c r="H137" s="2" t="s">
        <v>393</v>
      </c>
      <c r="I137" s="2" t="s">
        <v>491</v>
      </c>
      <c r="J137" s="2"/>
      <c r="K137" s="2" t="s">
        <v>39</v>
      </c>
      <c r="L137" s="2" t="s">
        <v>5087</v>
      </c>
      <c r="M137" s="2" t="s">
        <v>5690</v>
      </c>
      <c r="N137" s="2" t="s">
        <v>5325</v>
      </c>
      <c r="O137" s="2" t="s">
        <v>5691</v>
      </c>
      <c r="P137" s="2" t="s">
        <v>5692</v>
      </c>
      <c r="Q137" s="2"/>
      <c r="R137" s="2" t="s">
        <v>5693</v>
      </c>
      <c r="S137" s="2"/>
    </row>
    <row r="138" spans="1:19" x14ac:dyDescent="0.2">
      <c r="A138" s="2">
        <v>526</v>
      </c>
      <c r="B138" s="6" t="s">
        <v>985</v>
      </c>
      <c r="C138" s="2" t="s">
        <v>5694</v>
      </c>
      <c r="D138" s="2" t="s">
        <v>5695</v>
      </c>
      <c r="E138" s="2" t="s">
        <v>988</v>
      </c>
      <c r="F138" s="2"/>
      <c r="G138" s="2"/>
      <c r="H138" s="2" t="s">
        <v>393</v>
      </c>
      <c r="I138" s="2" t="s">
        <v>491</v>
      </c>
      <c r="J138" s="2"/>
      <c r="K138" s="2" t="s">
        <v>26</v>
      </c>
      <c r="L138" s="2" t="s">
        <v>5078</v>
      </c>
      <c r="M138" s="2" t="s">
        <v>5079</v>
      </c>
      <c r="N138" s="2" t="s">
        <v>5325</v>
      </c>
      <c r="O138" s="2" t="s">
        <v>5691</v>
      </c>
      <c r="P138" s="2" t="s">
        <v>5696</v>
      </c>
      <c r="Q138" s="2" t="s">
        <v>5091</v>
      </c>
      <c r="R138" s="2" t="s">
        <v>5079</v>
      </c>
      <c r="S138" s="2"/>
    </row>
    <row r="139" spans="1:19" x14ac:dyDescent="0.2">
      <c r="A139" s="2">
        <v>527</v>
      </c>
      <c r="B139" s="6" t="s">
        <v>991</v>
      </c>
      <c r="C139" s="2" t="s">
        <v>5697</v>
      </c>
      <c r="D139" s="2" t="s">
        <v>5698</v>
      </c>
      <c r="E139" s="2" t="s">
        <v>994</v>
      </c>
      <c r="F139" s="2" t="s">
        <v>994</v>
      </c>
      <c r="G139" s="2" t="s">
        <v>994</v>
      </c>
      <c r="H139" s="2" t="s">
        <v>393</v>
      </c>
      <c r="I139" s="2" t="s">
        <v>5699</v>
      </c>
      <c r="J139" s="2" t="s">
        <v>5700</v>
      </c>
      <c r="K139" s="2" t="s">
        <v>39</v>
      </c>
      <c r="L139" s="2" t="s">
        <v>5087</v>
      </c>
      <c r="M139" s="2"/>
      <c r="N139" s="2" t="s">
        <v>5325</v>
      </c>
      <c r="O139" s="2" t="s">
        <v>5517</v>
      </c>
      <c r="P139" s="2" t="s">
        <v>5701</v>
      </c>
      <c r="Q139" s="2"/>
      <c r="R139" s="2"/>
      <c r="S139" s="2"/>
    </row>
    <row r="140" spans="1:19" x14ac:dyDescent="0.2">
      <c r="A140" s="2">
        <v>528</v>
      </c>
      <c r="B140" s="6" t="s">
        <v>999</v>
      </c>
      <c r="C140" s="2" t="s">
        <v>5702</v>
      </c>
      <c r="D140" s="2" t="s">
        <v>5703</v>
      </c>
      <c r="E140" s="2" t="s">
        <v>1002</v>
      </c>
      <c r="F140" s="2" t="s">
        <v>1002</v>
      </c>
      <c r="G140" s="2" t="s">
        <v>1002</v>
      </c>
      <c r="H140" s="2" t="s">
        <v>393</v>
      </c>
      <c r="I140" s="2" t="s">
        <v>1003</v>
      </c>
      <c r="J140" s="2"/>
      <c r="K140" s="2" t="s">
        <v>26</v>
      </c>
      <c r="L140" s="2" t="s">
        <v>5078</v>
      </c>
      <c r="M140" s="2" t="s">
        <v>5704</v>
      </c>
      <c r="N140" s="2" t="s">
        <v>5325</v>
      </c>
      <c r="O140" s="2" t="s">
        <v>5362</v>
      </c>
      <c r="P140" s="2" t="s">
        <v>5705</v>
      </c>
      <c r="Q140" s="2" t="s">
        <v>5091</v>
      </c>
      <c r="R140" s="2" t="s">
        <v>5706</v>
      </c>
      <c r="S140" s="2"/>
    </row>
    <row r="141" spans="1:19" x14ac:dyDescent="0.2">
      <c r="A141" s="2">
        <v>529</v>
      </c>
      <c r="B141" s="6" t="s">
        <v>1007</v>
      </c>
      <c r="C141" s="2" t="s">
        <v>5707</v>
      </c>
      <c r="D141" s="2" t="s">
        <v>5708</v>
      </c>
      <c r="E141" s="2" t="s">
        <v>1002</v>
      </c>
      <c r="F141" s="2"/>
      <c r="G141" s="2"/>
      <c r="H141" s="2" t="s">
        <v>393</v>
      </c>
      <c r="I141" s="2" t="s">
        <v>1010</v>
      </c>
      <c r="J141" s="2"/>
      <c r="K141" s="2" t="s">
        <v>1011</v>
      </c>
      <c r="L141" s="2" t="s">
        <v>5709</v>
      </c>
      <c r="M141" s="2" t="s">
        <v>5079</v>
      </c>
      <c r="N141" s="2" t="s">
        <v>5325</v>
      </c>
      <c r="O141" s="2" t="s">
        <v>5691</v>
      </c>
      <c r="P141" s="2" t="s">
        <v>5710</v>
      </c>
      <c r="Q141" s="2" t="s">
        <v>5091</v>
      </c>
      <c r="R141" s="2" t="s">
        <v>5711</v>
      </c>
      <c r="S141" s="2"/>
    </row>
    <row r="142" spans="1:19" x14ac:dyDescent="0.2">
      <c r="A142" s="2">
        <v>530</v>
      </c>
      <c r="B142" s="6" t="s">
        <v>1014</v>
      </c>
      <c r="C142" s="2" t="s">
        <v>5712</v>
      </c>
      <c r="D142" s="2" t="s">
        <v>5713</v>
      </c>
      <c r="E142" s="2" t="s">
        <v>1017</v>
      </c>
      <c r="F142" s="2" t="s">
        <v>1017</v>
      </c>
      <c r="G142" s="2" t="s">
        <v>1017</v>
      </c>
      <c r="H142" s="2" t="s">
        <v>393</v>
      </c>
      <c r="I142" s="2" t="s">
        <v>5714</v>
      </c>
      <c r="J142" s="2"/>
      <c r="K142" s="2" t="s">
        <v>39</v>
      </c>
      <c r="L142" s="2" t="s">
        <v>5087</v>
      </c>
      <c r="M142" s="2" t="s">
        <v>5715</v>
      </c>
      <c r="N142" s="2" t="s">
        <v>5325</v>
      </c>
      <c r="O142" s="2" t="s">
        <v>5691</v>
      </c>
      <c r="P142" s="2" t="s">
        <v>5716</v>
      </c>
      <c r="Q142" s="2" t="s">
        <v>5717</v>
      </c>
      <c r="R142" s="2" t="s">
        <v>5715</v>
      </c>
      <c r="S142" s="2"/>
    </row>
    <row r="143" spans="1:19" x14ac:dyDescent="0.2">
      <c r="A143" s="2">
        <v>533</v>
      </c>
      <c r="B143" s="6" t="s">
        <v>1023</v>
      </c>
      <c r="C143" s="2" t="s">
        <v>5718</v>
      </c>
      <c r="D143" s="2" t="s">
        <v>5719</v>
      </c>
      <c r="E143" s="2" t="s">
        <v>705</v>
      </c>
      <c r="F143" s="2" t="s">
        <v>705</v>
      </c>
      <c r="G143" s="2" t="s">
        <v>705</v>
      </c>
      <c r="H143" s="2" t="s">
        <v>393</v>
      </c>
      <c r="I143" s="2" t="s">
        <v>1026</v>
      </c>
      <c r="J143" s="2" t="s">
        <v>5386</v>
      </c>
      <c r="K143" s="2" t="s">
        <v>39</v>
      </c>
      <c r="L143" s="2" t="s">
        <v>5087</v>
      </c>
      <c r="M143" s="2" t="s">
        <v>5100</v>
      </c>
      <c r="N143" s="2" t="s">
        <v>5325</v>
      </c>
      <c r="O143" s="2" t="s">
        <v>5691</v>
      </c>
      <c r="P143" s="2" t="s">
        <v>5720</v>
      </c>
      <c r="Q143" s="2"/>
      <c r="R143" s="2" t="s">
        <v>5100</v>
      </c>
      <c r="S143" s="2"/>
    </row>
    <row r="144" spans="1:19" x14ac:dyDescent="0.2">
      <c r="A144" s="2">
        <v>535</v>
      </c>
      <c r="B144" s="6" t="s">
        <v>1028</v>
      </c>
      <c r="C144" s="2" t="s">
        <v>5721</v>
      </c>
      <c r="D144" s="2" t="s">
        <v>5722</v>
      </c>
      <c r="E144" s="2" t="s">
        <v>1031</v>
      </c>
      <c r="F144" s="2"/>
      <c r="G144" s="2"/>
      <c r="H144" s="2" t="s">
        <v>393</v>
      </c>
      <c r="I144" s="2" t="s">
        <v>5723</v>
      </c>
      <c r="J144" s="2"/>
      <c r="K144" s="2" t="s">
        <v>39</v>
      </c>
      <c r="L144" s="2" t="s">
        <v>5087</v>
      </c>
      <c r="M144" s="2" t="s">
        <v>5079</v>
      </c>
      <c r="N144" s="2" t="s">
        <v>5325</v>
      </c>
      <c r="O144" s="2" t="s">
        <v>5517</v>
      </c>
      <c r="P144" s="2" t="s">
        <v>5724</v>
      </c>
      <c r="Q144" s="2" t="s">
        <v>5091</v>
      </c>
      <c r="R144" s="2" t="s">
        <v>5079</v>
      </c>
      <c r="S144" s="2"/>
    </row>
    <row r="145" spans="1:19" x14ac:dyDescent="0.2">
      <c r="A145" s="2">
        <v>536</v>
      </c>
      <c r="B145" s="6" t="s">
        <v>1034</v>
      </c>
      <c r="C145" s="2" t="s">
        <v>5725</v>
      </c>
      <c r="D145" s="2" t="s">
        <v>5726</v>
      </c>
      <c r="E145" s="2" t="s">
        <v>1037</v>
      </c>
      <c r="F145" s="2" t="s">
        <v>788</v>
      </c>
      <c r="G145" s="2" t="s">
        <v>788</v>
      </c>
      <c r="H145" s="2" t="s">
        <v>393</v>
      </c>
      <c r="I145" s="2" t="s">
        <v>1038</v>
      </c>
      <c r="J145" s="2"/>
      <c r="K145" s="2" t="s">
        <v>39</v>
      </c>
      <c r="L145" s="2" t="s">
        <v>5087</v>
      </c>
      <c r="M145" s="2" t="s">
        <v>5100</v>
      </c>
      <c r="N145" s="2" t="s">
        <v>5325</v>
      </c>
      <c r="O145" s="2" t="s">
        <v>5517</v>
      </c>
      <c r="P145" s="2" t="s">
        <v>5727</v>
      </c>
      <c r="Q145" s="2"/>
      <c r="R145" s="2" t="s">
        <v>5524</v>
      </c>
      <c r="S145" s="2"/>
    </row>
    <row r="146" spans="1:19" x14ac:dyDescent="0.2">
      <c r="A146" s="2">
        <v>538</v>
      </c>
      <c r="B146" s="6" t="s">
        <v>1040</v>
      </c>
      <c r="C146" s="2" t="s">
        <v>5728</v>
      </c>
      <c r="D146" s="2" t="s">
        <v>5729</v>
      </c>
      <c r="E146" s="2" t="s">
        <v>1043</v>
      </c>
      <c r="F146" s="2"/>
      <c r="G146" s="2"/>
      <c r="H146" s="2" t="s">
        <v>393</v>
      </c>
      <c r="I146" s="2" t="s">
        <v>453</v>
      </c>
      <c r="J146" s="2"/>
      <c r="K146" s="2" t="s">
        <v>26</v>
      </c>
      <c r="L146" s="2" t="s">
        <v>5078</v>
      </c>
      <c r="M146" s="2" t="s">
        <v>5079</v>
      </c>
      <c r="N146" s="2" t="s">
        <v>5325</v>
      </c>
      <c r="O146" s="2" t="s">
        <v>5691</v>
      </c>
      <c r="P146" s="2" t="s">
        <v>5730</v>
      </c>
      <c r="Q146" s="2" t="s">
        <v>5091</v>
      </c>
      <c r="R146" s="2" t="s">
        <v>5079</v>
      </c>
      <c r="S146" s="2"/>
    </row>
    <row r="147" spans="1:19" x14ac:dyDescent="0.2">
      <c r="A147" s="2">
        <v>539</v>
      </c>
      <c r="B147" s="6" t="s">
        <v>1045</v>
      </c>
      <c r="C147" s="2" t="s">
        <v>5731</v>
      </c>
      <c r="D147" s="2" t="s">
        <v>5732</v>
      </c>
      <c r="E147" s="2" t="s">
        <v>452</v>
      </c>
      <c r="F147" s="2"/>
      <c r="G147" s="2"/>
      <c r="H147" s="2" t="s">
        <v>393</v>
      </c>
      <c r="I147" s="2" t="s">
        <v>453</v>
      </c>
      <c r="J147" s="2"/>
      <c r="K147" s="2" t="s">
        <v>1011</v>
      </c>
      <c r="L147" s="2" t="s">
        <v>5709</v>
      </c>
      <c r="M147" s="2" t="s">
        <v>5079</v>
      </c>
      <c r="N147" s="2" t="s">
        <v>5325</v>
      </c>
      <c r="O147" s="2" t="s">
        <v>5691</v>
      </c>
      <c r="P147" s="2" t="s">
        <v>5733</v>
      </c>
      <c r="Q147" s="2" t="s">
        <v>5091</v>
      </c>
      <c r="R147" s="2" t="s">
        <v>5079</v>
      </c>
      <c r="S147" s="2"/>
    </row>
    <row r="148" spans="1:19" x14ac:dyDescent="0.2">
      <c r="A148" s="2">
        <v>540</v>
      </c>
      <c r="B148" s="6" t="s">
        <v>1049</v>
      </c>
      <c r="C148" s="2" t="s">
        <v>5734</v>
      </c>
      <c r="D148" s="2" t="s">
        <v>5735</v>
      </c>
      <c r="E148" s="2" t="s">
        <v>1052</v>
      </c>
      <c r="F148" s="2"/>
      <c r="G148" s="2"/>
      <c r="H148" s="2" t="s">
        <v>393</v>
      </c>
      <c r="I148" s="2" t="s">
        <v>453</v>
      </c>
      <c r="J148" s="2"/>
      <c r="K148" s="2" t="s">
        <v>645</v>
      </c>
      <c r="L148" s="2" t="s">
        <v>5482</v>
      </c>
      <c r="M148" s="2" t="s">
        <v>5079</v>
      </c>
      <c r="N148" s="2" t="s">
        <v>5325</v>
      </c>
      <c r="O148" s="2" t="s">
        <v>5691</v>
      </c>
      <c r="P148" s="2" t="s">
        <v>5736</v>
      </c>
      <c r="Q148" s="2" t="s">
        <v>5091</v>
      </c>
      <c r="R148" s="2" t="s">
        <v>5079</v>
      </c>
      <c r="S148" s="2"/>
    </row>
    <row r="149" spans="1:19" x14ac:dyDescent="0.2">
      <c r="A149" s="2">
        <v>542</v>
      </c>
      <c r="B149" s="6" t="s">
        <v>1054</v>
      </c>
      <c r="C149" s="2" t="s">
        <v>5737</v>
      </c>
      <c r="D149" s="2" t="s">
        <v>5738</v>
      </c>
      <c r="E149" s="2" t="s">
        <v>1057</v>
      </c>
      <c r="F149" s="2"/>
      <c r="G149" s="2"/>
      <c r="H149" s="2" t="s">
        <v>393</v>
      </c>
      <c r="I149" s="2" t="s">
        <v>453</v>
      </c>
      <c r="J149" s="2"/>
      <c r="K149" s="2" t="s">
        <v>493</v>
      </c>
      <c r="L149" s="2" t="s">
        <v>5387</v>
      </c>
      <c r="M149" s="2" t="s">
        <v>5324</v>
      </c>
      <c r="N149" s="2" t="s">
        <v>5325</v>
      </c>
      <c r="O149" s="2" t="s">
        <v>5330</v>
      </c>
      <c r="P149" s="2" t="s">
        <v>5739</v>
      </c>
      <c r="Q149" s="2" t="s">
        <v>5091</v>
      </c>
      <c r="R149" s="2" t="s">
        <v>5324</v>
      </c>
      <c r="S149" s="2"/>
    </row>
    <row r="150" spans="1:19" x14ac:dyDescent="0.2">
      <c r="A150" s="2">
        <v>543</v>
      </c>
      <c r="B150" s="6" t="s">
        <v>1059</v>
      </c>
      <c r="C150" s="2" t="s">
        <v>5740</v>
      </c>
      <c r="D150" s="2" t="s">
        <v>5741</v>
      </c>
      <c r="E150" s="2" t="s">
        <v>1062</v>
      </c>
      <c r="F150" s="2"/>
      <c r="G150" s="2"/>
      <c r="H150" s="2" t="s">
        <v>393</v>
      </c>
      <c r="I150" s="2" t="s">
        <v>453</v>
      </c>
      <c r="J150" s="2"/>
      <c r="K150" s="2" t="s">
        <v>493</v>
      </c>
      <c r="L150" s="2" t="s">
        <v>5387</v>
      </c>
      <c r="M150" s="2" t="s">
        <v>5367</v>
      </c>
      <c r="N150" s="2" t="s">
        <v>5325</v>
      </c>
      <c r="O150" s="2" t="s">
        <v>5330</v>
      </c>
      <c r="P150" s="2" t="s">
        <v>5742</v>
      </c>
      <c r="Q150" s="2" t="s">
        <v>5091</v>
      </c>
      <c r="R150" s="2" t="s">
        <v>5743</v>
      </c>
      <c r="S150" s="2"/>
    </row>
    <row r="151" spans="1:19" x14ac:dyDescent="0.2">
      <c r="A151" s="2">
        <v>544</v>
      </c>
      <c r="B151" s="6" t="s">
        <v>1066</v>
      </c>
      <c r="C151" s="2" t="s">
        <v>5744</v>
      </c>
      <c r="D151" s="2" t="s">
        <v>5745</v>
      </c>
      <c r="E151" s="2" t="s">
        <v>1069</v>
      </c>
      <c r="F151" s="2"/>
      <c r="G151" s="2"/>
      <c r="H151" s="2" t="s">
        <v>393</v>
      </c>
      <c r="I151" s="2" t="s">
        <v>453</v>
      </c>
      <c r="J151" s="2"/>
      <c r="K151" s="2" t="s">
        <v>26</v>
      </c>
      <c r="L151" s="2" t="s">
        <v>5078</v>
      </c>
      <c r="M151" s="2" t="s">
        <v>5079</v>
      </c>
      <c r="N151" s="2" t="s">
        <v>5325</v>
      </c>
      <c r="O151" s="2" t="s">
        <v>5517</v>
      </c>
      <c r="P151" s="2" t="s">
        <v>5746</v>
      </c>
      <c r="Q151" s="2" t="s">
        <v>5091</v>
      </c>
      <c r="R151" s="2" t="s">
        <v>5079</v>
      </c>
      <c r="S151" s="2"/>
    </row>
    <row r="152" spans="1:19" x14ac:dyDescent="0.2">
      <c r="A152" s="2">
        <v>547</v>
      </c>
      <c r="B152" s="6" t="s">
        <v>1072</v>
      </c>
      <c r="C152" s="2" t="s">
        <v>5747</v>
      </c>
      <c r="D152" s="2" t="s">
        <v>5748</v>
      </c>
      <c r="E152" s="2" t="s">
        <v>1075</v>
      </c>
      <c r="F152" s="2"/>
      <c r="G152" s="2"/>
      <c r="H152" s="2" t="s">
        <v>393</v>
      </c>
      <c r="I152" s="2" t="s">
        <v>453</v>
      </c>
      <c r="J152" s="2"/>
      <c r="K152" s="2" t="s">
        <v>426</v>
      </c>
      <c r="L152" s="2" t="s">
        <v>5345</v>
      </c>
      <c r="M152" s="2" t="s">
        <v>5079</v>
      </c>
      <c r="N152" s="2" t="s">
        <v>5325</v>
      </c>
      <c r="O152" s="2" t="s">
        <v>5691</v>
      </c>
      <c r="P152" s="2" t="s">
        <v>5749</v>
      </c>
      <c r="Q152" s="2" t="s">
        <v>5091</v>
      </c>
      <c r="R152" s="2" t="s">
        <v>5079</v>
      </c>
      <c r="S152" s="2"/>
    </row>
    <row r="153" spans="1:19" x14ac:dyDescent="0.2">
      <c r="A153" s="2">
        <v>549</v>
      </c>
      <c r="B153" s="6" t="s">
        <v>1078</v>
      </c>
      <c r="C153" s="2" t="s">
        <v>5750</v>
      </c>
      <c r="D153" s="2" t="s">
        <v>5751</v>
      </c>
      <c r="E153" s="2" t="s">
        <v>1081</v>
      </c>
      <c r="F153" s="2"/>
      <c r="G153" s="2"/>
      <c r="H153" s="2" t="s">
        <v>393</v>
      </c>
      <c r="I153" s="2" t="s">
        <v>453</v>
      </c>
      <c r="J153" s="2"/>
      <c r="K153" s="2" t="s">
        <v>39</v>
      </c>
      <c r="L153" s="2" t="s">
        <v>5087</v>
      </c>
      <c r="M153" s="2" t="s">
        <v>5107</v>
      </c>
      <c r="N153" s="2" t="s">
        <v>5325</v>
      </c>
      <c r="O153" s="2" t="s">
        <v>5691</v>
      </c>
      <c r="P153" s="2" t="s">
        <v>5752</v>
      </c>
      <c r="Q153" s="2" t="s">
        <v>5091</v>
      </c>
      <c r="R153" s="2" t="s">
        <v>5753</v>
      </c>
      <c r="S153" s="2"/>
    </row>
    <row r="154" spans="1:19" x14ac:dyDescent="0.2">
      <c r="A154" s="2">
        <v>551</v>
      </c>
      <c r="B154" s="6" t="s">
        <v>1084</v>
      </c>
      <c r="C154" s="2" t="s">
        <v>5754</v>
      </c>
      <c r="D154" s="2" t="s">
        <v>5755</v>
      </c>
      <c r="E154" s="2" t="s">
        <v>1087</v>
      </c>
      <c r="F154" s="2"/>
      <c r="G154" s="2"/>
      <c r="H154" s="2" t="s">
        <v>393</v>
      </c>
      <c r="I154" s="2" t="s">
        <v>453</v>
      </c>
      <c r="J154" s="2"/>
      <c r="K154" s="2" t="s">
        <v>39</v>
      </c>
      <c r="L154" s="2" t="s">
        <v>5087</v>
      </c>
      <c r="M154" s="2" t="s">
        <v>5324</v>
      </c>
      <c r="N154" s="2" t="s">
        <v>5325</v>
      </c>
      <c r="O154" s="2" t="s">
        <v>5691</v>
      </c>
      <c r="P154" s="2" t="s">
        <v>5756</v>
      </c>
      <c r="Q154" s="2" t="s">
        <v>5091</v>
      </c>
      <c r="R154" s="2" t="s">
        <v>5757</v>
      </c>
      <c r="S154" s="2"/>
    </row>
    <row r="155" spans="1:19" x14ac:dyDescent="0.2">
      <c r="A155" s="2">
        <v>552</v>
      </c>
      <c r="B155" s="6" t="s">
        <v>1091</v>
      </c>
      <c r="C155" s="2" t="s">
        <v>5758</v>
      </c>
      <c r="D155" s="2" t="s">
        <v>5759</v>
      </c>
      <c r="E155" s="2" t="s">
        <v>657</v>
      </c>
      <c r="F155" s="2"/>
      <c r="G155" s="2"/>
      <c r="H155" s="2" t="s">
        <v>393</v>
      </c>
      <c r="I155" s="2" t="s">
        <v>453</v>
      </c>
      <c r="J155" s="2"/>
      <c r="K155" s="2" t="s">
        <v>39</v>
      </c>
      <c r="L155" s="2" t="s">
        <v>5087</v>
      </c>
      <c r="M155" s="2" t="s">
        <v>5079</v>
      </c>
      <c r="N155" s="2" t="s">
        <v>5325</v>
      </c>
      <c r="O155" s="2" t="s">
        <v>5691</v>
      </c>
      <c r="P155" s="2" t="s">
        <v>5760</v>
      </c>
      <c r="Q155" s="2" t="s">
        <v>5091</v>
      </c>
      <c r="R155" s="2" t="s">
        <v>5753</v>
      </c>
      <c r="S155" s="2"/>
    </row>
    <row r="156" spans="1:19" x14ac:dyDescent="0.2">
      <c r="A156" s="2">
        <v>553</v>
      </c>
      <c r="B156" s="6" t="s">
        <v>1095</v>
      </c>
      <c r="C156" s="2" t="s">
        <v>5761</v>
      </c>
      <c r="D156" s="2" t="s">
        <v>5762</v>
      </c>
      <c r="E156" s="2" t="s">
        <v>1098</v>
      </c>
      <c r="F156" s="2"/>
      <c r="G156" s="2"/>
      <c r="H156" s="2" t="s">
        <v>393</v>
      </c>
      <c r="I156" s="2" t="s">
        <v>453</v>
      </c>
      <c r="J156" s="2"/>
      <c r="K156" s="2" t="s">
        <v>39</v>
      </c>
      <c r="L156" s="2" t="s">
        <v>5087</v>
      </c>
      <c r="M156" s="2" t="s">
        <v>5324</v>
      </c>
      <c r="N156" s="2" t="s">
        <v>5325</v>
      </c>
      <c r="O156" s="2" t="s">
        <v>5691</v>
      </c>
      <c r="P156" s="2" t="s">
        <v>5763</v>
      </c>
      <c r="Q156" s="2" t="s">
        <v>5091</v>
      </c>
      <c r="R156" s="2" t="s">
        <v>5324</v>
      </c>
      <c r="S156" s="2"/>
    </row>
    <row r="157" spans="1:19" x14ac:dyDescent="0.2">
      <c r="A157" s="2">
        <v>554</v>
      </c>
      <c r="B157" s="6" t="s">
        <v>1100</v>
      </c>
      <c r="C157" s="2" t="s">
        <v>5764</v>
      </c>
      <c r="D157" s="2" t="s">
        <v>5765</v>
      </c>
      <c r="E157" s="2" t="s">
        <v>1098</v>
      </c>
      <c r="F157" s="2"/>
      <c r="G157" s="2"/>
      <c r="H157" s="2" t="s">
        <v>393</v>
      </c>
      <c r="I157" s="2" t="s">
        <v>453</v>
      </c>
      <c r="J157" s="2"/>
      <c r="K157" s="2" t="s">
        <v>39</v>
      </c>
      <c r="L157" s="2" t="s">
        <v>5087</v>
      </c>
      <c r="M157" s="2" t="s">
        <v>5079</v>
      </c>
      <c r="N157" s="2" t="s">
        <v>5325</v>
      </c>
      <c r="O157" s="2" t="s">
        <v>5691</v>
      </c>
      <c r="P157" s="2" t="s">
        <v>5766</v>
      </c>
      <c r="Q157" s="2" t="s">
        <v>5091</v>
      </c>
      <c r="R157" s="2" t="s">
        <v>5079</v>
      </c>
      <c r="S157" s="2"/>
    </row>
    <row r="158" spans="1:19" x14ac:dyDescent="0.2">
      <c r="A158" s="2">
        <v>555</v>
      </c>
      <c r="B158" s="6" t="s">
        <v>1105</v>
      </c>
      <c r="C158" s="2" t="s">
        <v>5767</v>
      </c>
      <c r="D158" s="2" t="s">
        <v>5768</v>
      </c>
      <c r="E158" s="2" t="s">
        <v>833</v>
      </c>
      <c r="F158" s="2"/>
      <c r="G158" s="2"/>
      <c r="H158" s="2" t="s">
        <v>393</v>
      </c>
      <c r="I158" s="2" t="s">
        <v>453</v>
      </c>
      <c r="J158" s="2"/>
      <c r="K158" s="2" t="s">
        <v>39</v>
      </c>
      <c r="L158" s="2" t="s">
        <v>5087</v>
      </c>
      <c r="M158" s="2" t="s">
        <v>5079</v>
      </c>
      <c r="N158" s="2" t="s">
        <v>5325</v>
      </c>
      <c r="O158" s="2" t="s">
        <v>5691</v>
      </c>
      <c r="P158" s="2" t="s">
        <v>5749</v>
      </c>
      <c r="Q158" s="2" t="s">
        <v>5091</v>
      </c>
      <c r="R158" s="2" t="s">
        <v>5769</v>
      </c>
      <c r="S158" s="2"/>
    </row>
    <row r="159" spans="1:19" x14ac:dyDescent="0.2">
      <c r="A159" s="2">
        <v>556</v>
      </c>
      <c r="B159" s="6" t="s">
        <v>1110</v>
      </c>
      <c r="C159" s="2" t="s">
        <v>5770</v>
      </c>
      <c r="D159" s="2" t="s">
        <v>5771</v>
      </c>
      <c r="E159" s="2" t="s">
        <v>1113</v>
      </c>
      <c r="F159" s="2"/>
      <c r="G159" s="2"/>
      <c r="H159" s="2" t="s">
        <v>393</v>
      </c>
      <c r="I159" s="2" t="s">
        <v>453</v>
      </c>
      <c r="J159" s="2"/>
      <c r="K159" s="2" t="s">
        <v>39</v>
      </c>
      <c r="L159" s="2" t="s">
        <v>5087</v>
      </c>
      <c r="M159" s="2" t="s">
        <v>5079</v>
      </c>
      <c r="N159" s="2" t="s">
        <v>5325</v>
      </c>
      <c r="O159" s="2" t="s">
        <v>5691</v>
      </c>
      <c r="P159" s="2" t="s">
        <v>5772</v>
      </c>
      <c r="Q159" s="2" t="s">
        <v>5091</v>
      </c>
      <c r="R159" s="2" t="s">
        <v>5079</v>
      </c>
      <c r="S159" s="2"/>
    </row>
    <row r="160" spans="1:19" x14ac:dyDescent="0.2">
      <c r="A160" s="2">
        <v>557</v>
      </c>
      <c r="B160" s="6" t="s">
        <v>1116</v>
      </c>
      <c r="C160" s="2" t="s">
        <v>5773</v>
      </c>
      <c r="D160" s="2" t="s">
        <v>5774</v>
      </c>
      <c r="E160" s="2" t="s">
        <v>467</v>
      </c>
      <c r="F160" s="2"/>
      <c r="G160" s="2"/>
      <c r="H160" s="2" t="s">
        <v>393</v>
      </c>
      <c r="I160" s="2" t="s">
        <v>453</v>
      </c>
      <c r="J160" s="2"/>
      <c r="K160" s="2" t="s">
        <v>26</v>
      </c>
      <c r="L160" s="2" t="s">
        <v>5078</v>
      </c>
      <c r="M160" s="2" t="s">
        <v>5324</v>
      </c>
      <c r="N160" s="2" t="s">
        <v>5325</v>
      </c>
      <c r="O160" s="2" t="s">
        <v>5517</v>
      </c>
      <c r="P160" s="2" t="s">
        <v>5775</v>
      </c>
      <c r="Q160" s="2" t="s">
        <v>5091</v>
      </c>
      <c r="R160" s="2" t="s">
        <v>5769</v>
      </c>
      <c r="S160" s="2"/>
    </row>
    <row r="161" spans="1:19" x14ac:dyDescent="0.2">
      <c r="A161" s="2">
        <v>558</v>
      </c>
      <c r="B161" s="6" t="s">
        <v>1120</v>
      </c>
      <c r="C161" s="2" t="s">
        <v>5776</v>
      </c>
      <c r="D161" s="2" t="s">
        <v>5777</v>
      </c>
      <c r="E161" s="2" t="s">
        <v>908</v>
      </c>
      <c r="F161" s="2"/>
      <c r="G161" s="2"/>
      <c r="H161" s="2" t="s">
        <v>393</v>
      </c>
      <c r="I161" s="2" t="s">
        <v>453</v>
      </c>
      <c r="J161" s="2"/>
      <c r="K161" s="2" t="s">
        <v>26</v>
      </c>
      <c r="L161" s="2" t="s">
        <v>5078</v>
      </c>
      <c r="M161" s="2" t="s">
        <v>5079</v>
      </c>
      <c r="N161" s="2" t="s">
        <v>5325</v>
      </c>
      <c r="O161" s="2" t="s">
        <v>5691</v>
      </c>
      <c r="P161" s="2" t="s">
        <v>5778</v>
      </c>
      <c r="Q161" s="2" t="s">
        <v>5091</v>
      </c>
      <c r="R161" s="2" t="s">
        <v>5079</v>
      </c>
      <c r="S161" s="2"/>
    </row>
    <row r="162" spans="1:19" x14ac:dyDescent="0.2">
      <c r="A162" s="2">
        <v>559</v>
      </c>
      <c r="B162" s="6" t="s">
        <v>1124</v>
      </c>
      <c r="C162" s="2" t="s">
        <v>5779</v>
      </c>
      <c r="D162" s="2" t="s">
        <v>5780</v>
      </c>
      <c r="E162" s="2" t="s">
        <v>1127</v>
      </c>
      <c r="F162" s="2"/>
      <c r="G162" s="2"/>
      <c r="H162" s="2" t="s">
        <v>393</v>
      </c>
      <c r="I162" s="2" t="s">
        <v>453</v>
      </c>
      <c r="J162" s="2"/>
      <c r="K162" s="2" t="s">
        <v>493</v>
      </c>
      <c r="L162" s="2" t="s">
        <v>5387</v>
      </c>
      <c r="M162" s="2" t="s">
        <v>5079</v>
      </c>
      <c r="N162" s="2" t="s">
        <v>5325</v>
      </c>
      <c r="O162" s="2" t="s">
        <v>5691</v>
      </c>
      <c r="P162" s="2" t="s">
        <v>5749</v>
      </c>
      <c r="Q162" s="2" t="s">
        <v>5091</v>
      </c>
      <c r="R162" s="2" t="s">
        <v>5079</v>
      </c>
      <c r="S162" s="2"/>
    </row>
    <row r="163" spans="1:19" x14ac:dyDescent="0.2">
      <c r="A163" s="2">
        <v>560</v>
      </c>
      <c r="B163" s="6" t="s">
        <v>1128</v>
      </c>
      <c r="C163" s="2" t="s">
        <v>5781</v>
      </c>
      <c r="D163" s="2" t="s">
        <v>5782</v>
      </c>
      <c r="E163" s="2" t="s">
        <v>1127</v>
      </c>
      <c r="F163" s="2"/>
      <c r="G163" s="2"/>
      <c r="H163" s="2" t="s">
        <v>393</v>
      </c>
      <c r="I163" s="2" t="s">
        <v>453</v>
      </c>
      <c r="J163" s="2"/>
      <c r="K163" s="2" t="s">
        <v>426</v>
      </c>
      <c r="L163" s="2" t="s">
        <v>5345</v>
      </c>
      <c r="M163" s="2" t="s">
        <v>5783</v>
      </c>
      <c r="N163" s="2" t="s">
        <v>5325</v>
      </c>
      <c r="O163" s="2" t="s">
        <v>5691</v>
      </c>
      <c r="P163" s="2" t="s">
        <v>5784</v>
      </c>
      <c r="Q163" s="2" t="s">
        <v>5091</v>
      </c>
      <c r="R163" s="2" t="s">
        <v>5107</v>
      </c>
      <c r="S163" s="2"/>
    </row>
    <row r="164" spans="1:19" x14ac:dyDescent="0.2">
      <c r="A164" s="2">
        <v>561</v>
      </c>
      <c r="B164" s="6" t="s">
        <v>1133</v>
      </c>
      <c r="C164" s="2" t="s">
        <v>5785</v>
      </c>
      <c r="D164" s="2" t="s">
        <v>5786</v>
      </c>
      <c r="E164" s="2" t="s">
        <v>1127</v>
      </c>
      <c r="F164" s="2"/>
      <c r="G164" s="2"/>
      <c r="H164" s="2" t="s">
        <v>393</v>
      </c>
      <c r="I164" s="2" t="s">
        <v>453</v>
      </c>
      <c r="J164" s="2"/>
      <c r="K164" s="2" t="s">
        <v>26</v>
      </c>
      <c r="L164" s="2" t="s">
        <v>5078</v>
      </c>
      <c r="M164" s="2" t="s">
        <v>5079</v>
      </c>
      <c r="N164" s="2" t="s">
        <v>5325</v>
      </c>
      <c r="O164" s="2" t="s">
        <v>5691</v>
      </c>
      <c r="P164" s="2" t="s">
        <v>5787</v>
      </c>
      <c r="Q164" s="2" t="s">
        <v>5091</v>
      </c>
      <c r="R164" s="2" t="s">
        <v>5079</v>
      </c>
      <c r="S164" s="2"/>
    </row>
    <row r="165" spans="1:19" x14ac:dyDescent="0.2">
      <c r="A165" s="2">
        <v>562</v>
      </c>
      <c r="B165" s="6" t="s">
        <v>1137</v>
      </c>
      <c r="C165" s="2" t="s">
        <v>5788</v>
      </c>
      <c r="D165" s="2" t="s">
        <v>5789</v>
      </c>
      <c r="E165" s="2" t="s">
        <v>1140</v>
      </c>
      <c r="F165" s="2"/>
      <c r="G165" s="2"/>
      <c r="H165" s="2" t="s">
        <v>393</v>
      </c>
      <c r="I165" s="2" t="s">
        <v>453</v>
      </c>
      <c r="J165" s="2"/>
      <c r="K165" s="2" t="s">
        <v>39</v>
      </c>
      <c r="L165" s="2" t="s">
        <v>5087</v>
      </c>
      <c r="M165" s="2" t="s">
        <v>5324</v>
      </c>
      <c r="N165" s="2" t="s">
        <v>5325</v>
      </c>
      <c r="O165" s="2" t="s">
        <v>5691</v>
      </c>
      <c r="P165" s="2" t="s">
        <v>5790</v>
      </c>
      <c r="Q165" s="2" t="s">
        <v>5091</v>
      </c>
      <c r="R165" s="2" t="s">
        <v>5769</v>
      </c>
      <c r="S165" s="2"/>
    </row>
    <row r="166" spans="1:19" x14ac:dyDescent="0.2">
      <c r="A166" s="2">
        <v>564</v>
      </c>
      <c r="B166" s="6" t="s">
        <v>1142</v>
      </c>
      <c r="C166" s="2" t="s">
        <v>5791</v>
      </c>
      <c r="D166" s="2" t="s">
        <v>5792</v>
      </c>
      <c r="E166" s="2" t="s">
        <v>1145</v>
      </c>
      <c r="F166" s="2"/>
      <c r="G166" s="2"/>
      <c r="H166" s="2" t="s">
        <v>393</v>
      </c>
      <c r="I166" s="2" t="s">
        <v>453</v>
      </c>
      <c r="J166" s="2"/>
      <c r="K166" s="2" t="s">
        <v>39</v>
      </c>
      <c r="L166" s="2" t="s">
        <v>5087</v>
      </c>
      <c r="M166" s="2" t="s">
        <v>5079</v>
      </c>
      <c r="N166" s="2" t="s">
        <v>5325</v>
      </c>
      <c r="O166" s="2" t="s">
        <v>5691</v>
      </c>
      <c r="P166" s="2" t="s">
        <v>5793</v>
      </c>
      <c r="Q166" s="2" t="s">
        <v>5091</v>
      </c>
      <c r="R166" s="2" t="s">
        <v>5079</v>
      </c>
      <c r="S166" s="2"/>
    </row>
    <row r="167" spans="1:19" x14ac:dyDescent="0.2">
      <c r="A167" s="2">
        <v>565</v>
      </c>
      <c r="B167" s="6" t="s">
        <v>1147</v>
      </c>
      <c r="C167" s="2" t="s">
        <v>5794</v>
      </c>
      <c r="D167" s="2" t="s">
        <v>5795</v>
      </c>
      <c r="E167" s="2" t="s">
        <v>1150</v>
      </c>
      <c r="F167" s="2"/>
      <c r="G167" s="2"/>
      <c r="H167" s="2" t="s">
        <v>393</v>
      </c>
      <c r="I167" s="2" t="s">
        <v>453</v>
      </c>
      <c r="J167" s="2"/>
      <c r="K167" s="2" t="s">
        <v>26</v>
      </c>
      <c r="L167" s="2" t="s">
        <v>5078</v>
      </c>
      <c r="M167" s="2" t="s">
        <v>5324</v>
      </c>
      <c r="N167" s="2" t="s">
        <v>5325</v>
      </c>
      <c r="O167" s="2" t="s">
        <v>5691</v>
      </c>
      <c r="P167" s="2" t="s">
        <v>5796</v>
      </c>
      <c r="Q167" s="2" t="s">
        <v>5091</v>
      </c>
      <c r="R167" s="2" t="s">
        <v>5769</v>
      </c>
      <c r="S167" s="2"/>
    </row>
    <row r="168" spans="1:19" x14ac:dyDescent="0.2">
      <c r="A168" s="2">
        <v>1021</v>
      </c>
      <c r="B168" s="6" t="s">
        <v>1152</v>
      </c>
      <c r="C168" s="2" t="s">
        <v>5797</v>
      </c>
      <c r="D168" s="2" t="s">
        <v>5798</v>
      </c>
      <c r="E168" s="2" t="s">
        <v>1155</v>
      </c>
      <c r="F168" s="2"/>
      <c r="G168" s="2"/>
      <c r="H168" s="2" t="s">
        <v>393</v>
      </c>
      <c r="I168" s="2" t="s">
        <v>1156</v>
      </c>
      <c r="J168" s="2"/>
      <c r="K168" s="2" t="s">
        <v>26</v>
      </c>
      <c r="L168" s="2" t="s">
        <v>5078</v>
      </c>
      <c r="M168" s="2" t="s">
        <v>5100</v>
      </c>
      <c r="N168" s="2" t="s">
        <v>5325</v>
      </c>
      <c r="O168" s="2" t="s">
        <v>5330</v>
      </c>
      <c r="P168" s="2" t="s">
        <v>5799</v>
      </c>
      <c r="Q168" s="2" t="s">
        <v>5800</v>
      </c>
      <c r="R168" s="2" t="s">
        <v>5100</v>
      </c>
      <c r="S168" s="2" t="s">
        <v>5801</v>
      </c>
    </row>
    <row r="169" spans="1:19" x14ac:dyDescent="0.2">
      <c r="A169" s="2">
        <v>2114</v>
      </c>
      <c r="B169" s="6" t="s">
        <v>1161</v>
      </c>
      <c r="C169" s="2" t="s">
        <v>5802</v>
      </c>
      <c r="D169" s="2" t="s">
        <v>5803</v>
      </c>
      <c r="E169" s="2" t="s">
        <v>216</v>
      </c>
      <c r="F169" s="2" t="s">
        <v>216</v>
      </c>
      <c r="G169" s="2" t="s">
        <v>216</v>
      </c>
      <c r="H169" s="2" t="s">
        <v>393</v>
      </c>
      <c r="I169" s="2" t="s">
        <v>1164</v>
      </c>
      <c r="J169" s="2"/>
      <c r="K169" s="2" t="s">
        <v>26</v>
      </c>
      <c r="L169" s="2" t="s">
        <v>5078</v>
      </c>
      <c r="M169" s="2" t="s">
        <v>5128</v>
      </c>
      <c r="N169" s="2" t="s">
        <v>5325</v>
      </c>
      <c r="O169" s="2" t="s">
        <v>5326</v>
      </c>
      <c r="P169" s="2" t="s">
        <v>5804</v>
      </c>
      <c r="Q169" s="2" t="s">
        <v>5091</v>
      </c>
      <c r="R169" s="2" t="s">
        <v>5460</v>
      </c>
      <c r="S169" s="2"/>
    </row>
    <row r="170" spans="1:19" x14ac:dyDescent="0.2">
      <c r="A170" s="2">
        <v>2115</v>
      </c>
      <c r="B170" s="6" t="s">
        <v>1167</v>
      </c>
      <c r="C170" s="2" t="s">
        <v>5805</v>
      </c>
      <c r="D170" s="2" t="s">
        <v>5806</v>
      </c>
      <c r="E170" s="2" t="s">
        <v>199</v>
      </c>
      <c r="F170" s="2" t="s">
        <v>650</v>
      </c>
      <c r="G170" s="2" t="s">
        <v>199</v>
      </c>
      <c r="H170" s="2" t="s">
        <v>393</v>
      </c>
      <c r="I170" s="2" t="s">
        <v>1164</v>
      </c>
      <c r="J170" s="2"/>
      <c r="K170" s="2" t="s">
        <v>412</v>
      </c>
      <c r="L170" s="2" t="s">
        <v>5334</v>
      </c>
      <c r="M170" s="2" t="s">
        <v>5128</v>
      </c>
      <c r="N170" s="2" t="s">
        <v>5325</v>
      </c>
      <c r="O170" s="2" t="s">
        <v>5362</v>
      </c>
      <c r="P170" s="2" t="s">
        <v>5807</v>
      </c>
      <c r="Q170" s="2" t="s">
        <v>5091</v>
      </c>
      <c r="R170" s="2" t="s">
        <v>5460</v>
      </c>
      <c r="S170" s="2"/>
    </row>
    <row r="171" spans="1:19" x14ac:dyDescent="0.2">
      <c r="A171" s="2">
        <v>2117</v>
      </c>
      <c r="B171" s="6" t="s">
        <v>1173</v>
      </c>
      <c r="C171" s="2" t="s">
        <v>5808</v>
      </c>
      <c r="D171" s="2" t="s">
        <v>5809</v>
      </c>
      <c r="E171" s="2" t="s">
        <v>1176</v>
      </c>
      <c r="F171" s="2" t="s">
        <v>1176</v>
      </c>
      <c r="G171" s="2" t="s">
        <v>1176</v>
      </c>
      <c r="H171" s="2" t="s">
        <v>393</v>
      </c>
      <c r="I171" s="2" t="s">
        <v>1164</v>
      </c>
      <c r="J171" s="2"/>
      <c r="K171" s="2" t="s">
        <v>412</v>
      </c>
      <c r="L171" s="2" t="s">
        <v>5334</v>
      </c>
      <c r="M171" s="2" t="s">
        <v>5810</v>
      </c>
      <c r="N171" s="2" t="s">
        <v>5325</v>
      </c>
      <c r="O171" s="2" t="s">
        <v>5326</v>
      </c>
      <c r="P171" s="2" t="s">
        <v>5811</v>
      </c>
      <c r="Q171" s="2" t="s">
        <v>5091</v>
      </c>
      <c r="R171" s="2" t="s">
        <v>5812</v>
      </c>
      <c r="S171" s="2"/>
    </row>
    <row r="172" spans="1:19" x14ac:dyDescent="0.2">
      <c r="A172" s="2">
        <v>2118</v>
      </c>
      <c r="B172" s="6" t="s">
        <v>1181</v>
      </c>
      <c r="C172" s="2" t="s">
        <v>5813</v>
      </c>
      <c r="D172" s="2" t="s">
        <v>5814</v>
      </c>
      <c r="E172" s="2" t="s">
        <v>1184</v>
      </c>
      <c r="F172" s="2" t="s">
        <v>1184</v>
      </c>
      <c r="G172" s="2" t="s">
        <v>1184</v>
      </c>
      <c r="H172" s="2" t="s">
        <v>393</v>
      </c>
      <c r="I172" s="2" t="s">
        <v>1164</v>
      </c>
      <c r="J172" s="2"/>
      <c r="K172" s="2" t="s">
        <v>1011</v>
      </c>
      <c r="L172" s="2" t="s">
        <v>5709</v>
      </c>
      <c r="M172" s="2" t="s">
        <v>5107</v>
      </c>
      <c r="N172" s="2" t="s">
        <v>5325</v>
      </c>
      <c r="O172" s="2" t="s">
        <v>5815</v>
      </c>
      <c r="P172" s="2" t="s">
        <v>5816</v>
      </c>
      <c r="Q172" s="2" t="s">
        <v>5091</v>
      </c>
      <c r="R172" s="2" t="s">
        <v>5107</v>
      </c>
      <c r="S172" s="2"/>
    </row>
    <row r="173" spans="1:19" x14ac:dyDescent="0.2">
      <c r="A173" s="2">
        <v>9</v>
      </c>
      <c r="B173" s="6" t="s">
        <v>1188</v>
      </c>
      <c r="C173" s="2" t="s">
        <v>5817</v>
      </c>
      <c r="D173" s="2" t="s">
        <v>5818</v>
      </c>
      <c r="E173" s="2" t="s">
        <v>1191</v>
      </c>
      <c r="F173" s="2" t="s">
        <v>1192</v>
      </c>
      <c r="G173" s="2" t="s">
        <v>1192</v>
      </c>
      <c r="H173" s="2" t="s">
        <v>5819</v>
      </c>
      <c r="I173" s="2" t="s">
        <v>5820</v>
      </c>
      <c r="J173" s="2"/>
      <c r="K173" s="2" t="s">
        <v>39</v>
      </c>
      <c r="L173" s="2" t="s">
        <v>5087</v>
      </c>
      <c r="M173" s="2"/>
      <c r="N173" s="2" t="s">
        <v>5108</v>
      </c>
      <c r="O173" s="2" t="s">
        <v>5326</v>
      </c>
      <c r="P173" s="2" t="s">
        <v>5821</v>
      </c>
      <c r="Q173" s="2"/>
      <c r="R173" s="2"/>
      <c r="S173" s="2"/>
    </row>
    <row r="174" spans="1:19" x14ac:dyDescent="0.2">
      <c r="A174" s="2">
        <v>2</v>
      </c>
      <c r="B174" s="6" t="s">
        <v>1195</v>
      </c>
      <c r="C174" s="2" t="s">
        <v>5822</v>
      </c>
      <c r="D174" s="2" t="s">
        <v>5823</v>
      </c>
      <c r="E174" s="2" t="s">
        <v>1198</v>
      </c>
      <c r="F174" s="2"/>
      <c r="G174" s="2"/>
      <c r="H174" s="2" t="s">
        <v>5824</v>
      </c>
      <c r="I174" s="2" t="s">
        <v>5825</v>
      </c>
      <c r="J174" s="2"/>
      <c r="K174" s="2" t="s">
        <v>39</v>
      </c>
      <c r="L174" s="2" t="s">
        <v>5087</v>
      </c>
      <c r="M174" s="2" t="s">
        <v>5100</v>
      </c>
      <c r="N174" s="2" t="s">
        <v>5108</v>
      </c>
      <c r="O174" s="2" t="s">
        <v>5081</v>
      </c>
      <c r="P174" s="2" t="s">
        <v>5826</v>
      </c>
      <c r="Q174" s="2" t="s">
        <v>5224</v>
      </c>
      <c r="R174" s="2" t="s">
        <v>5100</v>
      </c>
      <c r="S174" s="2"/>
    </row>
    <row r="175" spans="1:19" x14ac:dyDescent="0.2">
      <c r="A175" s="2">
        <v>7</v>
      </c>
      <c r="B175" s="6" t="s">
        <v>1203</v>
      </c>
      <c r="C175" s="2" t="s">
        <v>5827</v>
      </c>
      <c r="D175" s="2" t="s">
        <v>5828</v>
      </c>
      <c r="E175" s="2" t="s">
        <v>1206</v>
      </c>
      <c r="F175" s="2"/>
      <c r="G175" s="2"/>
      <c r="H175" s="2" t="s">
        <v>5227</v>
      </c>
      <c r="I175" s="2" t="s">
        <v>5829</v>
      </c>
      <c r="J175" s="2"/>
      <c r="K175" s="2" t="s">
        <v>39</v>
      </c>
      <c r="L175" s="2" t="s">
        <v>5087</v>
      </c>
      <c r="M175" s="2" t="s">
        <v>5100</v>
      </c>
      <c r="N175" s="2" t="s">
        <v>5108</v>
      </c>
      <c r="O175" s="2" t="s">
        <v>5335</v>
      </c>
      <c r="P175" s="2" t="s">
        <v>5826</v>
      </c>
      <c r="Q175" s="2" t="s">
        <v>5224</v>
      </c>
      <c r="R175" s="2" t="s">
        <v>5100</v>
      </c>
      <c r="S175" s="2" t="s">
        <v>5830</v>
      </c>
    </row>
    <row r="176" spans="1:19" x14ac:dyDescent="0.2">
      <c r="A176" s="2">
        <v>94</v>
      </c>
      <c r="B176" s="6" t="s">
        <v>1209</v>
      </c>
      <c r="C176" s="2" t="s">
        <v>5831</v>
      </c>
      <c r="D176" s="2" t="s">
        <v>5832</v>
      </c>
      <c r="E176" s="2" t="s">
        <v>1212</v>
      </c>
      <c r="F176" s="2"/>
      <c r="G176" s="2"/>
      <c r="H176" s="2" t="s">
        <v>1213</v>
      </c>
      <c r="I176" s="2" t="s">
        <v>5833</v>
      </c>
      <c r="J176" s="2"/>
      <c r="K176" s="2" t="s">
        <v>26</v>
      </c>
      <c r="L176" s="2" t="s">
        <v>5078</v>
      </c>
      <c r="M176" s="2" t="s">
        <v>5193</v>
      </c>
      <c r="N176" s="2" t="s">
        <v>5108</v>
      </c>
      <c r="O176" s="2" t="s">
        <v>5335</v>
      </c>
      <c r="P176" s="2" t="s">
        <v>5834</v>
      </c>
      <c r="Q176" s="2" t="s">
        <v>5835</v>
      </c>
      <c r="R176" s="2" t="s">
        <v>5836</v>
      </c>
      <c r="S176" s="2"/>
    </row>
    <row r="177" spans="1:19" x14ac:dyDescent="0.2">
      <c r="A177" s="2">
        <v>91</v>
      </c>
      <c r="B177" s="6" t="s">
        <v>1219</v>
      </c>
      <c r="C177" s="2" t="s">
        <v>5837</v>
      </c>
      <c r="D177" s="2" t="s">
        <v>5838</v>
      </c>
      <c r="E177" s="2" t="s">
        <v>1222</v>
      </c>
      <c r="F177" s="2"/>
      <c r="G177" s="2"/>
      <c r="H177" s="2" t="s">
        <v>1223</v>
      </c>
      <c r="I177" s="2" t="s">
        <v>5839</v>
      </c>
      <c r="J177" s="2"/>
      <c r="K177" s="2" t="s">
        <v>26</v>
      </c>
      <c r="L177" s="2" t="s">
        <v>5078</v>
      </c>
      <c r="M177" s="2" t="s">
        <v>5352</v>
      </c>
      <c r="N177" s="2" t="s">
        <v>5840</v>
      </c>
      <c r="O177" s="2" t="s">
        <v>5691</v>
      </c>
      <c r="P177" s="2" t="s">
        <v>5841</v>
      </c>
      <c r="Q177" s="2" t="s">
        <v>5842</v>
      </c>
      <c r="R177" s="2" t="s">
        <v>5843</v>
      </c>
      <c r="S177" s="2"/>
    </row>
    <row r="178" spans="1:19" x14ac:dyDescent="0.2">
      <c r="A178" s="2">
        <v>812</v>
      </c>
      <c r="B178" s="6" t="s">
        <v>1229</v>
      </c>
      <c r="C178" s="2" t="s">
        <v>5844</v>
      </c>
      <c r="D178" s="2" t="s">
        <v>5845</v>
      </c>
      <c r="E178" s="17">
        <v>45442</v>
      </c>
      <c r="F178" s="17">
        <v>45442</v>
      </c>
      <c r="G178" s="17">
        <v>45442</v>
      </c>
      <c r="H178" s="2" t="s">
        <v>393</v>
      </c>
      <c r="I178" s="2" t="s">
        <v>453</v>
      </c>
      <c r="J178" s="2"/>
      <c r="K178" s="2" t="s">
        <v>26</v>
      </c>
      <c r="L178" s="2" t="s">
        <v>5078</v>
      </c>
      <c r="M178" s="2" t="s">
        <v>5352</v>
      </c>
      <c r="N178" s="2" t="s">
        <v>5325</v>
      </c>
      <c r="O178" s="2" t="s">
        <v>5362</v>
      </c>
      <c r="P178" s="2" t="s">
        <v>5846</v>
      </c>
      <c r="Q178" s="2" t="s">
        <v>5091</v>
      </c>
      <c r="R178" s="2" t="s">
        <v>5352</v>
      </c>
      <c r="S178" s="2"/>
    </row>
    <row r="179" spans="1:19" x14ac:dyDescent="0.2">
      <c r="A179" s="2">
        <v>813</v>
      </c>
      <c r="B179" s="6" t="s">
        <v>1233</v>
      </c>
      <c r="C179" s="2" t="s">
        <v>5847</v>
      </c>
      <c r="D179" s="2" t="s">
        <v>5848</v>
      </c>
      <c r="E179" s="17">
        <v>45443</v>
      </c>
      <c r="F179" s="17">
        <v>45352</v>
      </c>
      <c r="G179" s="17">
        <v>45382</v>
      </c>
      <c r="H179" s="2" t="s">
        <v>393</v>
      </c>
      <c r="I179" s="2" t="s">
        <v>453</v>
      </c>
      <c r="J179" s="2"/>
      <c r="K179" s="2" t="s">
        <v>26</v>
      </c>
      <c r="L179" s="2" t="s">
        <v>5078</v>
      </c>
      <c r="M179" s="2" t="s">
        <v>5107</v>
      </c>
      <c r="N179" s="2" t="s">
        <v>5325</v>
      </c>
      <c r="O179" s="2" t="s">
        <v>5362</v>
      </c>
      <c r="P179" s="2" t="s">
        <v>5849</v>
      </c>
      <c r="Q179" s="2" t="s">
        <v>5091</v>
      </c>
      <c r="R179" s="2" t="s">
        <v>5107</v>
      </c>
      <c r="S179" s="2"/>
    </row>
    <row r="180" spans="1:19" x14ac:dyDescent="0.2">
      <c r="A180" s="2">
        <v>814</v>
      </c>
      <c r="B180" s="6" t="s">
        <v>1237</v>
      </c>
      <c r="C180" s="2" t="s">
        <v>5850</v>
      </c>
      <c r="D180" s="2" t="s">
        <v>5851</v>
      </c>
      <c r="E180" s="17">
        <v>45444</v>
      </c>
      <c r="F180" s="2" t="s">
        <v>1069</v>
      </c>
      <c r="G180" s="2" t="s">
        <v>1069</v>
      </c>
      <c r="H180" s="2" t="s">
        <v>393</v>
      </c>
      <c r="I180" s="2" t="s">
        <v>453</v>
      </c>
      <c r="J180" s="2"/>
      <c r="K180" s="2" t="s">
        <v>26</v>
      </c>
      <c r="L180" s="2" t="s">
        <v>5078</v>
      </c>
      <c r="M180" s="2" t="s">
        <v>5107</v>
      </c>
      <c r="N180" s="2" t="s">
        <v>5325</v>
      </c>
      <c r="O180" s="2" t="s">
        <v>5362</v>
      </c>
      <c r="P180" s="2" t="s">
        <v>5852</v>
      </c>
      <c r="Q180" s="2" t="s">
        <v>5091</v>
      </c>
      <c r="R180" s="2" t="s">
        <v>5107</v>
      </c>
      <c r="S180" s="2"/>
    </row>
    <row r="181" spans="1:19" x14ac:dyDescent="0.2">
      <c r="A181" s="2">
        <v>815</v>
      </c>
      <c r="B181" s="6" t="s">
        <v>1241</v>
      </c>
      <c r="C181" s="2" t="s">
        <v>5853</v>
      </c>
      <c r="D181" s="2" t="s">
        <v>5854</v>
      </c>
      <c r="E181" s="17">
        <v>45444</v>
      </c>
      <c r="F181" s="2"/>
      <c r="G181" s="2"/>
      <c r="H181" s="2" t="s">
        <v>393</v>
      </c>
      <c r="I181" s="2" t="s">
        <v>453</v>
      </c>
      <c r="J181" s="2"/>
      <c r="K181" s="2" t="s">
        <v>26</v>
      </c>
      <c r="L181" s="2" t="s">
        <v>5078</v>
      </c>
      <c r="M181" s="2" t="s">
        <v>5107</v>
      </c>
      <c r="N181" s="2" t="s">
        <v>5325</v>
      </c>
      <c r="O181" s="2" t="s">
        <v>5362</v>
      </c>
      <c r="P181" s="2" t="s">
        <v>5852</v>
      </c>
      <c r="Q181" s="2" t="s">
        <v>5091</v>
      </c>
      <c r="R181" s="2" t="s">
        <v>5107</v>
      </c>
      <c r="S181" s="2"/>
    </row>
    <row r="182" spans="1:19" x14ac:dyDescent="0.2">
      <c r="A182" s="2">
        <v>816</v>
      </c>
      <c r="B182" s="6" t="s">
        <v>1244</v>
      </c>
      <c r="C182" s="2" t="s">
        <v>5855</v>
      </c>
      <c r="D182" s="2" t="s">
        <v>5856</v>
      </c>
      <c r="E182" s="2" t="s">
        <v>1247</v>
      </c>
      <c r="F182" s="2"/>
      <c r="G182" s="2"/>
      <c r="H182" s="2" t="s">
        <v>393</v>
      </c>
      <c r="I182" s="2" t="s">
        <v>453</v>
      </c>
      <c r="J182" s="2"/>
      <c r="K182" s="2" t="s">
        <v>26</v>
      </c>
      <c r="L182" s="2" t="s">
        <v>5078</v>
      </c>
      <c r="M182" s="2" t="s">
        <v>5079</v>
      </c>
      <c r="N182" s="2" t="s">
        <v>5325</v>
      </c>
      <c r="O182" s="2" t="s">
        <v>5326</v>
      </c>
      <c r="P182" s="2" t="s">
        <v>5857</v>
      </c>
      <c r="Q182" s="2" t="s">
        <v>5091</v>
      </c>
      <c r="R182" s="2" t="s">
        <v>5079</v>
      </c>
      <c r="S182" s="2"/>
    </row>
    <row r="183" spans="1:19" x14ac:dyDescent="0.2">
      <c r="A183" s="2">
        <v>466</v>
      </c>
      <c r="B183" s="6" t="s">
        <v>1249</v>
      </c>
      <c r="C183" s="2" t="s">
        <v>5858</v>
      </c>
      <c r="D183" s="2" t="s">
        <v>5859</v>
      </c>
      <c r="E183" s="2" t="s">
        <v>1252</v>
      </c>
      <c r="F183" s="2"/>
      <c r="G183" s="2"/>
      <c r="H183" s="2" t="s">
        <v>393</v>
      </c>
      <c r="I183" s="2" t="s">
        <v>659</v>
      </c>
      <c r="J183" s="2"/>
      <c r="K183" s="2" t="s">
        <v>26</v>
      </c>
      <c r="L183" s="2" t="s">
        <v>5078</v>
      </c>
      <c r="M183" s="2" t="s">
        <v>5079</v>
      </c>
      <c r="N183" s="2" t="s">
        <v>5325</v>
      </c>
      <c r="O183" s="2" t="s">
        <v>5326</v>
      </c>
      <c r="P183" s="2" t="s">
        <v>5860</v>
      </c>
      <c r="Q183" s="2" t="s">
        <v>5091</v>
      </c>
      <c r="R183" s="2" t="s">
        <v>5079</v>
      </c>
      <c r="S183" s="2"/>
    </row>
    <row r="184" spans="1:19" x14ac:dyDescent="0.2">
      <c r="A184" s="2">
        <v>2216</v>
      </c>
      <c r="B184" s="6" t="s">
        <v>1254</v>
      </c>
      <c r="C184" s="2" t="s">
        <v>5861</v>
      </c>
      <c r="D184" s="2" t="s">
        <v>5862</v>
      </c>
      <c r="E184" s="2" t="s">
        <v>1257</v>
      </c>
      <c r="F184" s="2" t="s">
        <v>1257</v>
      </c>
      <c r="G184" s="2" t="s">
        <v>1257</v>
      </c>
      <c r="H184" s="2" t="s">
        <v>393</v>
      </c>
      <c r="I184" s="2" t="s">
        <v>1258</v>
      </c>
      <c r="J184" s="2"/>
      <c r="K184" s="2" t="s">
        <v>26</v>
      </c>
      <c r="L184" s="2" t="s">
        <v>5078</v>
      </c>
      <c r="M184" s="2" t="s">
        <v>5107</v>
      </c>
      <c r="N184" s="2" t="s">
        <v>5325</v>
      </c>
      <c r="O184" s="2" t="s">
        <v>5330</v>
      </c>
      <c r="P184" s="2" t="s">
        <v>5863</v>
      </c>
      <c r="Q184" s="2" t="s">
        <v>5091</v>
      </c>
      <c r="R184" s="2" t="s">
        <v>5107</v>
      </c>
      <c r="S184" s="2"/>
    </row>
    <row r="185" spans="1:19" x14ac:dyDescent="0.2">
      <c r="A185" s="2">
        <v>2217</v>
      </c>
      <c r="B185" s="6" t="s">
        <v>1260</v>
      </c>
      <c r="C185" s="2" t="s">
        <v>5864</v>
      </c>
      <c r="D185" s="2" t="s">
        <v>5865</v>
      </c>
      <c r="E185" s="2" t="s">
        <v>1257</v>
      </c>
      <c r="F185" s="2" t="s">
        <v>1257</v>
      </c>
      <c r="G185" s="2" t="s">
        <v>1257</v>
      </c>
      <c r="H185" s="2" t="s">
        <v>393</v>
      </c>
      <c r="I185" s="2" t="s">
        <v>1258</v>
      </c>
      <c r="J185" s="2"/>
      <c r="K185" s="2" t="s">
        <v>1011</v>
      </c>
      <c r="L185" s="2" t="s">
        <v>5709</v>
      </c>
      <c r="M185" s="2" t="s">
        <v>5079</v>
      </c>
      <c r="N185" s="2" t="s">
        <v>5325</v>
      </c>
      <c r="O185" s="2" t="s">
        <v>5330</v>
      </c>
      <c r="P185" s="2" t="s">
        <v>5866</v>
      </c>
      <c r="Q185" s="2" t="s">
        <v>5091</v>
      </c>
      <c r="R185" s="2" t="s">
        <v>5079</v>
      </c>
      <c r="S185" s="2"/>
    </row>
    <row r="186" spans="1:19" x14ac:dyDescent="0.2">
      <c r="A186" s="2">
        <v>566</v>
      </c>
      <c r="B186" s="6" t="s">
        <v>1264</v>
      </c>
      <c r="C186" s="2" t="s">
        <v>5867</v>
      </c>
      <c r="D186" s="2" t="s">
        <v>5868</v>
      </c>
      <c r="E186" s="2" t="s">
        <v>1267</v>
      </c>
      <c r="F186" s="2" t="s">
        <v>1268</v>
      </c>
      <c r="G186" s="2" t="s">
        <v>1267</v>
      </c>
      <c r="H186" s="2" t="s">
        <v>393</v>
      </c>
      <c r="I186" s="2" t="s">
        <v>453</v>
      </c>
      <c r="J186" s="2"/>
      <c r="K186" s="2" t="s">
        <v>645</v>
      </c>
      <c r="L186" s="2" t="s">
        <v>5482</v>
      </c>
      <c r="M186" s="2" t="s">
        <v>5079</v>
      </c>
      <c r="N186" s="2" t="s">
        <v>5325</v>
      </c>
      <c r="O186" s="2" t="s">
        <v>5691</v>
      </c>
      <c r="P186" s="2" t="s">
        <v>5869</v>
      </c>
      <c r="Q186" s="2" t="s">
        <v>5573</v>
      </c>
      <c r="R186" s="2" t="s">
        <v>5870</v>
      </c>
      <c r="S186" s="2"/>
    </row>
    <row r="187" spans="1:19" x14ac:dyDescent="0.2">
      <c r="A187" s="2">
        <v>567</v>
      </c>
      <c r="B187" s="6" t="s">
        <v>1272</v>
      </c>
      <c r="C187" s="2" t="s">
        <v>5871</v>
      </c>
      <c r="D187" s="2" t="s">
        <v>5872</v>
      </c>
      <c r="E187" s="2" t="s">
        <v>1275</v>
      </c>
      <c r="F187" s="2"/>
      <c r="G187" s="2"/>
      <c r="H187" s="2" t="s">
        <v>393</v>
      </c>
      <c r="I187" s="2" t="s">
        <v>453</v>
      </c>
      <c r="J187" s="2"/>
      <c r="K187" s="2" t="s">
        <v>26</v>
      </c>
      <c r="L187" s="2" t="s">
        <v>5078</v>
      </c>
      <c r="M187" s="2" t="s">
        <v>5079</v>
      </c>
      <c r="N187" s="2" t="s">
        <v>5325</v>
      </c>
      <c r="O187" s="2" t="s">
        <v>5517</v>
      </c>
      <c r="P187" s="2" t="s">
        <v>5873</v>
      </c>
      <c r="Q187" s="2" t="s">
        <v>5091</v>
      </c>
      <c r="R187" s="2" t="s">
        <v>5753</v>
      </c>
      <c r="S187" s="2"/>
    </row>
    <row r="188" spans="1:19" x14ac:dyDescent="0.2">
      <c r="A188" s="2">
        <v>568</v>
      </c>
      <c r="B188" s="6" t="s">
        <v>1277</v>
      </c>
      <c r="C188" s="2" t="s">
        <v>5874</v>
      </c>
      <c r="D188" s="2" t="s">
        <v>5875</v>
      </c>
      <c r="E188" s="2" t="s">
        <v>1275</v>
      </c>
      <c r="F188" s="2" t="s">
        <v>788</v>
      </c>
      <c r="G188" s="2" t="s">
        <v>1280</v>
      </c>
      <c r="H188" s="2" t="s">
        <v>393</v>
      </c>
      <c r="I188" s="2" t="s">
        <v>453</v>
      </c>
      <c r="J188" s="2"/>
      <c r="K188" s="2" t="s">
        <v>39</v>
      </c>
      <c r="L188" s="2" t="s">
        <v>5087</v>
      </c>
      <c r="M188" s="2" t="s">
        <v>5079</v>
      </c>
      <c r="N188" s="2" t="s">
        <v>5325</v>
      </c>
      <c r="O188" s="2" t="s">
        <v>5691</v>
      </c>
      <c r="P188" s="2" t="s">
        <v>5876</v>
      </c>
      <c r="Q188" s="2" t="s">
        <v>5091</v>
      </c>
      <c r="R188" s="2" t="s">
        <v>5753</v>
      </c>
      <c r="S188" s="2"/>
    </row>
    <row r="189" spans="1:19" x14ac:dyDescent="0.2">
      <c r="A189" s="2">
        <v>569</v>
      </c>
      <c r="B189" s="6" t="s">
        <v>1282</v>
      </c>
      <c r="C189" s="2" t="s">
        <v>5877</v>
      </c>
      <c r="D189" s="2" t="s">
        <v>5878</v>
      </c>
      <c r="E189" s="2" t="s">
        <v>1275</v>
      </c>
      <c r="F189" s="2" t="s">
        <v>840</v>
      </c>
      <c r="G189" s="2" t="s">
        <v>1285</v>
      </c>
      <c r="H189" s="2" t="s">
        <v>393</v>
      </c>
      <c r="I189" s="2" t="s">
        <v>453</v>
      </c>
      <c r="J189" s="2"/>
      <c r="K189" s="2" t="s">
        <v>26</v>
      </c>
      <c r="L189" s="2" t="s">
        <v>5078</v>
      </c>
      <c r="M189" s="2" t="s">
        <v>5079</v>
      </c>
      <c r="N189" s="2" t="s">
        <v>5325</v>
      </c>
      <c r="O189" s="2" t="s">
        <v>5691</v>
      </c>
      <c r="P189" s="2" t="s">
        <v>5879</v>
      </c>
      <c r="Q189" s="2" t="s">
        <v>5091</v>
      </c>
      <c r="R189" s="2" t="s">
        <v>5880</v>
      </c>
      <c r="S189" s="2"/>
    </row>
    <row r="190" spans="1:19" x14ac:dyDescent="0.2">
      <c r="A190" s="2">
        <v>571</v>
      </c>
      <c r="B190" s="6" t="s">
        <v>1288</v>
      </c>
      <c r="C190" s="2" t="s">
        <v>5881</v>
      </c>
      <c r="D190" s="2" t="s">
        <v>5882</v>
      </c>
      <c r="E190" s="2" t="s">
        <v>1291</v>
      </c>
      <c r="F190" s="2"/>
      <c r="G190" s="2" t="s">
        <v>1292</v>
      </c>
      <c r="H190" s="2" t="s">
        <v>393</v>
      </c>
      <c r="I190" s="2" t="s">
        <v>453</v>
      </c>
      <c r="J190" s="2"/>
      <c r="K190" s="2" t="s">
        <v>26</v>
      </c>
      <c r="L190" s="2" t="s">
        <v>5078</v>
      </c>
      <c r="M190" s="2" t="s">
        <v>5324</v>
      </c>
      <c r="N190" s="2" t="s">
        <v>5325</v>
      </c>
      <c r="O190" s="2" t="s">
        <v>5517</v>
      </c>
      <c r="P190" s="2" t="s">
        <v>5883</v>
      </c>
      <c r="Q190" s="2" t="s">
        <v>5091</v>
      </c>
      <c r="R190" s="2" t="s">
        <v>5324</v>
      </c>
      <c r="S190" s="2"/>
    </row>
    <row r="191" spans="1:19" x14ac:dyDescent="0.2">
      <c r="A191" s="2">
        <v>2180</v>
      </c>
      <c r="B191" s="6" t="s">
        <v>1294</v>
      </c>
      <c r="C191" s="2" t="s">
        <v>5884</v>
      </c>
      <c r="D191" s="2" t="s">
        <v>5885</v>
      </c>
      <c r="E191" s="17">
        <v>45620</v>
      </c>
      <c r="F191" s="17">
        <v>45620</v>
      </c>
      <c r="G191" s="17">
        <v>45620</v>
      </c>
      <c r="H191" s="2" t="s">
        <v>393</v>
      </c>
      <c r="I191" s="2" t="s">
        <v>1297</v>
      </c>
      <c r="J191" s="2"/>
      <c r="K191" s="2" t="s">
        <v>412</v>
      </c>
      <c r="L191" s="2" t="s">
        <v>5334</v>
      </c>
      <c r="M191" s="2" t="s">
        <v>5095</v>
      </c>
      <c r="N191" s="2" t="s">
        <v>5325</v>
      </c>
      <c r="O191" s="2" t="s">
        <v>5330</v>
      </c>
      <c r="P191" s="2" t="s">
        <v>5886</v>
      </c>
      <c r="Q191" s="2" t="s">
        <v>5091</v>
      </c>
      <c r="R191" s="2" t="s">
        <v>5095</v>
      </c>
      <c r="S191" s="2" t="s">
        <v>5471</v>
      </c>
    </row>
    <row r="192" spans="1:19" x14ac:dyDescent="0.2">
      <c r="A192" s="2">
        <v>2181</v>
      </c>
      <c r="B192" s="6" t="s">
        <v>1299</v>
      </c>
      <c r="C192" s="2" t="s">
        <v>5887</v>
      </c>
      <c r="D192" s="2" t="s">
        <v>5888</v>
      </c>
      <c r="E192" s="17">
        <v>45620</v>
      </c>
      <c r="F192" s="17">
        <v>45620</v>
      </c>
      <c r="G192" s="17">
        <v>45620</v>
      </c>
      <c r="H192" s="2" t="s">
        <v>393</v>
      </c>
      <c r="I192" s="2" t="s">
        <v>1297</v>
      </c>
      <c r="J192" s="2"/>
      <c r="K192" s="2" t="s">
        <v>412</v>
      </c>
      <c r="L192" s="2" t="s">
        <v>5334</v>
      </c>
      <c r="M192" s="2" t="s">
        <v>5095</v>
      </c>
      <c r="N192" s="2" t="s">
        <v>5325</v>
      </c>
      <c r="O192" s="2" t="s">
        <v>5330</v>
      </c>
      <c r="P192" s="2" t="s">
        <v>5889</v>
      </c>
      <c r="Q192" s="2" t="s">
        <v>5091</v>
      </c>
      <c r="R192" s="2" t="s">
        <v>5095</v>
      </c>
      <c r="S192" s="2" t="s">
        <v>5471</v>
      </c>
    </row>
    <row r="193" spans="1:19" x14ac:dyDescent="0.2">
      <c r="A193" s="2">
        <v>2182</v>
      </c>
      <c r="B193" s="6" t="s">
        <v>1303</v>
      </c>
      <c r="C193" s="2" t="s">
        <v>5890</v>
      </c>
      <c r="D193" s="2" t="s">
        <v>5891</v>
      </c>
      <c r="E193" s="17">
        <v>45620</v>
      </c>
      <c r="F193" s="17">
        <v>45620</v>
      </c>
      <c r="G193" s="17">
        <v>45620</v>
      </c>
      <c r="H193" s="2" t="s">
        <v>393</v>
      </c>
      <c r="I193" s="2" t="s">
        <v>1297</v>
      </c>
      <c r="J193" s="2"/>
      <c r="K193" s="2" t="s">
        <v>26</v>
      </c>
      <c r="L193" s="2" t="s">
        <v>5078</v>
      </c>
      <c r="M193" s="2" t="s">
        <v>5095</v>
      </c>
      <c r="N193" s="2" t="s">
        <v>5325</v>
      </c>
      <c r="O193" s="2" t="s">
        <v>5330</v>
      </c>
      <c r="P193" s="2" t="s">
        <v>5892</v>
      </c>
      <c r="Q193" s="2" t="s">
        <v>5341</v>
      </c>
      <c r="R193" s="2" t="s">
        <v>5095</v>
      </c>
      <c r="S193" s="2" t="s">
        <v>5471</v>
      </c>
    </row>
    <row r="194" spans="1:19" x14ac:dyDescent="0.2">
      <c r="A194" s="2">
        <v>2184</v>
      </c>
      <c r="B194" s="6" t="s">
        <v>1307</v>
      </c>
      <c r="C194" s="2" t="s">
        <v>5893</v>
      </c>
      <c r="D194" s="2" t="s">
        <v>5894</v>
      </c>
      <c r="E194" s="17">
        <v>45624</v>
      </c>
      <c r="F194" s="17">
        <v>45625</v>
      </c>
      <c r="G194" s="17">
        <v>45626</v>
      </c>
      <c r="H194" s="2" t="s">
        <v>393</v>
      </c>
      <c r="I194" s="2" t="s">
        <v>1297</v>
      </c>
      <c r="J194" s="2"/>
      <c r="K194" s="2" t="s">
        <v>412</v>
      </c>
      <c r="L194" s="2" t="s">
        <v>5334</v>
      </c>
      <c r="M194" s="2" t="s">
        <v>5095</v>
      </c>
      <c r="N194" s="2" t="s">
        <v>5325</v>
      </c>
      <c r="O194" s="2" t="s">
        <v>5330</v>
      </c>
      <c r="P194" s="2" t="s">
        <v>5895</v>
      </c>
      <c r="Q194" s="2" t="s">
        <v>5091</v>
      </c>
      <c r="R194" s="2" t="s">
        <v>5095</v>
      </c>
      <c r="S194" s="2"/>
    </row>
    <row r="195" spans="1:19" x14ac:dyDescent="0.2">
      <c r="A195" s="2">
        <v>2187</v>
      </c>
      <c r="B195" s="6" t="s">
        <v>1311</v>
      </c>
      <c r="C195" s="2" t="s">
        <v>5896</v>
      </c>
      <c r="D195" s="2" t="s">
        <v>5897</v>
      </c>
      <c r="E195" s="2" t="s">
        <v>1314</v>
      </c>
      <c r="F195" s="2" t="s">
        <v>1314</v>
      </c>
      <c r="G195" s="2"/>
      <c r="H195" s="2" t="s">
        <v>393</v>
      </c>
      <c r="I195" s="2" t="s">
        <v>1315</v>
      </c>
      <c r="J195" s="2" t="s">
        <v>1316</v>
      </c>
      <c r="K195" s="2" t="s">
        <v>26</v>
      </c>
      <c r="L195" s="2" t="s">
        <v>5078</v>
      </c>
      <c r="M195" s="2" t="s">
        <v>5193</v>
      </c>
      <c r="N195" s="2" t="s">
        <v>5325</v>
      </c>
      <c r="O195" s="2" t="s">
        <v>5691</v>
      </c>
      <c r="P195" s="2" t="s">
        <v>5898</v>
      </c>
      <c r="Q195" s="2" t="s">
        <v>5899</v>
      </c>
      <c r="R195" s="2" t="s">
        <v>5193</v>
      </c>
      <c r="S195" s="2" t="s">
        <v>5900</v>
      </c>
    </row>
    <row r="196" spans="1:19" x14ac:dyDescent="0.2">
      <c r="A196" s="2">
        <v>2189</v>
      </c>
      <c r="B196" s="6" t="s">
        <v>1320</v>
      </c>
      <c r="C196" s="2" t="s">
        <v>5901</v>
      </c>
      <c r="D196" s="2" t="s">
        <v>5902</v>
      </c>
      <c r="E196" s="2" t="s">
        <v>1323</v>
      </c>
      <c r="F196" s="2" t="s">
        <v>1323</v>
      </c>
      <c r="G196" s="2" t="s">
        <v>1323</v>
      </c>
      <c r="H196" s="2" t="s">
        <v>393</v>
      </c>
      <c r="I196" s="2" t="s">
        <v>1315</v>
      </c>
      <c r="J196" s="2" t="s">
        <v>1324</v>
      </c>
      <c r="K196" s="2" t="s">
        <v>26</v>
      </c>
      <c r="L196" s="2" t="s">
        <v>5078</v>
      </c>
      <c r="M196" s="2" t="s">
        <v>5903</v>
      </c>
      <c r="N196" s="2" t="s">
        <v>5325</v>
      </c>
      <c r="O196" s="2" t="s">
        <v>5330</v>
      </c>
      <c r="P196" s="2" t="s">
        <v>5904</v>
      </c>
      <c r="Q196" s="2" t="s">
        <v>5905</v>
      </c>
      <c r="R196" s="2" t="s">
        <v>5903</v>
      </c>
      <c r="S196" s="2"/>
    </row>
    <row r="197" spans="1:19" x14ac:dyDescent="0.2">
      <c r="A197" s="2">
        <v>2190</v>
      </c>
      <c r="B197" s="6" t="s">
        <v>1329</v>
      </c>
      <c r="C197" s="2" t="s">
        <v>5906</v>
      </c>
      <c r="D197" s="2" t="s">
        <v>5907</v>
      </c>
      <c r="E197" s="2" t="s">
        <v>125</v>
      </c>
      <c r="F197" s="2" t="s">
        <v>1332</v>
      </c>
      <c r="G197" s="2" t="s">
        <v>125</v>
      </c>
      <c r="H197" s="2" t="s">
        <v>393</v>
      </c>
      <c r="I197" s="2" t="s">
        <v>1315</v>
      </c>
      <c r="J197" s="2"/>
      <c r="K197" s="2" t="s">
        <v>26</v>
      </c>
      <c r="L197" s="2" t="s">
        <v>5078</v>
      </c>
      <c r="M197" s="2" t="s">
        <v>5095</v>
      </c>
      <c r="N197" s="2" t="s">
        <v>5325</v>
      </c>
      <c r="O197" s="2" t="s">
        <v>5335</v>
      </c>
      <c r="P197" s="2" t="s">
        <v>5908</v>
      </c>
      <c r="Q197" s="2" t="s">
        <v>5909</v>
      </c>
      <c r="R197" s="2" t="s">
        <v>5910</v>
      </c>
      <c r="S197" s="2" t="s">
        <v>5471</v>
      </c>
    </row>
    <row r="198" spans="1:19" x14ac:dyDescent="0.2">
      <c r="A198" s="2">
        <v>2191</v>
      </c>
      <c r="B198" s="6" t="s">
        <v>1336</v>
      </c>
      <c r="C198" s="2" t="s">
        <v>5911</v>
      </c>
      <c r="D198" s="2" t="s">
        <v>5912</v>
      </c>
      <c r="E198" s="2" t="s">
        <v>873</v>
      </c>
      <c r="F198" s="2" t="s">
        <v>1338</v>
      </c>
      <c r="G198" s="2" t="s">
        <v>873</v>
      </c>
      <c r="H198" s="2" t="s">
        <v>393</v>
      </c>
      <c r="I198" s="2" t="s">
        <v>1315</v>
      </c>
      <c r="J198" s="2" t="s">
        <v>1339</v>
      </c>
      <c r="K198" s="2" t="s">
        <v>26</v>
      </c>
      <c r="L198" s="2" t="s">
        <v>5078</v>
      </c>
      <c r="M198" s="2" t="s">
        <v>5193</v>
      </c>
      <c r="N198" s="2" t="s">
        <v>5325</v>
      </c>
      <c r="O198" s="2" t="s">
        <v>5330</v>
      </c>
      <c r="P198" s="2" t="s">
        <v>5913</v>
      </c>
      <c r="Q198" s="2" t="s">
        <v>5528</v>
      </c>
      <c r="R198" s="2" t="s">
        <v>5914</v>
      </c>
      <c r="S198" s="2" t="s">
        <v>5915</v>
      </c>
    </row>
    <row r="199" spans="1:19" x14ac:dyDescent="0.2">
      <c r="A199" s="2">
        <v>2192</v>
      </c>
      <c r="B199" s="6" t="s">
        <v>1343</v>
      </c>
      <c r="C199" s="2" t="s">
        <v>5916</v>
      </c>
      <c r="D199" s="2" t="s">
        <v>5917</v>
      </c>
      <c r="E199" s="2" t="s">
        <v>200</v>
      </c>
      <c r="F199" s="2" t="s">
        <v>200</v>
      </c>
      <c r="G199" s="2" t="s">
        <v>200</v>
      </c>
      <c r="H199" s="2" t="s">
        <v>393</v>
      </c>
      <c r="I199" s="2" t="s">
        <v>1315</v>
      </c>
      <c r="J199" s="2" t="s">
        <v>1339</v>
      </c>
      <c r="K199" s="2" t="s">
        <v>26</v>
      </c>
      <c r="L199" s="2" t="s">
        <v>5078</v>
      </c>
      <c r="M199" s="2" t="s">
        <v>5079</v>
      </c>
      <c r="N199" s="2" t="s">
        <v>5325</v>
      </c>
      <c r="O199" s="2" t="s">
        <v>5330</v>
      </c>
      <c r="P199" s="2" t="s">
        <v>5918</v>
      </c>
      <c r="Q199" s="2" t="s">
        <v>5919</v>
      </c>
      <c r="R199" s="2" t="s">
        <v>5079</v>
      </c>
      <c r="S199" s="2" t="s">
        <v>5920</v>
      </c>
    </row>
    <row r="200" spans="1:19" x14ac:dyDescent="0.2">
      <c r="A200" s="2">
        <v>2193</v>
      </c>
      <c r="B200" s="6" t="s">
        <v>1349</v>
      </c>
      <c r="C200" s="2" t="s">
        <v>5921</v>
      </c>
      <c r="D200" s="2" t="s">
        <v>5922</v>
      </c>
      <c r="E200" s="2" t="s">
        <v>1352</v>
      </c>
      <c r="F200" s="2"/>
      <c r="G200" s="2"/>
      <c r="H200" s="2" t="s">
        <v>393</v>
      </c>
      <c r="I200" s="2" t="s">
        <v>1315</v>
      </c>
      <c r="J200" s="2" t="s">
        <v>1353</v>
      </c>
      <c r="K200" s="2" t="s">
        <v>426</v>
      </c>
      <c r="L200" s="2" t="s">
        <v>5345</v>
      </c>
      <c r="M200" s="2" t="s">
        <v>5193</v>
      </c>
      <c r="N200" s="2" t="s">
        <v>5325</v>
      </c>
      <c r="O200" s="2" t="s">
        <v>5330</v>
      </c>
      <c r="P200" s="2" t="s">
        <v>5923</v>
      </c>
      <c r="Q200" s="2" t="s">
        <v>5924</v>
      </c>
      <c r="R200" s="2" t="s">
        <v>5914</v>
      </c>
      <c r="S200" s="2" t="s">
        <v>5925</v>
      </c>
    </row>
    <row r="201" spans="1:19" x14ac:dyDescent="0.2">
      <c r="A201" s="2">
        <v>2198</v>
      </c>
      <c r="B201" s="6" t="s">
        <v>1357</v>
      </c>
      <c r="C201" s="2" t="s">
        <v>5926</v>
      </c>
      <c r="D201" s="2" t="s">
        <v>5927</v>
      </c>
      <c r="E201" s="2" t="s">
        <v>1314</v>
      </c>
      <c r="F201" s="2" t="s">
        <v>1314</v>
      </c>
      <c r="G201" s="2" t="s">
        <v>1314</v>
      </c>
      <c r="H201" s="2" t="s">
        <v>393</v>
      </c>
      <c r="I201" s="2" t="s">
        <v>1360</v>
      </c>
      <c r="J201" s="2"/>
      <c r="K201" s="2" t="s">
        <v>26</v>
      </c>
      <c r="L201" s="2" t="s">
        <v>5078</v>
      </c>
      <c r="M201" s="2" t="s">
        <v>5095</v>
      </c>
      <c r="N201" s="2" t="s">
        <v>5325</v>
      </c>
      <c r="O201" s="2" t="s">
        <v>5326</v>
      </c>
      <c r="P201" s="2" t="s">
        <v>5928</v>
      </c>
      <c r="Q201" s="2" t="s">
        <v>5091</v>
      </c>
      <c r="R201" s="2" t="s">
        <v>5488</v>
      </c>
      <c r="S201" s="2"/>
    </row>
    <row r="202" spans="1:19" x14ac:dyDescent="0.2">
      <c r="A202" s="2">
        <v>2199</v>
      </c>
      <c r="B202" s="6" t="s">
        <v>1362</v>
      </c>
      <c r="C202" s="2" t="s">
        <v>5929</v>
      </c>
      <c r="D202" s="2" t="s">
        <v>5930</v>
      </c>
      <c r="E202" s="2" t="s">
        <v>1365</v>
      </c>
      <c r="F202" s="2" t="s">
        <v>1365</v>
      </c>
      <c r="G202" s="2" t="s">
        <v>1366</v>
      </c>
      <c r="H202" s="2" t="s">
        <v>393</v>
      </c>
      <c r="I202" s="2" t="s">
        <v>1367</v>
      </c>
      <c r="J202" s="2"/>
      <c r="K202" s="2" t="s">
        <v>26</v>
      </c>
      <c r="L202" s="2" t="s">
        <v>5078</v>
      </c>
      <c r="M202" s="2" t="s">
        <v>5367</v>
      </c>
      <c r="N202" s="2" t="s">
        <v>5325</v>
      </c>
      <c r="O202" s="2" t="s">
        <v>5335</v>
      </c>
      <c r="P202" s="2" t="s">
        <v>5931</v>
      </c>
      <c r="Q202" s="2" t="s">
        <v>5341</v>
      </c>
      <c r="R202" s="2" t="s">
        <v>5932</v>
      </c>
      <c r="S202" s="2"/>
    </row>
    <row r="203" spans="1:19" x14ac:dyDescent="0.2">
      <c r="A203" s="2">
        <v>2200</v>
      </c>
      <c r="B203" s="6" t="s">
        <v>1370</v>
      </c>
      <c r="C203" s="2" t="s">
        <v>5933</v>
      </c>
      <c r="D203" s="2" t="s">
        <v>5934</v>
      </c>
      <c r="E203" s="2" t="s">
        <v>22</v>
      </c>
      <c r="F203" s="2"/>
      <c r="G203" s="2"/>
      <c r="H203" s="2" t="s">
        <v>393</v>
      </c>
      <c r="I203" s="2" t="s">
        <v>1258</v>
      </c>
      <c r="J203" s="2"/>
      <c r="K203" s="2" t="s">
        <v>26</v>
      </c>
      <c r="L203" s="2" t="s">
        <v>5078</v>
      </c>
      <c r="M203" s="2" t="s">
        <v>5193</v>
      </c>
      <c r="N203" s="2" t="s">
        <v>5325</v>
      </c>
      <c r="O203" s="2" t="s">
        <v>5081</v>
      </c>
      <c r="P203" s="2" t="s">
        <v>5935</v>
      </c>
      <c r="Q203" s="2" t="s">
        <v>5936</v>
      </c>
      <c r="R203" s="2" t="s">
        <v>5193</v>
      </c>
      <c r="S203" s="2"/>
    </row>
    <row r="204" spans="1:19" x14ac:dyDescent="0.2">
      <c r="A204" s="2">
        <v>2201</v>
      </c>
      <c r="B204" s="6" t="s">
        <v>1375</v>
      </c>
      <c r="C204" s="2" t="s">
        <v>5937</v>
      </c>
      <c r="D204" s="2" t="s">
        <v>5938</v>
      </c>
      <c r="E204" s="2" t="s">
        <v>608</v>
      </c>
      <c r="F204" s="2" t="s">
        <v>608</v>
      </c>
      <c r="G204" s="2" t="s">
        <v>608</v>
      </c>
      <c r="H204" s="2" t="s">
        <v>393</v>
      </c>
      <c r="I204" s="2" t="s">
        <v>1258</v>
      </c>
      <c r="J204" s="2"/>
      <c r="K204" s="2" t="s">
        <v>1011</v>
      </c>
      <c r="L204" s="2" t="s">
        <v>5709</v>
      </c>
      <c r="M204" s="2" t="s">
        <v>5939</v>
      </c>
      <c r="N204" s="2" t="s">
        <v>5325</v>
      </c>
      <c r="O204" s="2" t="s">
        <v>5330</v>
      </c>
      <c r="P204" s="2" t="s">
        <v>5940</v>
      </c>
      <c r="Q204" s="2" t="s">
        <v>5091</v>
      </c>
      <c r="R204" s="2" t="s">
        <v>5939</v>
      </c>
      <c r="S204" s="2"/>
    </row>
    <row r="205" spans="1:19" x14ac:dyDescent="0.2">
      <c r="A205" s="2">
        <v>2204</v>
      </c>
      <c r="B205" s="6" t="s">
        <v>1381</v>
      </c>
      <c r="C205" s="2" t="s">
        <v>5941</v>
      </c>
      <c r="D205" s="2" t="s">
        <v>5942</v>
      </c>
      <c r="E205" s="2" t="s">
        <v>624</v>
      </c>
      <c r="F205" s="2" t="s">
        <v>624</v>
      </c>
      <c r="G205" s="2" t="s">
        <v>624</v>
      </c>
      <c r="H205" s="2" t="s">
        <v>393</v>
      </c>
      <c r="I205" s="2" t="s">
        <v>1258</v>
      </c>
      <c r="J205" s="2"/>
      <c r="K205" s="2" t="s">
        <v>645</v>
      </c>
      <c r="L205" s="2" t="s">
        <v>5482</v>
      </c>
      <c r="M205" s="2" t="s">
        <v>5095</v>
      </c>
      <c r="N205" s="2" t="s">
        <v>5325</v>
      </c>
      <c r="O205" s="2" t="s">
        <v>5081</v>
      </c>
      <c r="P205" s="2" t="s">
        <v>5943</v>
      </c>
      <c r="Q205" s="2" t="s">
        <v>5091</v>
      </c>
      <c r="R205" s="2" t="s">
        <v>5095</v>
      </c>
      <c r="S205" s="2"/>
    </row>
    <row r="206" spans="1:19" x14ac:dyDescent="0.2">
      <c r="A206" s="2">
        <v>2205</v>
      </c>
      <c r="B206" s="6" t="s">
        <v>1385</v>
      </c>
      <c r="C206" s="2" t="s">
        <v>5944</v>
      </c>
      <c r="D206" s="2" t="s">
        <v>5945</v>
      </c>
      <c r="E206" s="2" t="s">
        <v>101</v>
      </c>
      <c r="F206" s="2" t="s">
        <v>1338</v>
      </c>
      <c r="G206" s="2" t="s">
        <v>101</v>
      </c>
      <c r="H206" s="2" t="s">
        <v>393</v>
      </c>
      <c r="I206" s="2" t="s">
        <v>1258</v>
      </c>
      <c r="J206" s="2"/>
      <c r="K206" s="2" t="s">
        <v>26</v>
      </c>
      <c r="L206" s="2" t="s">
        <v>5078</v>
      </c>
      <c r="M206" s="2" t="s">
        <v>5193</v>
      </c>
      <c r="N206" s="2" t="s">
        <v>5325</v>
      </c>
      <c r="O206" s="2" t="s">
        <v>5081</v>
      </c>
      <c r="P206" s="2" t="s">
        <v>5946</v>
      </c>
      <c r="Q206" s="2" t="s">
        <v>5341</v>
      </c>
      <c r="R206" s="2" t="s">
        <v>5193</v>
      </c>
      <c r="S206" s="2"/>
    </row>
    <row r="207" spans="1:19" x14ac:dyDescent="0.2">
      <c r="A207" s="2">
        <v>2206</v>
      </c>
      <c r="B207" s="6" t="s">
        <v>1389</v>
      </c>
      <c r="C207" s="2" t="s">
        <v>5947</v>
      </c>
      <c r="D207" s="2" t="s">
        <v>5948</v>
      </c>
      <c r="E207" s="2" t="s">
        <v>124</v>
      </c>
      <c r="F207" s="2"/>
      <c r="G207" s="2"/>
      <c r="H207" s="2" t="s">
        <v>393</v>
      </c>
      <c r="I207" s="2" t="s">
        <v>1258</v>
      </c>
      <c r="J207" s="2"/>
      <c r="K207" s="2" t="s">
        <v>26</v>
      </c>
      <c r="L207" s="2" t="s">
        <v>5078</v>
      </c>
      <c r="M207" s="2" t="s">
        <v>5193</v>
      </c>
      <c r="N207" s="2" t="s">
        <v>5325</v>
      </c>
      <c r="O207" s="2" t="s">
        <v>5326</v>
      </c>
      <c r="P207" s="2" t="s">
        <v>5949</v>
      </c>
      <c r="Q207" s="2" t="s">
        <v>5950</v>
      </c>
      <c r="R207" s="2" t="s">
        <v>5193</v>
      </c>
      <c r="S207" s="2"/>
    </row>
    <row r="208" spans="1:19" x14ac:dyDescent="0.2">
      <c r="A208" s="2">
        <v>2208</v>
      </c>
      <c r="B208" s="6" t="s">
        <v>1394</v>
      </c>
      <c r="C208" s="2" t="s">
        <v>5951</v>
      </c>
      <c r="D208" s="2" t="s">
        <v>5952</v>
      </c>
      <c r="E208" s="2" t="s">
        <v>873</v>
      </c>
      <c r="F208" s="2" t="s">
        <v>873</v>
      </c>
      <c r="G208" s="2" t="s">
        <v>873</v>
      </c>
      <c r="H208" s="2" t="s">
        <v>393</v>
      </c>
      <c r="I208" s="2" t="s">
        <v>1258</v>
      </c>
      <c r="J208" s="2"/>
      <c r="K208" s="2" t="s">
        <v>1011</v>
      </c>
      <c r="L208" s="2" t="s">
        <v>5709</v>
      </c>
      <c r="M208" s="2" t="s">
        <v>5193</v>
      </c>
      <c r="N208" s="2" t="s">
        <v>5325</v>
      </c>
      <c r="O208" s="2" t="s">
        <v>5335</v>
      </c>
      <c r="P208" s="2" t="s">
        <v>5953</v>
      </c>
      <c r="Q208" s="2" t="s">
        <v>5091</v>
      </c>
      <c r="R208" s="2" t="s">
        <v>5914</v>
      </c>
      <c r="S208" s="2"/>
    </row>
    <row r="209" spans="1:19" x14ac:dyDescent="0.2">
      <c r="A209" s="2">
        <v>2209</v>
      </c>
      <c r="B209" s="6" t="s">
        <v>1398</v>
      </c>
      <c r="C209" s="2" t="s">
        <v>5954</v>
      </c>
      <c r="D209" s="2" t="s">
        <v>5955</v>
      </c>
      <c r="E209" s="2" t="s">
        <v>873</v>
      </c>
      <c r="F209" s="2" t="s">
        <v>873</v>
      </c>
      <c r="G209" s="2" t="s">
        <v>873</v>
      </c>
      <c r="H209" s="2" t="s">
        <v>393</v>
      </c>
      <c r="I209" s="2" t="s">
        <v>1258</v>
      </c>
      <c r="J209" s="2"/>
      <c r="K209" s="2" t="s">
        <v>1011</v>
      </c>
      <c r="L209" s="2" t="s">
        <v>5709</v>
      </c>
      <c r="M209" s="2" t="s">
        <v>5193</v>
      </c>
      <c r="N209" s="2" t="s">
        <v>5325</v>
      </c>
      <c r="O209" s="2" t="s">
        <v>5335</v>
      </c>
      <c r="P209" s="2" t="s">
        <v>5956</v>
      </c>
      <c r="Q209" s="2" t="s">
        <v>5091</v>
      </c>
      <c r="R209" s="2" t="s">
        <v>5193</v>
      </c>
      <c r="S209" s="2"/>
    </row>
    <row r="210" spans="1:19" x14ac:dyDescent="0.2">
      <c r="A210" s="2">
        <v>2210</v>
      </c>
      <c r="B210" s="6" t="s">
        <v>1403</v>
      </c>
      <c r="C210" s="2" t="s">
        <v>5957</v>
      </c>
      <c r="D210" s="2" t="s">
        <v>5958</v>
      </c>
      <c r="E210" s="2" t="s">
        <v>873</v>
      </c>
      <c r="F210" s="2" t="s">
        <v>873</v>
      </c>
      <c r="G210" s="2" t="s">
        <v>873</v>
      </c>
      <c r="H210" s="2" t="s">
        <v>393</v>
      </c>
      <c r="I210" s="2" t="s">
        <v>1258</v>
      </c>
      <c r="J210" s="2"/>
      <c r="K210" s="2" t="s">
        <v>26</v>
      </c>
      <c r="L210" s="2" t="s">
        <v>5078</v>
      </c>
      <c r="M210" s="2" t="s">
        <v>5193</v>
      </c>
      <c r="N210" s="2" t="s">
        <v>5325</v>
      </c>
      <c r="O210" s="2" t="s">
        <v>5081</v>
      </c>
      <c r="P210" s="2" t="s">
        <v>5959</v>
      </c>
      <c r="Q210" s="2" t="s">
        <v>5091</v>
      </c>
      <c r="R210" s="2" t="s">
        <v>5914</v>
      </c>
      <c r="S210" s="2"/>
    </row>
    <row r="211" spans="1:19" x14ac:dyDescent="0.2">
      <c r="A211" s="2">
        <v>2212</v>
      </c>
      <c r="B211" s="6" t="s">
        <v>1407</v>
      </c>
      <c r="C211" s="2" t="s">
        <v>5960</v>
      </c>
      <c r="D211" s="2" t="s">
        <v>5961</v>
      </c>
      <c r="E211" s="2" t="s">
        <v>1410</v>
      </c>
      <c r="F211" s="2" t="s">
        <v>1410</v>
      </c>
      <c r="G211" s="2" t="s">
        <v>1410</v>
      </c>
      <c r="H211" s="2" t="s">
        <v>393</v>
      </c>
      <c r="I211" s="2" t="s">
        <v>1258</v>
      </c>
      <c r="J211" s="2"/>
      <c r="K211" s="2" t="s">
        <v>26</v>
      </c>
      <c r="L211" s="2" t="s">
        <v>5078</v>
      </c>
      <c r="M211" s="2" t="s">
        <v>5193</v>
      </c>
      <c r="N211" s="2" t="s">
        <v>5325</v>
      </c>
      <c r="O211" s="2" t="s">
        <v>5335</v>
      </c>
      <c r="P211" s="2" t="s">
        <v>5962</v>
      </c>
      <c r="Q211" s="2" t="s">
        <v>5091</v>
      </c>
      <c r="R211" s="2" t="s">
        <v>5914</v>
      </c>
      <c r="S211" s="2"/>
    </row>
    <row r="212" spans="1:19" x14ac:dyDescent="0.2">
      <c r="A212" s="2">
        <v>2213</v>
      </c>
      <c r="B212" s="6" t="s">
        <v>1412</v>
      </c>
      <c r="C212" s="2" t="s">
        <v>5963</v>
      </c>
      <c r="D212" s="2" t="s">
        <v>5964</v>
      </c>
      <c r="E212" s="2" t="s">
        <v>1415</v>
      </c>
      <c r="F212" s="2" t="s">
        <v>1415</v>
      </c>
      <c r="G212" s="2" t="s">
        <v>1415</v>
      </c>
      <c r="H212" s="2" t="s">
        <v>393</v>
      </c>
      <c r="I212" s="2" t="s">
        <v>1258</v>
      </c>
      <c r="J212" s="2"/>
      <c r="K212" s="2" t="s">
        <v>26</v>
      </c>
      <c r="L212" s="2" t="s">
        <v>5078</v>
      </c>
      <c r="M212" s="2" t="s">
        <v>5965</v>
      </c>
      <c r="N212" s="2" t="s">
        <v>5325</v>
      </c>
      <c r="O212" s="2" t="s">
        <v>5081</v>
      </c>
      <c r="P212" s="2" t="s">
        <v>5966</v>
      </c>
      <c r="Q212" s="2" t="s">
        <v>5091</v>
      </c>
      <c r="R212" s="2" t="s">
        <v>5967</v>
      </c>
      <c r="S212" s="2"/>
    </row>
    <row r="213" spans="1:19" x14ac:dyDescent="0.2">
      <c r="A213" s="2">
        <v>1026</v>
      </c>
      <c r="B213" s="6" t="s">
        <v>1419</v>
      </c>
      <c r="C213" s="2" t="s">
        <v>5968</v>
      </c>
      <c r="D213" s="2" t="s">
        <v>5969</v>
      </c>
      <c r="E213" s="2" t="s">
        <v>1352</v>
      </c>
      <c r="F213" s="2"/>
      <c r="G213" s="2"/>
      <c r="H213" s="2" t="s">
        <v>393</v>
      </c>
      <c r="I213" s="2" t="s">
        <v>1422</v>
      </c>
      <c r="J213" s="2"/>
      <c r="K213" s="2" t="s">
        <v>26</v>
      </c>
      <c r="L213" s="2" t="s">
        <v>5078</v>
      </c>
      <c r="M213" s="2" t="s">
        <v>5079</v>
      </c>
      <c r="N213" s="2" t="s">
        <v>5325</v>
      </c>
      <c r="O213" s="2" t="s">
        <v>5081</v>
      </c>
      <c r="P213" s="2" t="s">
        <v>5970</v>
      </c>
      <c r="Q213" s="2" t="s">
        <v>5971</v>
      </c>
      <c r="R213" s="2" t="s">
        <v>5079</v>
      </c>
      <c r="S213" s="2"/>
    </row>
    <row r="214" spans="1:19" x14ac:dyDescent="0.2">
      <c r="A214" s="2">
        <v>1027</v>
      </c>
      <c r="B214" s="6" t="s">
        <v>1425</v>
      </c>
      <c r="C214" s="2" t="s">
        <v>5972</v>
      </c>
      <c r="D214" s="2" t="s">
        <v>5973</v>
      </c>
      <c r="E214" s="2" t="s">
        <v>1428</v>
      </c>
      <c r="F214" s="2"/>
      <c r="G214" s="2"/>
      <c r="H214" s="2" t="s">
        <v>393</v>
      </c>
      <c r="I214" s="2" t="s">
        <v>1429</v>
      </c>
      <c r="J214" s="2"/>
      <c r="K214" s="2" t="s">
        <v>26</v>
      </c>
      <c r="L214" s="2" t="s">
        <v>5078</v>
      </c>
      <c r="M214" s="2" t="s">
        <v>5079</v>
      </c>
      <c r="N214" s="2" t="s">
        <v>5325</v>
      </c>
      <c r="O214" s="2" t="s">
        <v>5326</v>
      </c>
      <c r="P214" s="2" t="s">
        <v>5974</v>
      </c>
      <c r="Q214" s="2" t="s">
        <v>5242</v>
      </c>
      <c r="R214" s="2" t="s">
        <v>5914</v>
      </c>
      <c r="S214" s="2"/>
    </row>
    <row r="215" spans="1:19" x14ac:dyDescent="0.2">
      <c r="A215" s="2">
        <v>1032</v>
      </c>
      <c r="B215" s="6" t="s">
        <v>1431</v>
      </c>
      <c r="C215" s="2" t="s">
        <v>5975</v>
      </c>
      <c r="D215" s="2" t="s">
        <v>5976</v>
      </c>
      <c r="E215" s="2" t="s">
        <v>893</v>
      </c>
      <c r="F215" s="2"/>
      <c r="G215" s="2"/>
      <c r="H215" s="2" t="s">
        <v>393</v>
      </c>
      <c r="I215" s="2" t="s">
        <v>1434</v>
      </c>
      <c r="J215" s="2"/>
      <c r="K215" s="2" t="s">
        <v>26</v>
      </c>
      <c r="L215" s="2" t="s">
        <v>5078</v>
      </c>
      <c r="M215" s="2"/>
      <c r="N215" s="2" t="s">
        <v>5325</v>
      </c>
      <c r="O215" s="2" t="s">
        <v>5326</v>
      </c>
      <c r="P215" s="2" t="s">
        <v>5977</v>
      </c>
      <c r="Q215" s="2" t="s">
        <v>5638</v>
      </c>
      <c r="R215" s="2"/>
      <c r="S215" s="2" t="s">
        <v>5200</v>
      </c>
    </row>
    <row r="216" spans="1:19" x14ac:dyDescent="0.2">
      <c r="A216" s="2">
        <v>1034</v>
      </c>
      <c r="B216" s="6" t="s">
        <v>1437</v>
      </c>
      <c r="C216" s="2" t="s">
        <v>5978</v>
      </c>
      <c r="D216" s="2" t="s">
        <v>5979</v>
      </c>
      <c r="E216" s="2" t="s">
        <v>1440</v>
      </c>
      <c r="F216" s="2"/>
      <c r="G216" s="2"/>
      <c r="H216" s="2" t="s">
        <v>393</v>
      </c>
      <c r="I216" s="2" t="s">
        <v>5980</v>
      </c>
      <c r="J216" s="2" t="s">
        <v>5310</v>
      </c>
      <c r="K216" s="2" t="s">
        <v>39</v>
      </c>
      <c r="L216" s="2" t="s">
        <v>5087</v>
      </c>
      <c r="M216" s="2"/>
      <c r="N216" s="2" t="s">
        <v>5325</v>
      </c>
      <c r="O216" s="2" t="s">
        <v>5362</v>
      </c>
      <c r="P216" s="2" t="s">
        <v>5981</v>
      </c>
      <c r="Q216" s="2"/>
      <c r="R216" s="2"/>
      <c r="S216" s="2"/>
    </row>
    <row r="217" spans="1:19" x14ac:dyDescent="0.2">
      <c r="A217" s="2">
        <v>1035</v>
      </c>
      <c r="B217" s="6" t="s">
        <v>1443</v>
      </c>
      <c r="C217" s="2" t="s">
        <v>5982</v>
      </c>
      <c r="D217" s="2" t="s">
        <v>5983</v>
      </c>
      <c r="E217" s="2" t="s">
        <v>199</v>
      </c>
      <c r="F217" s="2"/>
      <c r="G217" s="2"/>
      <c r="H217" s="2" t="s">
        <v>393</v>
      </c>
      <c r="I217" s="2" t="s">
        <v>5984</v>
      </c>
      <c r="J217" s="2"/>
      <c r="K217" s="2" t="s">
        <v>26</v>
      </c>
      <c r="L217" s="2" t="s">
        <v>5078</v>
      </c>
      <c r="M217" s="2"/>
      <c r="N217" s="2" t="s">
        <v>5325</v>
      </c>
      <c r="O217" s="2" t="s">
        <v>5081</v>
      </c>
      <c r="P217" s="2" t="s">
        <v>5985</v>
      </c>
      <c r="Q217" s="2" t="s">
        <v>5638</v>
      </c>
      <c r="R217" s="2"/>
      <c r="S217" s="2" t="s">
        <v>5801</v>
      </c>
    </row>
    <row r="218" spans="1:19" x14ac:dyDescent="0.2">
      <c r="A218" s="2">
        <v>1129</v>
      </c>
      <c r="B218" s="6" t="s">
        <v>1448</v>
      </c>
      <c r="C218" s="2" t="s">
        <v>5986</v>
      </c>
      <c r="D218" s="2" t="s">
        <v>5987</v>
      </c>
      <c r="E218" s="2" t="s">
        <v>927</v>
      </c>
      <c r="F218" s="2"/>
      <c r="G218" s="2"/>
      <c r="H218" s="2" t="s">
        <v>5227</v>
      </c>
      <c r="I218" s="2" t="s">
        <v>5988</v>
      </c>
      <c r="J218" s="2"/>
      <c r="K218" s="2" t="s">
        <v>39</v>
      </c>
      <c r="L218" s="2" t="s">
        <v>5087</v>
      </c>
      <c r="M218" s="2" t="s">
        <v>5989</v>
      </c>
      <c r="N218" s="2" t="s">
        <v>5108</v>
      </c>
      <c r="O218" s="2" t="s">
        <v>5081</v>
      </c>
      <c r="P218" s="2" t="s">
        <v>5990</v>
      </c>
      <c r="Q218" s="2" t="s">
        <v>5091</v>
      </c>
      <c r="R218" s="2" t="s">
        <v>5218</v>
      </c>
      <c r="S218" s="2"/>
    </row>
    <row r="219" spans="1:19" x14ac:dyDescent="0.2">
      <c r="A219" s="2">
        <v>1746</v>
      </c>
      <c r="B219" s="6" t="s">
        <v>1454</v>
      </c>
      <c r="C219" s="2" t="s">
        <v>5991</v>
      </c>
      <c r="D219" s="2" t="s">
        <v>5992</v>
      </c>
      <c r="E219" s="2" t="s">
        <v>1457</v>
      </c>
      <c r="F219" s="17">
        <v>45446</v>
      </c>
      <c r="G219" s="2"/>
      <c r="H219" s="2" t="s">
        <v>135</v>
      </c>
      <c r="I219" s="2" t="s">
        <v>5993</v>
      </c>
      <c r="J219" s="2"/>
      <c r="K219" s="2" t="s">
        <v>26</v>
      </c>
      <c r="L219" s="2" t="s">
        <v>5078</v>
      </c>
      <c r="M219" s="2"/>
      <c r="N219" s="2" t="s">
        <v>5108</v>
      </c>
      <c r="O219" s="2" t="s">
        <v>5081</v>
      </c>
      <c r="P219" s="2" t="s">
        <v>5101</v>
      </c>
      <c r="Q219" s="2" t="s">
        <v>5936</v>
      </c>
      <c r="R219" s="2" t="s">
        <v>5994</v>
      </c>
      <c r="S219" s="2" t="s">
        <v>5995</v>
      </c>
    </row>
    <row r="220" spans="1:19" x14ac:dyDescent="0.2">
      <c r="A220" s="2">
        <v>2223</v>
      </c>
      <c r="B220" s="6" t="s">
        <v>1461</v>
      </c>
      <c r="C220" s="2" t="s">
        <v>5996</v>
      </c>
      <c r="D220" s="2" t="s">
        <v>5997</v>
      </c>
      <c r="E220" s="2" t="s">
        <v>650</v>
      </c>
      <c r="F220" s="2"/>
      <c r="G220" s="2"/>
      <c r="H220" s="2" t="s">
        <v>393</v>
      </c>
      <c r="I220" s="2" t="s">
        <v>1258</v>
      </c>
      <c r="J220" s="2"/>
      <c r="K220" s="2" t="s">
        <v>26</v>
      </c>
      <c r="L220" s="2" t="s">
        <v>5078</v>
      </c>
      <c r="M220" s="2" t="s">
        <v>5193</v>
      </c>
      <c r="N220" s="2" t="s">
        <v>5325</v>
      </c>
      <c r="O220" s="2" t="s">
        <v>5081</v>
      </c>
      <c r="P220" s="2" t="s">
        <v>5998</v>
      </c>
      <c r="Q220" s="2" t="s">
        <v>5091</v>
      </c>
      <c r="R220" s="2" t="s">
        <v>5193</v>
      </c>
      <c r="S220" s="2"/>
    </row>
    <row r="221" spans="1:19" x14ac:dyDescent="0.2">
      <c r="A221" s="2">
        <v>2225</v>
      </c>
      <c r="B221" s="6" t="s">
        <v>1465</v>
      </c>
      <c r="C221" s="2" t="s">
        <v>5999</v>
      </c>
      <c r="D221" s="2" t="s">
        <v>6000</v>
      </c>
      <c r="E221" s="2" t="s">
        <v>650</v>
      </c>
      <c r="F221" s="2"/>
      <c r="G221" s="2"/>
      <c r="H221" s="2" t="s">
        <v>393</v>
      </c>
      <c r="I221" s="2" t="s">
        <v>1258</v>
      </c>
      <c r="J221" s="2" t="s">
        <v>1324</v>
      </c>
      <c r="K221" s="2" t="s">
        <v>26</v>
      </c>
      <c r="L221" s="2" t="s">
        <v>5078</v>
      </c>
      <c r="M221" s="2" t="s">
        <v>5079</v>
      </c>
      <c r="N221" s="2" t="s">
        <v>5325</v>
      </c>
      <c r="O221" s="2" t="s">
        <v>5335</v>
      </c>
      <c r="P221" s="2" t="s">
        <v>6001</v>
      </c>
      <c r="Q221" s="2" t="s">
        <v>5091</v>
      </c>
      <c r="R221" s="2" t="s">
        <v>5079</v>
      </c>
      <c r="S221" s="2"/>
    </row>
    <row r="222" spans="1:19" x14ac:dyDescent="0.2">
      <c r="A222" s="2">
        <v>2227</v>
      </c>
      <c r="B222" s="6" t="s">
        <v>1469</v>
      </c>
      <c r="C222" s="2" t="s">
        <v>6002</v>
      </c>
      <c r="D222" s="2" t="s">
        <v>6003</v>
      </c>
      <c r="E222" s="2" t="s">
        <v>1472</v>
      </c>
      <c r="F222" s="2"/>
      <c r="G222" s="2"/>
      <c r="H222" s="2" t="s">
        <v>393</v>
      </c>
      <c r="I222" s="2" t="s">
        <v>1258</v>
      </c>
      <c r="J222" s="2"/>
      <c r="K222" s="2" t="s">
        <v>26</v>
      </c>
      <c r="L222" s="2" t="s">
        <v>5078</v>
      </c>
      <c r="M222" s="2" t="s">
        <v>5193</v>
      </c>
      <c r="N222" s="2" t="s">
        <v>5325</v>
      </c>
      <c r="O222" s="2" t="s">
        <v>5081</v>
      </c>
      <c r="P222" s="2" t="s">
        <v>6004</v>
      </c>
      <c r="Q222" s="2" t="s">
        <v>5091</v>
      </c>
      <c r="R222" s="2" t="s">
        <v>5193</v>
      </c>
      <c r="S222" s="2"/>
    </row>
    <row r="223" spans="1:19" x14ac:dyDescent="0.2">
      <c r="A223" s="2">
        <v>818</v>
      </c>
      <c r="B223" s="6" t="s">
        <v>1474</v>
      </c>
      <c r="C223" s="2" t="s">
        <v>6005</v>
      </c>
      <c r="D223" s="2" t="s">
        <v>6006</v>
      </c>
      <c r="E223" s="2" t="s">
        <v>1477</v>
      </c>
      <c r="F223" s="2"/>
      <c r="G223" s="2"/>
      <c r="H223" s="2" t="s">
        <v>393</v>
      </c>
      <c r="I223" s="2" t="s">
        <v>453</v>
      </c>
      <c r="J223" s="2"/>
      <c r="K223" s="2" t="s">
        <v>26</v>
      </c>
      <c r="L223" s="2" t="s">
        <v>5078</v>
      </c>
      <c r="M223" s="2" t="s">
        <v>5352</v>
      </c>
      <c r="N223" s="2" t="s">
        <v>5325</v>
      </c>
      <c r="O223" s="2" t="s">
        <v>5335</v>
      </c>
      <c r="P223" s="2" t="s">
        <v>6007</v>
      </c>
      <c r="Q223" s="2" t="s">
        <v>5091</v>
      </c>
      <c r="R223" s="2" t="s">
        <v>5352</v>
      </c>
      <c r="S223" s="2"/>
    </row>
    <row r="224" spans="1:19" x14ac:dyDescent="0.2">
      <c r="A224" s="2">
        <v>819</v>
      </c>
      <c r="B224" s="6" t="s">
        <v>1479</v>
      </c>
      <c r="C224" s="2" t="s">
        <v>6008</v>
      </c>
      <c r="D224" s="2" t="s">
        <v>6009</v>
      </c>
      <c r="E224" s="2" t="s">
        <v>1477</v>
      </c>
      <c r="F224" s="2"/>
      <c r="G224" s="2"/>
      <c r="H224" s="2" t="s">
        <v>393</v>
      </c>
      <c r="I224" s="2" t="s">
        <v>453</v>
      </c>
      <c r="J224" s="2"/>
      <c r="K224" s="2" t="s">
        <v>426</v>
      </c>
      <c r="L224" s="2" t="s">
        <v>5345</v>
      </c>
      <c r="M224" s="2" t="s">
        <v>5394</v>
      </c>
      <c r="N224" s="2" t="s">
        <v>5325</v>
      </c>
      <c r="O224" s="2" t="s">
        <v>5330</v>
      </c>
      <c r="P224" s="2" t="s">
        <v>6010</v>
      </c>
      <c r="Q224" s="2" t="s">
        <v>5091</v>
      </c>
      <c r="R224" s="2" t="s">
        <v>5394</v>
      </c>
      <c r="S224" s="2"/>
    </row>
    <row r="225" spans="1:19" x14ac:dyDescent="0.2">
      <c r="A225" s="2">
        <v>820</v>
      </c>
      <c r="B225" s="6" t="s">
        <v>1484</v>
      </c>
      <c r="C225" s="2" t="s">
        <v>6011</v>
      </c>
      <c r="D225" s="2" t="s">
        <v>6012</v>
      </c>
      <c r="E225" s="2" t="s">
        <v>410</v>
      </c>
      <c r="F225" s="2"/>
      <c r="G225" s="2"/>
      <c r="H225" s="2" t="s">
        <v>393</v>
      </c>
      <c r="I225" s="2" t="s">
        <v>453</v>
      </c>
      <c r="J225" s="2"/>
      <c r="K225" s="2" t="s">
        <v>426</v>
      </c>
      <c r="L225" s="2" t="s">
        <v>5345</v>
      </c>
      <c r="M225" s="2" t="s">
        <v>6013</v>
      </c>
      <c r="N225" s="2" t="s">
        <v>5325</v>
      </c>
      <c r="O225" s="2" t="s">
        <v>5362</v>
      </c>
      <c r="P225" s="2" t="s">
        <v>6014</v>
      </c>
      <c r="Q225" s="2" t="s">
        <v>5091</v>
      </c>
      <c r="R225" s="2" t="s">
        <v>6015</v>
      </c>
      <c r="S225" s="2"/>
    </row>
    <row r="226" spans="1:19" x14ac:dyDescent="0.2">
      <c r="A226" s="2">
        <v>821</v>
      </c>
      <c r="B226" s="6" t="s">
        <v>1490</v>
      </c>
      <c r="C226" s="2" t="s">
        <v>6016</v>
      </c>
      <c r="D226" s="2" t="s">
        <v>6017</v>
      </c>
      <c r="E226" s="2" t="s">
        <v>410</v>
      </c>
      <c r="F226" s="2"/>
      <c r="G226" s="2"/>
      <c r="H226" s="2" t="s">
        <v>393</v>
      </c>
      <c r="I226" s="2" t="s">
        <v>453</v>
      </c>
      <c r="J226" s="2"/>
      <c r="K226" s="2" t="s">
        <v>26</v>
      </c>
      <c r="L226" s="2" t="s">
        <v>5078</v>
      </c>
      <c r="M226" s="2" t="s">
        <v>5352</v>
      </c>
      <c r="N226" s="2" t="s">
        <v>5325</v>
      </c>
      <c r="O226" s="2" t="s">
        <v>5335</v>
      </c>
      <c r="P226" s="2" t="s">
        <v>6018</v>
      </c>
      <c r="Q226" s="2" t="s">
        <v>5091</v>
      </c>
      <c r="R226" s="2" t="s">
        <v>6019</v>
      </c>
      <c r="S226" s="2"/>
    </row>
    <row r="227" spans="1:19" x14ac:dyDescent="0.2">
      <c r="A227" s="2">
        <v>824</v>
      </c>
      <c r="B227" s="6" t="s">
        <v>1495</v>
      </c>
      <c r="C227" s="2" t="s">
        <v>6020</v>
      </c>
      <c r="D227" s="2" t="s">
        <v>6021</v>
      </c>
      <c r="E227" s="2" t="s">
        <v>1498</v>
      </c>
      <c r="F227" s="2" t="s">
        <v>513</v>
      </c>
      <c r="G227" s="2"/>
      <c r="H227" s="2" t="s">
        <v>393</v>
      </c>
      <c r="I227" s="2" t="s">
        <v>453</v>
      </c>
      <c r="J227" s="2"/>
      <c r="K227" s="2" t="s">
        <v>426</v>
      </c>
      <c r="L227" s="2" t="s">
        <v>5345</v>
      </c>
      <c r="M227" s="2" t="s">
        <v>5079</v>
      </c>
      <c r="N227" s="2" t="s">
        <v>5325</v>
      </c>
      <c r="O227" s="2" t="s">
        <v>5326</v>
      </c>
      <c r="P227" s="2" t="s">
        <v>6022</v>
      </c>
      <c r="Q227" s="2" t="s">
        <v>5091</v>
      </c>
      <c r="R227" s="2" t="s">
        <v>5079</v>
      </c>
      <c r="S227" s="2"/>
    </row>
    <row r="228" spans="1:19" x14ac:dyDescent="0.2">
      <c r="A228" s="2">
        <v>825</v>
      </c>
      <c r="B228" s="6" t="s">
        <v>1500</v>
      </c>
      <c r="C228" s="2" t="s">
        <v>6023</v>
      </c>
      <c r="D228" s="2" t="s">
        <v>6024</v>
      </c>
      <c r="E228" s="2" t="s">
        <v>858</v>
      </c>
      <c r="F228" s="2"/>
      <c r="G228" s="2"/>
      <c r="H228" s="2" t="s">
        <v>393</v>
      </c>
      <c r="I228" s="2" t="s">
        <v>453</v>
      </c>
      <c r="J228" s="2"/>
      <c r="K228" s="2" t="s">
        <v>26</v>
      </c>
      <c r="L228" s="2" t="s">
        <v>5078</v>
      </c>
      <c r="M228" s="2" t="s">
        <v>5107</v>
      </c>
      <c r="N228" s="2" t="s">
        <v>5325</v>
      </c>
      <c r="O228" s="2" t="s">
        <v>5326</v>
      </c>
      <c r="P228" s="2" t="s">
        <v>6025</v>
      </c>
      <c r="Q228" s="2" t="s">
        <v>5091</v>
      </c>
      <c r="R228" s="2" t="s">
        <v>5753</v>
      </c>
      <c r="S228" s="2"/>
    </row>
    <row r="229" spans="1:19" x14ac:dyDescent="0.2">
      <c r="A229" s="2">
        <v>826</v>
      </c>
      <c r="B229" s="6" t="s">
        <v>1504</v>
      </c>
      <c r="C229" s="2" t="s">
        <v>6026</v>
      </c>
      <c r="D229" s="2" t="s">
        <v>6027</v>
      </c>
      <c r="E229" s="2" t="s">
        <v>1507</v>
      </c>
      <c r="F229" s="2"/>
      <c r="G229" s="2"/>
      <c r="H229" s="2" t="s">
        <v>393</v>
      </c>
      <c r="I229" s="2" t="s">
        <v>453</v>
      </c>
      <c r="J229" s="2"/>
      <c r="K229" s="2" t="s">
        <v>26</v>
      </c>
      <c r="L229" s="2" t="s">
        <v>5078</v>
      </c>
      <c r="M229" s="2" t="s">
        <v>5352</v>
      </c>
      <c r="N229" s="2" t="s">
        <v>5325</v>
      </c>
      <c r="O229" s="2" t="s">
        <v>5335</v>
      </c>
      <c r="P229" s="2" t="s">
        <v>6028</v>
      </c>
      <c r="Q229" s="2" t="s">
        <v>5091</v>
      </c>
      <c r="R229" s="2" t="s">
        <v>5352</v>
      </c>
      <c r="S229" s="2"/>
    </row>
    <row r="230" spans="1:19" x14ac:dyDescent="0.2">
      <c r="A230" s="2">
        <v>827</v>
      </c>
      <c r="B230" s="6" t="s">
        <v>1509</v>
      </c>
      <c r="C230" s="2" t="s">
        <v>6029</v>
      </c>
      <c r="D230" s="2" t="s">
        <v>6030</v>
      </c>
      <c r="E230" s="2" t="s">
        <v>1512</v>
      </c>
      <c r="F230" s="2"/>
      <c r="G230" s="2"/>
      <c r="H230" s="2" t="s">
        <v>393</v>
      </c>
      <c r="I230" s="2" t="s">
        <v>453</v>
      </c>
      <c r="J230" s="2"/>
      <c r="K230" s="2" t="s">
        <v>26</v>
      </c>
      <c r="L230" s="2" t="s">
        <v>5078</v>
      </c>
      <c r="M230" s="2" t="s">
        <v>5352</v>
      </c>
      <c r="N230" s="2" t="s">
        <v>5325</v>
      </c>
      <c r="O230" s="2" t="s">
        <v>5362</v>
      </c>
      <c r="P230" s="2" t="s">
        <v>6031</v>
      </c>
      <c r="Q230" s="2" t="s">
        <v>5091</v>
      </c>
      <c r="R230" s="2" t="s">
        <v>5352</v>
      </c>
      <c r="S230" s="2"/>
    </row>
    <row r="231" spans="1:19" x14ac:dyDescent="0.2">
      <c r="A231" s="2">
        <v>828</v>
      </c>
      <c r="B231" s="6" t="s">
        <v>1514</v>
      </c>
      <c r="C231" s="2" t="s">
        <v>6032</v>
      </c>
      <c r="D231" s="2" t="s">
        <v>6033</v>
      </c>
      <c r="E231" s="2" t="s">
        <v>1512</v>
      </c>
      <c r="F231" s="2"/>
      <c r="G231" s="2"/>
      <c r="H231" s="2" t="s">
        <v>393</v>
      </c>
      <c r="I231" s="2" t="s">
        <v>453</v>
      </c>
      <c r="J231" s="2"/>
      <c r="K231" s="2" t="s">
        <v>426</v>
      </c>
      <c r="L231" s="2" t="s">
        <v>5345</v>
      </c>
      <c r="M231" s="2" t="s">
        <v>5352</v>
      </c>
      <c r="N231" s="2" t="s">
        <v>5325</v>
      </c>
      <c r="O231" s="2" t="s">
        <v>5362</v>
      </c>
      <c r="P231" s="2" t="s">
        <v>6034</v>
      </c>
      <c r="Q231" s="2" t="s">
        <v>5091</v>
      </c>
      <c r="R231" s="2" t="s">
        <v>5352</v>
      </c>
      <c r="S231" s="2"/>
    </row>
    <row r="232" spans="1:19" x14ac:dyDescent="0.2">
      <c r="A232" s="2">
        <v>829</v>
      </c>
      <c r="B232" s="6" t="s">
        <v>1518</v>
      </c>
      <c r="C232" s="2" t="s">
        <v>6035</v>
      </c>
      <c r="D232" s="2" t="s">
        <v>6036</v>
      </c>
      <c r="E232" s="2" t="s">
        <v>1521</v>
      </c>
      <c r="F232" s="2"/>
      <c r="G232" s="2"/>
      <c r="H232" s="2" t="s">
        <v>393</v>
      </c>
      <c r="I232" s="2" t="s">
        <v>453</v>
      </c>
      <c r="J232" s="2"/>
      <c r="K232" s="2" t="s">
        <v>426</v>
      </c>
      <c r="L232" s="2" t="s">
        <v>5345</v>
      </c>
      <c r="M232" s="2" t="s">
        <v>5079</v>
      </c>
      <c r="N232" s="2" t="s">
        <v>5325</v>
      </c>
      <c r="O232" s="2" t="s">
        <v>5362</v>
      </c>
      <c r="P232" s="2" t="s">
        <v>6037</v>
      </c>
      <c r="Q232" s="2" t="s">
        <v>5091</v>
      </c>
      <c r="R232" s="2" t="s">
        <v>5079</v>
      </c>
      <c r="S232" s="2"/>
    </row>
    <row r="233" spans="1:19" x14ac:dyDescent="0.2">
      <c r="A233" s="2">
        <v>663</v>
      </c>
      <c r="B233" s="6" t="s">
        <v>1523</v>
      </c>
      <c r="C233" s="2" t="s">
        <v>6038</v>
      </c>
      <c r="D233" s="2" t="s">
        <v>6039</v>
      </c>
      <c r="E233" s="2" t="s">
        <v>846</v>
      </c>
      <c r="F233" s="2"/>
      <c r="G233" s="2"/>
      <c r="H233" s="2" t="s">
        <v>393</v>
      </c>
      <c r="I233" s="2" t="s">
        <v>453</v>
      </c>
      <c r="J233" s="2"/>
      <c r="K233" s="2" t="s">
        <v>426</v>
      </c>
      <c r="L233" s="2" t="s">
        <v>5345</v>
      </c>
      <c r="M233" s="2" t="s">
        <v>5324</v>
      </c>
      <c r="N233" s="2" t="s">
        <v>5325</v>
      </c>
      <c r="O233" s="2" t="s">
        <v>5691</v>
      </c>
      <c r="P233" s="2" t="s">
        <v>6040</v>
      </c>
      <c r="Q233" s="2" t="s">
        <v>5091</v>
      </c>
      <c r="R233" s="2" t="s">
        <v>5324</v>
      </c>
      <c r="S233" s="2"/>
    </row>
    <row r="234" spans="1:19" x14ac:dyDescent="0.2">
      <c r="A234" s="2">
        <v>664</v>
      </c>
      <c r="B234" s="6" t="s">
        <v>1527</v>
      </c>
      <c r="C234" s="2" t="s">
        <v>6041</v>
      </c>
      <c r="D234" s="2" t="s">
        <v>6042</v>
      </c>
      <c r="E234" s="2" t="s">
        <v>846</v>
      </c>
      <c r="F234" s="2"/>
      <c r="G234" s="2"/>
      <c r="H234" s="2" t="s">
        <v>393</v>
      </c>
      <c r="I234" s="2" t="s">
        <v>453</v>
      </c>
      <c r="J234" s="2"/>
      <c r="K234" s="2" t="s">
        <v>426</v>
      </c>
      <c r="L234" s="2" t="s">
        <v>5345</v>
      </c>
      <c r="M234" s="2" t="s">
        <v>6043</v>
      </c>
      <c r="N234" s="2" t="s">
        <v>5325</v>
      </c>
      <c r="O234" s="2" t="s">
        <v>5691</v>
      </c>
      <c r="P234" s="2" t="s">
        <v>6044</v>
      </c>
      <c r="Q234" s="2"/>
      <c r="R234" s="2" t="s">
        <v>5100</v>
      </c>
      <c r="S234" s="2"/>
    </row>
    <row r="235" spans="1:19" x14ac:dyDescent="0.2">
      <c r="A235" s="2">
        <v>665</v>
      </c>
      <c r="B235" s="6" t="s">
        <v>1532</v>
      </c>
      <c r="C235" s="2" t="s">
        <v>6045</v>
      </c>
      <c r="D235" s="2" t="s">
        <v>6046</v>
      </c>
      <c r="E235" s="2" t="s">
        <v>846</v>
      </c>
      <c r="F235" s="2"/>
      <c r="G235" s="2"/>
      <c r="H235" s="2" t="s">
        <v>393</v>
      </c>
      <c r="I235" s="2" t="s">
        <v>453</v>
      </c>
      <c r="J235" s="2"/>
      <c r="K235" s="2" t="s">
        <v>426</v>
      </c>
      <c r="L235" s="2" t="s">
        <v>5345</v>
      </c>
      <c r="M235" s="2" t="s">
        <v>5079</v>
      </c>
      <c r="N235" s="2" t="s">
        <v>5325</v>
      </c>
      <c r="O235" s="2" t="s">
        <v>6047</v>
      </c>
      <c r="P235" s="2" t="s">
        <v>6048</v>
      </c>
      <c r="Q235" s="2" t="s">
        <v>5091</v>
      </c>
      <c r="R235" s="2" t="s">
        <v>6049</v>
      </c>
      <c r="S235" s="2"/>
    </row>
    <row r="236" spans="1:19" x14ac:dyDescent="0.2">
      <c r="A236" s="2">
        <v>765</v>
      </c>
      <c r="B236" s="6" t="s">
        <v>1538</v>
      </c>
      <c r="C236" s="2" t="s">
        <v>6050</v>
      </c>
      <c r="D236" s="2" t="s">
        <v>6051</v>
      </c>
      <c r="E236" s="2" t="s">
        <v>988</v>
      </c>
      <c r="F236" s="2"/>
      <c r="G236" s="2"/>
      <c r="H236" s="2" t="s">
        <v>393</v>
      </c>
      <c r="I236" s="2" t="s">
        <v>5629</v>
      </c>
      <c r="J236" s="2"/>
      <c r="K236" s="2" t="s">
        <v>39</v>
      </c>
      <c r="L236" s="2" t="s">
        <v>5087</v>
      </c>
      <c r="M236" s="2" t="s">
        <v>5100</v>
      </c>
      <c r="N236" s="2" t="s">
        <v>5325</v>
      </c>
      <c r="O236" s="2" t="s">
        <v>5081</v>
      </c>
      <c r="P236" s="2" t="s">
        <v>6052</v>
      </c>
      <c r="Q236" s="2"/>
      <c r="R236" s="2" t="s">
        <v>5100</v>
      </c>
      <c r="S236" s="2"/>
    </row>
    <row r="237" spans="1:19" x14ac:dyDescent="0.2">
      <c r="A237" s="2">
        <v>767</v>
      </c>
      <c r="B237" s="6" t="s">
        <v>1542</v>
      </c>
      <c r="C237" s="2" t="s">
        <v>6053</v>
      </c>
      <c r="D237" s="2" t="s">
        <v>6054</v>
      </c>
      <c r="E237" s="2" t="s">
        <v>451</v>
      </c>
      <c r="F237" s="2" t="s">
        <v>1545</v>
      </c>
      <c r="G237" s="2" t="s">
        <v>77</v>
      </c>
      <c r="H237" s="2" t="s">
        <v>393</v>
      </c>
      <c r="I237" s="2" t="s">
        <v>1360</v>
      </c>
      <c r="J237" s="2"/>
      <c r="K237" s="2" t="s">
        <v>26</v>
      </c>
      <c r="L237" s="2" t="s">
        <v>5078</v>
      </c>
      <c r="M237" s="2" t="s">
        <v>5100</v>
      </c>
      <c r="N237" s="2" t="s">
        <v>5325</v>
      </c>
      <c r="O237" s="2" t="s">
        <v>5517</v>
      </c>
      <c r="P237" s="2" t="s">
        <v>6055</v>
      </c>
      <c r="Q237" s="2" t="s">
        <v>6056</v>
      </c>
      <c r="R237" s="2" t="s">
        <v>5100</v>
      </c>
      <c r="S237" s="2"/>
    </row>
    <row r="238" spans="1:19" x14ac:dyDescent="0.2">
      <c r="A238" s="2">
        <v>769</v>
      </c>
      <c r="B238" s="6" t="s">
        <v>1549</v>
      </c>
      <c r="C238" s="2" t="s">
        <v>6057</v>
      </c>
      <c r="D238" s="2" t="s">
        <v>6058</v>
      </c>
      <c r="E238" s="2" t="s">
        <v>437</v>
      </c>
      <c r="F238" s="2" t="s">
        <v>1552</v>
      </c>
      <c r="G238" s="2" t="s">
        <v>1552</v>
      </c>
      <c r="H238" s="2" t="s">
        <v>393</v>
      </c>
      <c r="I238" s="2" t="s">
        <v>411</v>
      </c>
      <c r="J238" s="2"/>
      <c r="K238" s="2" t="s">
        <v>1553</v>
      </c>
      <c r="L238" s="2" t="s">
        <v>6059</v>
      </c>
      <c r="M238" s="2" t="s">
        <v>6060</v>
      </c>
      <c r="N238" s="2" t="s">
        <v>5325</v>
      </c>
      <c r="O238" s="2" t="s">
        <v>5330</v>
      </c>
      <c r="P238" s="2" t="s">
        <v>6061</v>
      </c>
      <c r="Q238" s="2" t="s">
        <v>5091</v>
      </c>
      <c r="R238" s="2" t="s">
        <v>5107</v>
      </c>
      <c r="S238" s="2"/>
    </row>
    <row r="239" spans="1:19" x14ac:dyDescent="0.2">
      <c r="A239" s="2">
        <v>784</v>
      </c>
      <c r="B239" s="6" t="s">
        <v>1556</v>
      </c>
      <c r="C239" s="2" t="s">
        <v>6062</v>
      </c>
      <c r="D239" s="2" t="s">
        <v>6063</v>
      </c>
      <c r="E239" s="2" t="s">
        <v>392</v>
      </c>
      <c r="F239" s="2"/>
      <c r="G239" s="2"/>
      <c r="H239" s="2" t="s">
        <v>393</v>
      </c>
      <c r="I239" s="2" t="s">
        <v>1559</v>
      </c>
      <c r="J239" s="2"/>
      <c r="K239" s="2" t="s">
        <v>412</v>
      </c>
      <c r="L239" s="2" t="s">
        <v>5334</v>
      </c>
      <c r="M239" s="2"/>
      <c r="N239" s="2" t="s">
        <v>5325</v>
      </c>
      <c r="O239" s="2" t="s">
        <v>6064</v>
      </c>
      <c r="P239" s="2" t="s">
        <v>6065</v>
      </c>
      <c r="Q239" s="2" t="s">
        <v>6056</v>
      </c>
      <c r="R239" s="2" t="s">
        <v>5994</v>
      </c>
      <c r="S239" s="2"/>
    </row>
    <row r="240" spans="1:19" x14ac:dyDescent="0.2">
      <c r="A240" s="2">
        <v>785</v>
      </c>
      <c r="B240" s="6" t="s">
        <v>1562</v>
      </c>
      <c r="C240" s="2" t="s">
        <v>6066</v>
      </c>
      <c r="D240" s="2" t="s">
        <v>6067</v>
      </c>
      <c r="E240" s="2" t="s">
        <v>1565</v>
      </c>
      <c r="F240" s="2"/>
      <c r="G240" s="2"/>
      <c r="H240" s="2" t="s">
        <v>393</v>
      </c>
      <c r="I240" s="2" t="s">
        <v>491</v>
      </c>
      <c r="J240" s="2"/>
      <c r="K240" s="2" t="s">
        <v>426</v>
      </c>
      <c r="L240" s="2" t="s">
        <v>5345</v>
      </c>
      <c r="M240" s="2" t="s">
        <v>5079</v>
      </c>
      <c r="N240" s="2" t="s">
        <v>5325</v>
      </c>
      <c r="O240" s="2" t="s">
        <v>5517</v>
      </c>
      <c r="P240" s="2" t="s">
        <v>6068</v>
      </c>
      <c r="Q240" s="2" t="s">
        <v>5091</v>
      </c>
      <c r="R240" s="2" t="s">
        <v>5079</v>
      </c>
      <c r="S240" s="2"/>
    </row>
    <row r="241" spans="1:19" x14ac:dyDescent="0.2">
      <c r="A241" s="2">
        <v>799</v>
      </c>
      <c r="B241" s="6" t="s">
        <v>1567</v>
      </c>
      <c r="C241" s="2" t="s">
        <v>6069</v>
      </c>
      <c r="D241" s="2" t="s">
        <v>6070</v>
      </c>
      <c r="E241" s="2" t="s">
        <v>1565</v>
      </c>
      <c r="F241" s="2" t="s">
        <v>1565</v>
      </c>
      <c r="G241" s="2" t="s">
        <v>1565</v>
      </c>
      <c r="H241" s="2" t="s">
        <v>393</v>
      </c>
      <c r="I241" s="2" t="s">
        <v>453</v>
      </c>
      <c r="J241" s="2"/>
      <c r="K241" s="2" t="s">
        <v>26</v>
      </c>
      <c r="L241" s="2" t="s">
        <v>5078</v>
      </c>
      <c r="M241" s="2" t="s">
        <v>5352</v>
      </c>
      <c r="N241" s="2" t="s">
        <v>5325</v>
      </c>
      <c r="O241" s="2" t="s">
        <v>5517</v>
      </c>
      <c r="P241" s="2" t="s">
        <v>6071</v>
      </c>
      <c r="Q241" s="2" t="s">
        <v>5091</v>
      </c>
      <c r="R241" s="2" t="s">
        <v>5352</v>
      </c>
      <c r="S241" s="2"/>
    </row>
    <row r="242" spans="1:19" x14ac:dyDescent="0.2">
      <c r="A242" s="2">
        <v>800</v>
      </c>
      <c r="B242" s="6" t="s">
        <v>1571</v>
      </c>
      <c r="C242" s="2" t="s">
        <v>6072</v>
      </c>
      <c r="D242" s="2" t="s">
        <v>6073</v>
      </c>
      <c r="E242" s="2" t="s">
        <v>451</v>
      </c>
      <c r="F242" s="2" t="s">
        <v>451</v>
      </c>
      <c r="G242" s="2" t="s">
        <v>451</v>
      </c>
      <c r="H242" s="2" t="s">
        <v>393</v>
      </c>
      <c r="I242" s="2" t="s">
        <v>453</v>
      </c>
      <c r="J242" s="2"/>
      <c r="K242" s="2" t="s">
        <v>26</v>
      </c>
      <c r="L242" s="2" t="s">
        <v>5078</v>
      </c>
      <c r="M242" s="2" t="s">
        <v>5352</v>
      </c>
      <c r="N242" s="2" t="s">
        <v>5325</v>
      </c>
      <c r="O242" s="2" t="s">
        <v>5691</v>
      </c>
      <c r="P242" s="2" t="s">
        <v>6074</v>
      </c>
      <c r="Q242" s="2" t="s">
        <v>5091</v>
      </c>
      <c r="R242" s="2" t="s">
        <v>5079</v>
      </c>
      <c r="S242" s="2"/>
    </row>
    <row r="243" spans="1:19" x14ac:dyDescent="0.2">
      <c r="A243" s="2">
        <v>801</v>
      </c>
      <c r="B243" s="6" t="s">
        <v>1575</v>
      </c>
      <c r="C243" s="2" t="s">
        <v>6075</v>
      </c>
      <c r="D243" s="2" t="s">
        <v>6076</v>
      </c>
      <c r="E243" s="2" t="s">
        <v>451</v>
      </c>
      <c r="F243" s="2" t="s">
        <v>451</v>
      </c>
      <c r="G243" s="2" t="s">
        <v>451</v>
      </c>
      <c r="H243" s="2" t="s">
        <v>393</v>
      </c>
      <c r="I243" s="2" t="s">
        <v>453</v>
      </c>
      <c r="J243" s="2"/>
      <c r="K243" s="2" t="s">
        <v>26</v>
      </c>
      <c r="L243" s="2" t="s">
        <v>5078</v>
      </c>
      <c r="M243" s="2" t="s">
        <v>5352</v>
      </c>
      <c r="N243" s="2" t="s">
        <v>5325</v>
      </c>
      <c r="O243" s="2" t="s">
        <v>5517</v>
      </c>
      <c r="P243" s="2" t="s">
        <v>6077</v>
      </c>
      <c r="Q243" s="2" t="s">
        <v>5091</v>
      </c>
      <c r="R243" s="2" t="s">
        <v>5352</v>
      </c>
      <c r="S243" s="2"/>
    </row>
    <row r="244" spans="1:19" x14ac:dyDescent="0.2">
      <c r="A244" s="2">
        <v>802</v>
      </c>
      <c r="B244" s="6" t="s">
        <v>1579</v>
      </c>
      <c r="C244" s="2" t="s">
        <v>6078</v>
      </c>
      <c r="D244" s="2" t="s">
        <v>6079</v>
      </c>
      <c r="E244" s="2" t="s">
        <v>1498</v>
      </c>
      <c r="F244" s="2" t="s">
        <v>451</v>
      </c>
      <c r="G244" s="2" t="s">
        <v>451</v>
      </c>
      <c r="H244" s="2" t="s">
        <v>393</v>
      </c>
      <c r="I244" s="2" t="s">
        <v>453</v>
      </c>
      <c r="J244" s="2"/>
      <c r="K244" s="2" t="s">
        <v>26</v>
      </c>
      <c r="L244" s="2" t="s">
        <v>5078</v>
      </c>
      <c r="M244" s="2" t="s">
        <v>5352</v>
      </c>
      <c r="N244" s="2" t="s">
        <v>5325</v>
      </c>
      <c r="O244" s="2" t="s">
        <v>5517</v>
      </c>
      <c r="P244" s="2" t="s">
        <v>6080</v>
      </c>
      <c r="Q244" s="2" t="s">
        <v>5091</v>
      </c>
      <c r="R244" s="2" t="s">
        <v>5352</v>
      </c>
      <c r="S244" s="2"/>
    </row>
    <row r="245" spans="1:19" x14ac:dyDescent="0.2">
      <c r="A245" s="2">
        <v>803</v>
      </c>
      <c r="B245" s="6" t="s">
        <v>1583</v>
      </c>
      <c r="C245" s="2" t="s">
        <v>6081</v>
      </c>
      <c r="D245" s="2" t="s">
        <v>6082</v>
      </c>
      <c r="E245" s="2" t="s">
        <v>1498</v>
      </c>
      <c r="F245" s="2" t="s">
        <v>1586</v>
      </c>
      <c r="G245" s="2"/>
      <c r="H245" s="2" t="s">
        <v>393</v>
      </c>
      <c r="I245" s="2" t="s">
        <v>453</v>
      </c>
      <c r="J245" s="2" t="s">
        <v>6083</v>
      </c>
      <c r="K245" s="2" t="s">
        <v>426</v>
      </c>
      <c r="L245" s="2" t="s">
        <v>5345</v>
      </c>
      <c r="M245" s="2" t="s">
        <v>5524</v>
      </c>
      <c r="N245" s="2" t="s">
        <v>5325</v>
      </c>
      <c r="O245" s="2" t="s">
        <v>5362</v>
      </c>
      <c r="P245" s="2" t="s">
        <v>6084</v>
      </c>
      <c r="Q245" s="2" t="s">
        <v>5091</v>
      </c>
      <c r="R245" s="2" t="s">
        <v>5524</v>
      </c>
      <c r="S245" s="2"/>
    </row>
    <row r="246" spans="1:19" x14ac:dyDescent="0.2">
      <c r="A246" s="2">
        <v>804</v>
      </c>
      <c r="B246" s="6" t="s">
        <v>1590</v>
      </c>
      <c r="C246" s="2" t="s">
        <v>6085</v>
      </c>
      <c r="D246" s="2" t="s">
        <v>6086</v>
      </c>
      <c r="E246" s="2" t="s">
        <v>403</v>
      </c>
      <c r="F246" s="2"/>
      <c r="G246" s="2"/>
      <c r="H246" s="2" t="s">
        <v>393</v>
      </c>
      <c r="I246" s="2" t="s">
        <v>453</v>
      </c>
      <c r="J246" s="2"/>
      <c r="K246" s="2" t="s">
        <v>26</v>
      </c>
      <c r="L246" s="2" t="s">
        <v>5078</v>
      </c>
      <c r="M246" s="2" t="s">
        <v>5324</v>
      </c>
      <c r="N246" s="2" t="s">
        <v>5325</v>
      </c>
      <c r="O246" s="2" t="s">
        <v>6087</v>
      </c>
      <c r="P246" s="2" t="s">
        <v>6088</v>
      </c>
      <c r="Q246" s="2" t="s">
        <v>5091</v>
      </c>
      <c r="R246" s="2" t="s">
        <v>5324</v>
      </c>
      <c r="S246" s="2"/>
    </row>
    <row r="247" spans="1:19" x14ac:dyDescent="0.2">
      <c r="A247" s="2">
        <v>805</v>
      </c>
      <c r="B247" s="6" t="s">
        <v>1595</v>
      </c>
      <c r="C247" s="2" t="s">
        <v>6089</v>
      </c>
      <c r="D247" s="2" t="s">
        <v>6090</v>
      </c>
      <c r="E247" s="2" t="s">
        <v>403</v>
      </c>
      <c r="F247" s="2" t="s">
        <v>1598</v>
      </c>
      <c r="G247" s="2" t="s">
        <v>1598</v>
      </c>
      <c r="H247" s="2" t="s">
        <v>393</v>
      </c>
      <c r="I247" s="2" t="s">
        <v>453</v>
      </c>
      <c r="J247" s="2"/>
      <c r="K247" s="2" t="s">
        <v>26</v>
      </c>
      <c r="L247" s="2" t="s">
        <v>5078</v>
      </c>
      <c r="M247" s="2" t="s">
        <v>5107</v>
      </c>
      <c r="N247" s="2" t="s">
        <v>5325</v>
      </c>
      <c r="O247" s="2" t="s">
        <v>5517</v>
      </c>
      <c r="P247" s="2" t="s">
        <v>6091</v>
      </c>
      <c r="Q247" s="2" t="s">
        <v>5091</v>
      </c>
      <c r="R247" s="2" t="s">
        <v>5107</v>
      </c>
      <c r="S247" s="2"/>
    </row>
    <row r="248" spans="1:19" x14ac:dyDescent="0.2">
      <c r="A248" s="2">
        <v>806</v>
      </c>
      <c r="B248" s="6" t="s">
        <v>1600</v>
      </c>
      <c r="C248" s="2" t="s">
        <v>6092</v>
      </c>
      <c r="D248" s="2" t="s">
        <v>6093</v>
      </c>
      <c r="E248" s="2" t="s">
        <v>403</v>
      </c>
      <c r="F248" s="2" t="s">
        <v>403</v>
      </c>
      <c r="G248" s="2" t="s">
        <v>403</v>
      </c>
      <c r="H248" s="2" t="s">
        <v>393</v>
      </c>
      <c r="I248" s="2" t="s">
        <v>453</v>
      </c>
      <c r="J248" s="2"/>
      <c r="K248" s="2" t="s">
        <v>602</v>
      </c>
      <c r="L248" s="2" t="s">
        <v>5453</v>
      </c>
      <c r="M248" s="2" t="s">
        <v>5352</v>
      </c>
      <c r="N248" s="2" t="s">
        <v>5325</v>
      </c>
      <c r="O248" s="2" t="s">
        <v>5691</v>
      </c>
      <c r="P248" s="2" t="s">
        <v>6094</v>
      </c>
      <c r="Q248" s="2" t="s">
        <v>5091</v>
      </c>
      <c r="R248" s="2" t="s">
        <v>5352</v>
      </c>
      <c r="S248" s="2"/>
    </row>
    <row r="249" spans="1:19" x14ac:dyDescent="0.2">
      <c r="A249" s="2">
        <v>807</v>
      </c>
      <c r="B249" s="6" t="s">
        <v>1604</v>
      </c>
      <c r="C249" s="2" t="s">
        <v>6095</v>
      </c>
      <c r="D249" s="2" t="s">
        <v>6096</v>
      </c>
      <c r="E249" s="2" t="s">
        <v>403</v>
      </c>
      <c r="F249" s="2" t="s">
        <v>1498</v>
      </c>
      <c r="G249" s="2" t="s">
        <v>1498</v>
      </c>
      <c r="H249" s="2" t="s">
        <v>393</v>
      </c>
      <c r="I249" s="2" t="s">
        <v>453</v>
      </c>
      <c r="J249" s="2" t="s">
        <v>6083</v>
      </c>
      <c r="K249" s="2" t="s">
        <v>426</v>
      </c>
      <c r="L249" s="2" t="s">
        <v>5345</v>
      </c>
      <c r="M249" s="2"/>
      <c r="N249" s="2" t="s">
        <v>5325</v>
      </c>
      <c r="O249" s="2" t="s">
        <v>5362</v>
      </c>
      <c r="P249" s="2" t="s">
        <v>6097</v>
      </c>
      <c r="Q249" s="2" t="s">
        <v>5091</v>
      </c>
      <c r="R249" s="2"/>
      <c r="S249" s="2"/>
    </row>
    <row r="250" spans="1:19" x14ac:dyDescent="0.2">
      <c r="A250" s="2">
        <v>808</v>
      </c>
      <c r="B250" s="6" t="s">
        <v>1608</v>
      </c>
      <c r="C250" s="2" t="s">
        <v>6098</v>
      </c>
      <c r="D250" s="2" t="s">
        <v>6099</v>
      </c>
      <c r="E250" s="2" t="s">
        <v>968</v>
      </c>
      <c r="F250" s="2"/>
      <c r="G250" s="2"/>
      <c r="H250" s="2" t="s">
        <v>393</v>
      </c>
      <c r="I250" s="2" t="s">
        <v>453</v>
      </c>
      <c r="J250" s="2" t="s">
        <v>6083</v>
      </c>
      <c r="K250" s="2" t="s">
        <v>426</v>
      </c>
      <c r="L250" s="2" t="s">
        <v>5345</v>
      </c>
      <c r="M250" s="2" t="s">
        <v>6100</v>
      </c>
      <c r="N250" s="2" t="s">
        <v>5325</v>
      </c>
      <c r="O250" s="2" t="s">
        <v>5517</v>
      </c>
      <c r="P250" s="2" t="s">
        <v>6101</v>
      </c>
      <c r="Q250" s="2" t="s">
        <v>5091</v>
      </c>
      <c r="R250" s="2" t="s">
        <v>6100</v>
      </c>
      <c r="S250" s="2"/>
    </row>
    <row r="251" spans="1:19" x14ac:dyDescent="0.2">
      <c r="A251" s="2">
        <v>809</v>
      </c>
      <c r="B251" s="6" t="s">
        <v>1614</v>
      </c>
      <c r="C251" s="2" t="s">
        <v>6102</v>
      </c>
      <c r="D251" s="2" t="s">
        <v>6103</v>
      </c>
      <c r="E251" s="2" t="s">
        <v>968</v>
      </c>
      <c r="F251" s="2"/>
      <c r="G251" s="2"/>
      <c r="H251" s="2" t="s">
        <v>393</v>
      </c>
      <c r="I251" s="2" t="s">
        <v>453</v>
      </c>
      <c r="J251" s="2"/>
      <c r="K251" s="2" t="s">
        <v>426</v>
      </c>
      <c r="L251" s="2" t="s">
        <v>5345</v>
      </c>
      <c r="M251" s="2" t="s">
        <v>5352</v>
      </c>
      <c r="N251" s="2" t="s">
        <v>5325</v>
      </c>
      <c r="O251" s="2" t="s">
        <v>5691</v>
      </c>
      <c r="P251" s="2" t="s">
        <v>6104</v>
      </c>
      <c r="Q251" s="2" t="s">
        <v>6105</v>
      </c>
      <c r="R251" s="2" t="s">
        <v>5352</v>
      </c>
      <c r="S251" s="2"/>
    </row>
    <row r="252" spans="1:19" x14ac:dyDescent="0.2">
      <c r="A252" s="2">
        <v>810</v>
      </c>
      <c r="B252" s="6" t="s">
        <v>1619</v>
      </c>
      <c r="C252" s="2" t="s">
        <v>6106</v>
      </c>
      <c r="D252" s="2" t="s">
        <v>6107</v>
      </c>
      <c r="E252" s="2" t="s">
        <v>968</v>
      </c>
      <c r="F252" s="2" t="s">
        <v>600</v>
      </c>
      <c r="G252" s="2" t="s">
        <v>600</v>
      </c>
      <c r="H252" s="2" t="s">
        <v>393</v>
      </c>
      <c r="I252" s="2" t="s">
        <v>453</v>
      </c>
      <c r="J252" s="2"/>
      <c r="K252" s="2" t="s">
        <v>426</v>
      </c>
      <c r="L252" s="2" t="s">
        <v>5345</v>
      </c>
      <c r="M252" s="2" t="s">
        <v>5352</v>
      </c>
      <c r="N252" s="2" t="s">
        <v>5325</v>
      </c>
      <c r="O252" s="2" t="s">
        <v>5691</v>
      </c>
      <c r="P252" s="2" t="s">
        <v>6108</v>
      </c>
      <c r="Q252" s="2" t="s">
        <v>5091</v>
      </c>
      <c r="R252" s="2" t="s">
        <v>5352</v>
      </c>
      <c r="S252" s="2"/>
    </row>
    <row r="253" spans="1:19" x14ac:dyDescent="0.2">
      <c r="A253" s="2">
        <v>231</v>
      </c>
      <c r="B253" s="6" t="s">
        <v>1623</v>
      </c>
      <c r="C253" s="2" t="s">
        <v>6109</v>
      </c>
      <c r="D253" s="2" t="s">
        <v>6110</v>
      </c>
      <c r="E253" s="2" t="s">
        <v>1626</v>
      </c>
      <c r="F253" s="2" t="s">
        <v>1113</v>
      </c>
      <c r="G253" s="2" t="s">
        <v>1113</v>
      </c>
      <c r="H253" s="2" t="s">
        <v>393</v>
      </c>
      <c r="I253" s="2" t="s">
        <v>5512</v>
      </c>
      <c r="J253" s="2"/>
      <c r="K253" s="2" t="s">
        <v>39</v>
      </c>
      <c r="L253" s="2" t="s">
        <v>5087</v>
      </c>
      <c r="M253" s="2" t="s">
        <v>5167</v>
      </c>
      <c r="N253" s="2" t="s">
        <v>5325</v>
      </c>
      <c r="O253" s="2" t="s">
        <v>5081</v>
      </c>
      <c r="P253" s="2" t="s">
        <v>6111</v>
      </c>
      <c r="Q253" s="2"/>
      <c r="R253" s="2" t="s">
        <v>5167</v>
      </c>
      <c r="S253" s="2"/>
    </row>
    <row r="254" spans="1:19" x14ac:dyDescent="0.2">
      <c r="A254" s="2">
        <v>233</v>
      </c>
      <c r="B254" s="6" t="s">
        <v>1628</v>
      </c>
      <c r="C254" s="2" t="s">
        <v>6112</v>
      </c>
      <c r="D254" s="2" t="s">
        <v>6113</v>
      </c>
      <c r="E254" s="2" t="s">
        <v>1631</v>
      </c>
      <c r="F254" s="2"/>
      <c r="G254" s="2"/>
      <c r="H254" s="2" t="s">
        <v>393</v>
      </c>
      <c r="I254" s="2" t="s">
        <v>6114</v>
      </c>
      <c r="J254" s="2" t="s">
        <v>135</v>
      </c>
      <c r="K254" s="2" t="s">
        <v>493</v>
      </c>
      <c r="L254" s="2" t="s">
        <v>5387</v>
      </c>
      <c r="M254" s="2" t="s">
        <v>5100</v>
      </c>
      <c r="N254" s="2" t="s">
        <v>5325</v>
      </c>
      <c r="O254" s="2" t="s">
        <v>5335</v>
      </c>
      <c r="P254" s="2" t="s">
        <v>6115</v>
      </c>
      <c r="Q254" s="2" t="s">
        <v>5224</v>
      </c>
      <c r="R254" s="2" t="s">
        <v>5100</v>
      </c>
      <c r="S254" s="2" t="s">
        <v>6116</v>
      </c>
    </row>
    <row r="255" spans="1:19" x14ac:dyDescent="0.2">
      <c r="A255" s="2">
        <v>237</v>
      </c>
      <c r="B255" s="6" t="s">
        <v>1635</v>
      </c>
      <c r="C255" s="2" t="s">
        <v>6117</v>
      </c>
      <c r="D255" s="2" t="s">
        <v>6118</v>
      </c>
      <c r="E255" s="2" t="s">
        <v>1222</v>
      </c>
      <c r="F255" s="2" t="s">
        <v>476</v>
      </c>
      <c r="G255" s="2" t="s">
        <v>476</v>
      </c>
      <c r="H255" s="2" t="s">
        <v>393</v>
      </c>
      <c r="I255" s="2" t="s">
        <v>411</v>
      </c>
      <c r="J255" s="2"/>
      <c r="K255" s="2" t="s">
        <v>26</v>
      </c>
      <c r="L255" s="2" t="s">
        <v>5078</v>
      </c>
      <c r="M255" s="2" t="s">
        <v>6119</v>
      </c>
      <c r="N255" s="2" t="s">
        <v>5325</v>
      </c>
      <c r="O255" s="2" t="s">
        <v>5335</v>
      </c>
      <c r="P255" s="2" t="s">
        <v>6120</v>
      </c>
      <c r="Q255" s="2" t="s">
        <v>5091</v>
      </c>
      <c r="R255" s="2" t="s">
        <v>5079</v>
      </c>
      <c r="S255" s="2"/>
    </row>
    <row r="256" spans="1:19" x14ac:dyDescent="0.2">
      <c r="A256" s="2">
        <v>1023</v>
      </c>
      <c r="B256" s="6" t="s">
        <v>1640</v>
      </c>
      <c r="C256" s="2" t="s">
        <v>6121</v>
      </c>
      <c r="D256" s="2" t="s">
        <v>6122</v>
      </c>
      <c r="E256" s="2" t="s">
        <v>199</v>
      </c>
      <c r="F256" s="2"/>
      <c r="G256" s="2"/>
      <c r="H256" s="2" t="s">
        <v>393</v>
      </c>
      <c r="I256" s="2" t="s">
        <v>6123</v>
      </c>
      <c r="J256" s="2"/>
      <c r="K256" s="2" t="s">
        <v>26</v>
      </c>
      <c r="L256" s="2" t="s">
        <v>5078</v>
      </c>
      <c r="M256" s="2" t="s">
        <v>5100</v>
      </c>
      <c r="N256" s="2" t="s">
        <v>5325</v>
      </c>
      <c r="O256" s="2" t="s">
        <v>5081</v>
      </c>
      <c r="P256" s="2" t="s">
        <v>5985</v>
      </c>
      <c r="Q256" s="2" t="s">
        <v>6124</v>
      </c>
      <c r="R256" s="2" t="s">
        <v>5100</v>
      </c>
      <c r="S256" s="2" t="s">
        <v>6125</v>
      </c>
    </row>
    <row r="257" spans="1:19" x14ac:dyDescent="0.2">
      <c r="A257" s="2">
        <v>1025</v>
      </c>
      <c r="B257" s="6" t="s">
        <v>1646</v>
      </c>
      <c r="C257" s="2" t="s">
        <v>6126</v>
      </c>
      <c r="D257" s="2" t="s">
        <v>6127</v>
      </c>
      <c r="E257" s="2" t="s">
        <v>199</v>
      </c>
      <c r="F257" s="2"/>
      <c r="G257" s="2"/>
      <c r="H257" s="2" t="s">
        <v>393</v>
      </c>
      <c r="I257" s="2" t="s">
        <v>6128</v>
      </c>
      <c r="J257" s="2"/>
      <c r="K257" s="2" t="s">
        <v>26</v>
      </c>
      <c r="L257" s="2" t="s">
        <v>5078</v>
      </c>
      <c r="M257" s="2"/>
      <c r="N257" s="2" t="s">
        <v>5325</v>
      </c>
      <c r="O257" s="2" t="s">
        <v>5081</v>
      </c>
      <c r="P257" s="2" t="s">
        <v>6129</v>
      </c>
      <c r="Q257" s="2" t="s">
        <v>5638</v>
      </c>
      <c r="R257" s="2"/>
      <c r="S257" s="2" t="s">
        <v>5200</v>
      </c>
    </row>
    <row r="258" spans="1:19" x14ac:dyDescent="0.2">
      <c r="A258" s="2">
        <v>1028</v>
      </c>
      <c r="B258" s="6" t="s">
        <v>1652</v>
      </c>
      <c r="C258" s="2" t="s">
        <v>6130</v>
      </c>
      <c r="D258" s="2" t="s">
        <v>6131</v>
      </c>
      <c r="E258" s="2" t="s">
        <v>1655</v>
      </c>
      <c r="F258" s="2"/>
      <c r="G258" s="2"/>
      <c r="H258" s="2" t="s">
        <v>393</v>
      </c>
      <c r="I258" s="2" t="s">
        <v>6132</v>
      </c>
      <c r="J258" s="2"/>
      <c r="K258" s="2" t="s">
        <v>26</v>
      </c>
      <c r="L258" s="2" t="s">
        <v>5078</v>
      </c>
      <c r="M258" s="2" t="s">
        <v>5367</v>
      </c>
      <c r="N258" s="2" t="s">
        <v>5325</v>
      </c>
      <c r="O258" s="2" t="s">
        <v>5330</v>
      </c>
      <c r="P258" s="2" t="s">
        <v>6133</v>
      </c>
      <c r="Q258" s="2" t="s">
        <v>6134</v>
      </c>
      <c r="R258" s="2" t="s">
        <v>5367</v>
      </c>
      <c r="S258" s="2" t="s">
        <v>6135</v>
      </c>
    </row>
    <row r="259" spans="1:19" x14ac:dyDescent="0.2">
      <c r="A259" s="2">
        <v>1029</v>
      </c>
      <c r="B259" s="6" t="s">
        <v>1660</v>
      </c>
      <c r="C259" s="2" t="s">
        <v>6136</v>
      </c>
      <c r="D259" s="2" t="s">
        <v>6137</v>
      </c>
      <c r="E259" s="2" t="s">
        <v>199</v>
      </c>
      <c r="F259" s="2" t="s">
        <v>199</v>
      </c>
      <c r="G259" s="2" t="s">
        <v>199</v>
      </c>
      <c r="H259" s="2" t="s">
        <v>393</v>
      </c>
      <c r="I259" s="2" t="s">
        <v>6138</v>
      </c>
      <c r="J259" s="2"/>
      <c r="K259" s="2" t="s">
        <v>39</v>
      </c>
      <c r="L259" s="2" t="s">
        <v>5087</v>
      </c>
      <c r="M259" s="2"/>
      <c r="N259" s="2" t="s">
        <v>5325</v>
      </c>
      <c r="O259" s="2" t="s">
        <v>5081</v>
      </c>
      <c r="P259" s="2" t="s">
        <v>6139</v>
      </c>
      <c r="Q259" s="2" t="s">
        <v>5638</v>
      </c>
      <c r="R259" s="2"/>
      <c r="S259" s="2" t="s">
        <v>6140</v>
      </c>
    </row>
    <row r="260" spans="1:19" x14ac:dyDescent="0.2">
      <c r="A260" s="2">
        <v>1031</v>
      </c>
      <c r="B260" s="6" t="s">
        <v>1666</v>
      </c>
      <c r="C260" s="2" t="s">
        <v>6141</v>
      </c>
      <c r="D260" s="2" t="s">
        <v>6142</v>
      </c>
      <c r="E260" s="2" t="s">
        <v>90</v>
      </c>
      <c r="F260" s="2"/>
      <c r="G260" s="2"/>
      <c r="H260" s="2" t="s">
        <v>393</v>
      </c>
      <c r="I260" s="2" t="s">
        <v>1669</v>
      </c>
      <c r="J260" s="2"/>
      <c r="K260" s="2" t="s">
        <v>26</v>
      </c>
      <c r="L260" s="2" t="s">
        <v>5078</v>
      </c>
      <c r="M260" s="2" t="s">
        <v>5079</v>
      </c>
      <c r="N260" s="2" t="s">
        <v>5325</v>
      </c>
      <c r="O260" s="2" t="s">
        <v>5081</v>
      </c>
      <c r="P260" s="2" t="s">
        <v>6143</v>
      </c>
      <c r="Q260" s="2" t="s">
        <v>5242</v>
      </c>
      <c r="R260" s="2" t="s">
        <v>5079</v>
      </c>
      <c r="S260" s="2" t="s">
        <v>6144</v>
      </c>
    </row>
    <row r="261" spans="1:19" x14ac:dyDescent="0.2">
      <c r="A261" s="2">
        <v>2202</v>
      </c>
      <c r="B261" s="6" t="s">
        <v>1672</v>
      </c>
      <c r="C261" s="2" t="s">
        <v>6145</v>
      </c>
      <c r="D261" s="2" t="s">
        <v>6146</v>
      </c>
      <c r="E261" s="2" t="s">
        <v>625</v>
      </c>
      <c r="F261" s="2"/>
      <c r="G261" s="2"/>
      <c r="H261" s="2" t="s">
        <v>393</v>
      </c>
      <c r="I261" s="2" t="s">
        <v>1258</v>
      </c>
      <c r="J261" s="2"/>
      <c r="K261" s="2" t="s">
        <v>412</v>
      </c>
      <c r="L261" s="2" t="s">
        <v>5334</v>
      </c>
      <c r="M261" s="2" t="s">
        <v>5193</v>
      </c>
      <c r="N261" s="2" t="s">
        <v>5325</v>
      </c>
      <c r="O261" s="2" t="s">
        <v>5330</v>
      </c>
      <c r="P261" s="2" t="s">
        <v>6147</v>
      </c>
      <c r="Q261" s="2" t="s">
        <v>5091</v>
      </c>
      <c r="R261" s="2" t="s">
        <v>5193</v>
      </c>
      <c r="S261" s="2"/>
    </row>
    <row r="262" spans="1:19" x14ac:dyDescent="0.2">
      <c r="A262" s="2">
        <v>2207</v>
      </c>
      <c r="B262" s="6" t="s">
        <v>1676</v>
      </c>
      <c r="C262" s="2" t="s">
        <v>6148</v>
      </c>
      <c r="D262" s="2" t="s">
        <v>6149</v>
      </c>
      <c r="E262" s="2" t="s">
        <v>873</v>
      </c>
      <c r="F262" s="2"/>
      <c r="G262" s="2"/>
      <c r="H262" s="2" t="s">
        <v>393</v>
      </c>
      <c r="I262" s="2" t="s">
        <v>1258</v>
      </c>
      <c r="J262" s="2"/>
      <c r="K262" s="2" t="s">
        <v>645</v>
      </c>
      <c r="L262" s="2" t="s">
        <v>5482</v>
      </c>
      <c r="M262" s="2" t="s">
        <v>5193</v>
      </c>
      <c r="N262" s="2" t="s">
        <v>5325</v>
      </c>
      <c r="O262" s="2" t="s">
        <v>5326</v>
      </c>
      <c r="P262" s="2" t="s">
        <v>6150</v>
      </c>
      <c r="Q262" s="2" t="s">
        <v>5091</v>
      </c>
      <c r="R262" s="2" t="s">
        <v>5914</v>
      </c>
      <c r="S262" s="2"/>
    </row>
    <row r="263" spans="1:19" x14ac:dyDescent="0.2">
      <c r="A263" s="2">
        <v>11</v>
      </c>
      <c r="B263" s="6" t="s">
        <v>1680</v>
      </c>
      <c r="C263" s="2" t="s">
        <v>6151</v>
      </c>
      <c r="D263" s="2" t="s">
        <v>6152</v>
      </c>
      <c r="E263" s="2" t="s">
        <v>1477</v>
      </c>
      <c r="F263" s="2" t="s">
        <v>1477</v>
      </c>
      <c r="G263" s="2" t="s">
        <v>1683</v>
      </c>
      <c r="H263" s="2" t="s">
        <v>1684</v>
      </c>
      <c r="I263" s="2" t="s">
        <v>6153</v>
      </c>
      <c r="J263" s="2"/>
      <c r="K263" s="2" t="s">
        <v>26</v>
      </c>
      <c r="L263" s="2" t="s">
        <v>5078</v>
      </c>
      <c r="M263" s="2" t="s">
        <v>5193</v>
      </c>
      <c r="N263" s="2" t="s">
        <v>5108</v>
      </c>
      <c r="O263" s="2" t="s">
        <v>5081</v>
      </c>
      <c r="P263" s="2" t="s">
        <v>6154</v>
      </c>
      <c r="Q263" s="2" t="s">
        <v>6155</v>
      </c>
      <c r="R263" s="2" t="s">
        <v>6156</v>
      </c>
      <c r="S263" s="2"/>
    </row>
    <row r="264" spans="1:19" x14ac:dyDescent="0.2">
      <c r="A264" s="2">
        <v>15</v>
      </c>
      <c r="B264" s="6" t="s">
        <v>1689</v>
      </c>
      <c r="C264" s="2" t="s">
        <v>6157</v>
      </c>
      <c r="D264" s="2" t="s">
        <v>6158</v>
      </c>
      <c r="E264" s="2" t="s">
        <v>1692</v>
      </c>
      <c r="F264" s="2"/>
      <c r="G264" s="2"/>
      <c r="H264" s="2" t="s">
        <v>1684</v>
      </c>
      <c r="I264" s="2" t="s">
        <v>6159</v>
      </c>
      <c r="J264" s="2"/>
      <c r="K264" s="2" t="s">
        <v>26</v>
      </c>
      <c r="L264" s="2" t="s">
        <v>5078</v>
      </c>
      <c r="M264" s="2" t="s">
        <v>5079</v>
      </c>
      <c r="N264" s="2" t="s">
        <v>6160</v>
      </c>
      <c r="O264" s="2" t="s">
        <v>5691</v>
      </c>
      <c r="P264" s="2" t="s">
        <v>6161</v>
      </c>
      <c r="Q264" s="2" t="s">
        <v>6162</v>
      </c>
      <c r="R264" s="2" t="s">
        <v>5079</v>
      </c>
      <c r="S264" s="2" t="s">
        <v>6163</v>
      </c>
    </row>
    <row r="265" spans="1:19" x14ac:dyDescent="0.2">
      <c r="A265" s="2">
        <v>786</v>
      </c>
      <c r="B265" s="6" t="s">
        <v>1697</v>
      </c>
      <c r="C265" s="2" t="s">
        <v>6164</v>
      </c>
      <c r="D265" s="2" t="s">
        <v>6165</v>
      </c>
      <c r="E265" s="2" t="s">
        <v>451</v>
      </c>
      <c r="F265" s="2"/>
      <c r="G265" s="2"/>
      <c r="H265" s="2" t="s">
        <v>393</v>
      </c>
      <c r="I265" s="2" t="s">
        <v>491</v>
      </c>
      <c r="J265" s="2"/>
      <c r="K265" s="2" t="s">
        <v>426</v>
      </c>
      <c r="L265" s="2" t="s">
        <v>5345</v>
      </c>
      <c r="M265" s="2" t="s">
        <v>6166</v>
      </c>
      <c r="N265" s="2" t="s">
        <v>5325</v>
      </c>
      <c r="O265" s="2" t="s">
        <v>5691</v>
      </c>
      <c r="P265" s="2" t="s">
        <v>6167</v>
      </c>
      <c r="Q265" s="2"/>
      <c r="R265" s="2" t="s">
        <v>5100</v>
      </c>
      <c r="S265" s="2"/>
    </row>
    <row r="266" spans="1:19" x14ac:dyDescent="0.2">
      <c r="A266" s="2">
        <v>788</v>
      </c>
      <c r="B266" s="6" t="s">
        <v>1702</v>
      </c>
      <c r="C266" s="2" t="s">
        <v>6168</v>
      </c>
      <c r="D266" s="2" t="s">
        <v>6169</v>
      </c>
      <c r="E266" s="2" t="s">
        <v>403</v>
      </c>
      <c r="F266" s="2"/>
      <c r="G266" s="2"/>
      <c r="H266" s="2" t="s">
        <v>393</v>
      </c>
      <c r="I266" s="2" t="s">
        <v>491</v>
      </c>
      <c r="J266" s="2"/>
      <c r="K266" s="2" t="s">
        <v>493</v>
      </c>
      <c r="L266" s="2" t="s">
        <v>5387</v>
      </c>
      <c r="M266" s="2" t="s">
        <v>5100</v>
      </c>
      <c r="N266" s="2" t="s">
        <v>5325</v>
      </c>
      <c r="O266" s="2" t="s">
        <v>6170</v>
      </c>
      <c r="P266" s="2" t="s">
        <v>6171</v>
      </c>
      <c r="Q266" s="2" t="s">
        <v>5091</v>
      </c>
      <c r="R266" s="2" t="s">
        <v>5079</v>
      </c>
      <c r="S266" s="2" t="s">
        <v>6172</v>
      </c>
    </row>
    <row r="267" spans="1:19" x14ac:dyDescent="0.2">
      <c r="A267" s="2">
        <v>789</v>
      </c>
      <c r="B267" s="6" t="s">
        <v>1708</v>
      </c>
      <c r="C267" s="2" t="s">
        <v>6173</v>
      </c>
      <c r="D267" s="2" t="s">
        <v>6174</v>
      </c>
      <c r="E267" s="2" t="s">
        <v>410</v>
      </c>
      <c r="F267" s="2" t="s">
        <v>1498</v>
      </c>
      <c r="G267" s="2" t="s">
        <v>1498</v>
      </c>
      <c r="H267" s="2" t="s">
        <v>393</v>
      </c>
      <c r="I267" s="2" t="s">
        <v>491</v>
      </c>
      <c r="J267" s="2" t="s">
        <v>6175</v>
      </c>
      <c r="K267" s="2" t="s">
        <v>426</v>
      </c>
      <c r="L267" s="2" t="s">
        <v>5345</v>
      </c>
      <c r="M267" s="2" t="s">
        <v>5100</v>
      </c>
      <c r="N267" s="2" t="s">
        <v>5325</v>
      </c>
      <c r="O267" s="2" t="s">
        <v>6176</v>
      </c>
      <c r="P267" s="2" t="s">
        <v>6177</v>
      </c>
      <c r="Q267" s="2" t="s">
        <v>5399</v>
      </c>
      <c r="R267" s="2" t="s">
        <v>5079</v>
      </c>
      <c r="S267" s="2" t="s">
        <v>6116</v>
      </c>
    </row>
    <row r="268" spans="1:19" x14ac:dyDescent="0.2">
      <c r="A268" s="2">
        <v>791</v>
      </c>
      <c r="B268" s="6" t="s">
        <v>1714</v>
      </c>
      <c r="C268" s="2" t="s">
        <v>6178</v>
      </c>
      <c r="D268" s="2" t="s">
        <v>6179</v>
      </c>
      <c r="E268" s="2" t="s">
        <v>1717</v>
      </c>
      <c r="F268" s="2"/>
      <c r="G268" s="2"/>
      <c r="H268" s="2" t="s">
        <v>393</v>
      </c>
      <c r="I268" s="2" t="s">
        <v>453</v>
      </c>
      <c r="J268" s="2"/>
      <c r="K268" s="2" t="s">
        <v>26</v>
      </c>
      <c r="L268" s="2" t="s">
        <v>5078</v>
      </c>
      <c r="M268" s="2" t="s">
        <v>5079</v>
      </c>
      <c r="N268" s="2" t="s">
        <v>5325</v>
      </c>
      <c r="O268" s="2" t="s">
        <v>5517</v>
      </c>
      <c r="P268" s="2" t="s">
        <v>6180</v>
      </c>
      <c r="Q268" s="2" t="s">
        <v>5091</v>
      </c>
      <c r="R268" s="2" t="s">
        <v>5079</v>
      </c>
      <c r="S268" s="2"/>
    </row>
    <row r="269" spans="1:19" x14ac:dyDescent="0.2">
      <c r="A269" s="2">
        <v>1424</v>
      </c>
      <c r="B269" s="6" t="s">
        <v>1719</v>
      </c>
      <c r="C269" s="2" t="s">
        <v>6181</v>
      </c>
      <c r="D269" s="2" t="s">
        <v>6182</v>
      </c>
      <c r="E269" s="2" t="s">
        <v>1722</v>
      </c>
      <c r="F269" s="2"/>
      <c r="G269" s="2"/>
      <c r="H269" s="2" t="s">
        <v>393</v>
      </c>
      <c r="I269" s="2" t="s">
        <v>589</v>
      </c>
      <c r="J269" s="2" t="s">
        <v>173</v>
      </c>
      <c r="K269" s="2" t="s">
        <v>26</v>
      </c>
      <c r="L269" s="2" t="s">
        <v>5078</v>
      </c>
      <c r="M269" s="2" t="s">
        <v>5107</v>
      </c>
      <c r="N269" s="2" t="s">
        <v>5325</v>
      </c>
      <c r="O269" s="2" t="s">
        <v>5326</v>
      </c>
      <c r="P269" s="2" t="s">
        <v>6183</v>
      </c>
      <c r="Q269" s="2"/>
      <c r="R269" s="2" t="s">
        <v>5107</v>
      </c>
      <c r="S269" s="2"/>
    </row>
    <row r="270" spans="1:19" x14ac:dyDescent="0.2">
      <c r="A270" s="2">
        <v>1425</v>
      </c>
      <c r="B270" s="6" t="s">
        <v>1724</v>
      </c>
      <c r="C270" s="2" t="s">
        <v>6184</v>
      </c>
      <c r="D270" s="2" t="s">
        <v>6185</v>
      </c>
      <c r="E270" s="2" t="s">
        <v>1727</v>
      </c>
      <c r="F270" s="2" t="s">
        <v>1722</v>
      </c>
      <c r="G270" s="2" t="s">
        <v>1722</v>
      </c>
      <c r="H270" s="2" t="s">
        <v>393</v>
      </c>
      <c r="I270" s="2" t="s">
        <v>589</v>
      </c>
      <c r="J270" s="2" t="s">
        <v>173</v>
      </c>
      <c r="K270" s="2" t="s">
        <v>26</v>
      </c>
      <c r="L270" s="2" t="s">
        <v>5078</v>
      </c>
      <c r="M270" s="2" t="s">
        <v>5107</v>
      </c>
      <c r="N270" s="2" t="s">
        <v>5325</v>
      </c>
      <c r="O270" s="2" t="s">
        <v>5326</v>
      </c>
      <c r="P270" s="2" t="s">
        <v>6186</v>
      </c>
      <c r="Q270" s="2" t="s">
        <v>5091</v>
      </c>
      <c r="R270" s="2" t="s">
        <v>5107</v>
      </c>
      <c r="S270" s="2"/>
    </row>
    <row r="271" spans="1:19" x14ac:dyDescent="0.2">
      <c r="A271" s="2">
        <v>770</v>
      </c>
      <c r="B271" s="6" t="s">
        <v>1729</v>
      </c>
      <c r="C271" s="2" t="s">
        <v>6187</v>
      </c>
      <c r="D271" s="2" t="s">
        <v>6188</v>
      </c>
      <c r="E271" s="2" t="s">
        <v>600</v>
      </c>
      <c r="F271" s="2"/>
      <c r="G271" s="2"/>
      <c r="H271" s="2" t="s">
        <v>393</v>
      </c>
      <c r="I271" s="2" t="s">
        <v>411</v>
      </c>
      <c r="J271" s="2"/>
      <c r="K271" s="2" t="s">
        <v>1732</v>
      </c>
      <c r="L271" s="2" t="s">
        <v>6189</v>
      </c>
      <c r="M271" s="2" t="s">
        <v>5079</v>
      </c>
      <c r="N271" s="2" t="s">
        <v>5325</v>
      </c>
      <c r="O271" s="2" t="s">
        <v>5691</v>
      </c>
      <c r="P271" s="2" t="s">
        <v>6190</v>
      </c>
      <c r="Q271" s="2" t="s">
        <v>5091</v>
      </c>
      <c r="R271" s="2" t="s">
        <v>5079</v>
      </c>
      <c r="S271" s="2"/>
    </row>
    <row r="272" spans="1:19" x14ac:dyDescent="0.2">
      <c r="A272" s="2">
        <v>771</v>
      </c>
      <c r="B272" s="6" t="s">
        <v>1734</v>
      </c>
      <c r="C272" s="2" t="s">
        <v>6191</v>
      </c>
      <c r="D272" s="2" t="s">
        <v>6192</v>
      </c>
      <c r="E272" s="2" t="s">
        <v>1247</v>
      </c>
      <c r="F272" s="2"/>
      <c r="G272" s="2"/>
      <c r="H272" s="2" t="s">
        <v>393</v>
      </c>
      <c r="I272" s="2" t="s">
        <v>411</v>
      </c>
      <c r="J272" s="2"/>
      <c r="K272" s="2" t="s">
        <v>412</v>
      </c>
      <c r="L272" s="2" t="s">
        <v>5334</v>
      </c>
      <c r="M272" s="2" t="s">
        <v>6193</v>
      </c>
      <c r="N272" s="2" t="s">
        <v>5325</v>
      </c>
      <c r="O272" s="2" t="s">
        <v>5330</v>
      </c>
      <c r="P272" s="2" t="s">
        <v>6194</v>
      </c>
      <c r="Q272" s="2" t="s">
        <v>5091</v>
      </c>
      <c r="R272" s="2" t="s">
        <v>5079</v>
      </c>
      <c r="S272" s="2"/>
    </row>
    <row r="273" spans="1:19" x14ac:dyDescent="0.2">
      <c r="A273" s="2">
        <v>772</v>
      </c>
      <c r="B273" s="6" t="s">
        <v>1739</v>
      </c>
      <c r="C273" s="2" t="s">
        <v>6195</v>
      </c>
      <c r="D273" s="2" t="s">
        <v>6196</v>
      </c>
      <c r="E273" s="2" t="s">
        <v>1512</v>
      </c>
      <c r="F273" s="2" t="s">
        <v>1507</v>
      </c>
      <c r="G273" s="2" t="s">
        <v>1507</v>
      </c>
      <c r="H273" s="2" t="s">
        <v>393</v>
      </c>
      <c r="I273" s="2" t="s">
        <v>411</v>
      </c>
      <c r="J273" s="2"/>
      <c r="K273" s="2" t="s">
        <v>412</v>
      </c>
      <c r="L273" s="2" t="s">
        <v>5334</v>
      </c>
      <c r="M273" s="2" t="s">
        <v>5079</v>
      </c>
      <c r="N273" s="2" t="s">
        <v>5325</v>
      </c>
      <c r="O273" s="2" t="s">
        <v>5691</v>
      </c>
      <c r="P273" s="2" t="s">
        <v>6197</v>
      </c>
      <c r="Q273" s="2" t="s">
        <v>5091</v>
      </c>
      <c r="R273" s="2" t="s">
        <v>5079</v>
      </c>
      <c r="S273" s="2"/>
    </row>
    <row r="274" spans="1:19" x14ac:dyDescent="0.2">
      <c r="A274" s="2">
        <v>773</v>
      </c>
      <c r="B274" s="6" t="s">
        <v>1743</v>
      </c>
      <c r="C274" s="2" t="s">
        <v>6198</v>
      </c>
      <c r="D274" s="2" t="s">
        <v>6199</v>
      </c>
      <c r="E274" s="2" t="s">
        <v>988</v>
      </c>
      <c r="F274" s="2"/>
      <c r="G274" s="2"/>
      <c r="H274" s="2" t="s">
        <v>393</v>
      </c>
      <c r="I274" s="2" t="s">
        <v>6200</v>
      </c>
      <c r="J274" s="2"/>
      <c r="K274" s="2" t="s">
        <v>26</v>
      </c>
      <c r="L274" s="2" t="s">
        <v>5078</v>
      </c>
      <c r="M274" s="2"/>
      <c r="N274" s="2" t="s">
        <v>5325</v>
      </c>
      <c r="O274" s="2" t="s">
        <v>5362</v>
      </c>
      <c r="P274" s="2" t="s">
        <v>6201</v>
      </c>
      <c r="Q274" s="2" t="s">
        <v>6202</v>
      </c>
      <c r="R274" s="2"/>
      <c r="S274" s="2"/>
    </row>
    <row r="275" spans="1:19" x14ac:dyDescent="0.2">
      <c r="A275" s="2">
        <v>775</v>
      </c>
      <c r="B275" s="6" t="s">
        <v>1749</v>
      </c>
      <c r="C275" s="2" t="s">
        <v>6203</v>
      </c>
      <c r="D275" s="2" t="s">
        <v>6204</v>
      </c>
      <c r="E275" s="2" t="s">
        <v>490</v>
      </c>
      <c r="F275" s="2"/>
      <c r="G275" s="2"/>
      <c r="H275" s="2" t="s">
        <v>393</v>
      </c>
      <c r="I275" s="2" t="s">
        <v>756</v>
      </c>
      <c r="J275" s="2"/>
      <c r="K275" s="2" t="s">
        <v>26</v>
      </c>
      <c r="L275" s="2" t="s">
        <v>5078</v>
      </c>
      <c r="M275" s="2" t="s">
        <v>5352</v>
      </c>
      <c r="N275" s="2" t="s">
        <v>5325</v>
      </c>
      <c r="O275" s="2" t="s">
        <v>5691</v>
      </c>
      <c r="P275" s="2" t="s">
        <v>6205</v>
      </c>
      <c r="Q275" s="2" t="s">
        <v>5091</v>
      </c>
      <c r="R275" s="2" t="s">
        <v>5352</v>
      </c>
      <c r="S275" s="2"/>
    </row>
    <row r="276" spans="1:19" x14ac:dyDescent="0.2">
      <c r="A276" s="2">
        <v>776</v>
      </c>
      <c r="B276" s="6" t="s">
        <v>1753</v>
      </c>
      <c r="C276" s="2" t="s">
        <v>6206</v>
      </c>
      <c r="D276" s="2" t="s">
        <v>6207</v>
      </c>
      <c r="E276" s="2" t="s">
        <v>1756</v>
      </c>
      <c r="F276" s="2"/>
      <c r="G276" s="2"/>
      <c r="H276" s="2" t="s">
        <v>393</v>
      </c>
      <c r="I276" s="2" t="s">
        <v>659</v>
      </c>
      <c r="J276" s="2"/>
      <c r="K276" s="2" t="s">
        <v>426</v>
      </c>
      <c r="L276" s="2" t="s">
        <v>5345</v>
      </c>
      <c r="M276" s="2" t="s">
        <v>5079</v>
      </c>
      <c r="N276" s="2" t="s">
        <v>5325</v>
      </c>
      <c r="O276" s="2" t="s">
        <v>5691</v>
      </c>
      <c r="P276" s="2" t="s">
        <v>6208</v>
      </c>
      <c r="Q276" s="2" t="s">
        <v>5091</v>
      </c>
      <c r="R276" s="2" t="s">
        <v>5079</v>
      </c>
      <c r="S276" s="2"/>
    </row>
    <row r="277" spans="1:19" x14ac:dyDescent="0.2">
      <c r="A277" s="2">
        <v>777</v>
      </c>
      <c r="B277" s="6" t="s">
        <v>1758</v>
      </c>
      <c r="C277" s="2" t="s">
        <v>6209</v>
      </c>
      <c r="D277" s="2" t="s">
        <v>6210</v>
      </c>
      <c r="E277" s="2" t="s">
        <v>1761</v>
      </c>
      <c r="F277" s="2"/>
      <c r="G277" s="2"/>
      <c r="H277" s="2" t="s">
        <v>393</v>
      </c>
      <c r="I277" s="2" t="s">
        <v>1762</v>
      </c>
      <c r="J277" s="2"/>
      <c r="K277" s="2" t="s">
        <v>426</v>
      </c>
      <c r="L277" s="2" t="s">
        <v>5345</v>
      </c>
      <c r="M277" s="2" t="s">
        <v>5079</v>
      </c>
      <c r="N277" s="2" t="s">
        <v>5325</v>
      </c>
      <c r="O277" s="2" t="s">
        <v>5691</v>
      </c>
      <c r="P277" s="2" t="s">
        <v>6211</v>
      </c>
      <c r="Q277" s="2" t="s">
        <v>5091</v>
      </c>
      <c r="R277" s="2" t="s">
        <v>5079</v>
      </c>
      <c r="S277" s="2"/>
    </row>
    <row r="278" spans="1:19" x14ac:dyDescent="0.2">
      <c r="A278" s="2">
        <v>778</v>
      </c>
      <c r="B278" s="6" t="s">
        <v>1764</v>
      </c>
      <c r="C278" s="2" t="s">
        <v>6212</v>
      </c>
      <c r="D278" s="2" t="s">
        <v>6213</v>
      </c>
      <c r="E278" s="2" t="s">
        <v>1521</v>
      </c>
      <c r="F278" s="2"/>
      <c r="G278" s="2"/>
      <c r="H278" s="2" t="s">
        <v>393</v>
      </c>
      <c r="I278" s="2" t="s">
        <v>1767</v>
      </c>
      <c r="J278" s="2"/>
      <c r="K278" s="2" t="s">
        <v>493</v>
      </c>
      <c r="L278" s="2" t="s">
        <v>5387</v>
      </c>
      <c r="M278" s="2" t="s">
        <v>6214</v>
      </c>
      <c r="N278" s="2" t="s">
        <v>5325</v>
      </c>
      <c r="O278" s="2" t="s">
        <v>5330</v>
      </c>
      <c r="P278" s="2" t="s">
        <v>6215</v>
      </c>
      <c r="Q278" s="2" t="s">
        <v>5091</v>
      </c>
      <c r="R278" s="2" t="s">
        <v>5352</v>
      </c>
      <c r="S278" s="2"/>
    </row>
    <row r="279" spans="1:19" x14ac:dyDescent="0.2">
      <c r="A279" s="2">
        <v>779</v>
      </c>
      <c r="B279" s="6" t="s">
        <v>1770</v>
      </c>
      <c r="C279" s="2" t="s">
        <v>6216</v>
      </c>
      <c r="D279" s="2" t="s">
        <v>6217</v>
      </c>
      <c r="E279" s="2" t="s">
        <v>1773</v>
      </c>
      <c r="F279" s="2"/>
      <c r="G279" s="2"/>
      <c r="H279" s="2" t="s">
        <v>393</v>
      </c>
      <c r="I279" s="2" t="s">
        <v>6218</v>
      </c>
      <c r="J279" s="2"/>
      <c r="K279" s="2" t="s">
        <v>26</v>
      </c>
      <c r="L279" s="2" t="s">
        <v>5078</v>
      </c>
      <c r="M279" s="2" t="s">
        <v>5079</v>
      </c>
      <c r="N279" s="2" t="s">
        <v>5325</v>
      </c>
      <c r="O279" s="2" t="s">
        <v>5362</v>
      </c>
      <c r="P279" s="2" t="s">
        <v>6219</v>
      </c>
      <c r="Q279" s="2" t="s">
        <v>5091</v>
      </c>
      <c r="R279" s="2" t="s">
        <v>5079</v>
      </c>
      <c r="S279" s="2"/>
    </row>
    <row r="280" spans="1:19" x14ac:dyDescent="0.2">
      <c r="A280" s="2">
        <v>780</v>
      </c>
      <c r="B280" s="6" t="s">
        <v>1776</v>
      </c>
      <c r="C280" s="2" t="s">
        <v>6220</v>
      </c>
      <c r="D280" s="2" t="s">
        <v>6221</v>
      </c>
      <c r="E280" s="2" t="s">
        <v>431</v>
      </c>
      <c r="F280" s="2"/>
      <c r="G280" s="2"/>
      <c r="H280" s="2" t="s">
        <v>393</v>
      </c>
      <c r="I280" s="2" t="s">
        <v>1779</v>
      </c>
      <c r="J280" s="2"/>
      <c r="K280" s="2" t="s">
        <v>493</v>
      </c>
      <c r="L280" s="2" t="s">
        <v>5387</v>
      </c>
      <c r="M280" s="2" t="s">
        <v>5079</v>
      </c>
      <c r="N280" s="2" t="s">
        <v>5325</v>
      </c>
      <c r="O280" s="2" t="s">
        <v>5330</v>
      </c>
      <c r="P280" s="2" t="s">
        <v>6222</v>
      </c>
      <c r="Q280" s="2" t="s">
        <v>5091</v>
      </c>
      <c r="R280" s="2" t="s">
        <v>5079</v>
      </c>
      <c r="S280" s="2"/>
    </row>
    <row r="281" spans="1:19" x14ac:dyDescent="0.2">
      <c r="A281" s="2">
        <v>781</v>
      </c>
      <c r="B281" s="6" t="s">
        <v>1782</v>
      </c>
      <c r="C281" s="2" t="s">
        <v>6223</v>
      </c>
      <c r="D281" s="2" t="s">
        <v>6224</v>
      </c>
      <c r="E281" s="2" t="s">
        <v>431</v>
      </c>
      <c r="F281" s="2"/>
      <c r="G281" s="2"/>
      <c r="H281" s="2" t="s">
        <v>393</v>
      </c>
      <c r="I281" s="2" t="s">
        <v>1779</v>
      </c>
      <c r="J281" s="2"/>
      <c r="K281" s="2" t="s">
        <v>426</v>
      </c>
      <c r="L281" s="2" t="s">
        <v>5345</v>
      </c>
      <c r="M281" s="2" t="s">
        <v>5079</v>
      </c>
      <c r="N281" s="2" t="s">
        <v>5325</v>
      </c>
      <c r="O281" s="2" t="s">
        <v>5330</v>
      </c>
      <c r="P281" s="2" t="s">
        <v>6225</v>
      </c>
      <c r="Q281" s="2" t="s">
        <v>5091</v>
      </c>
      <c r="R281" s="2" t="s">
        <v>5079</v>
      </c>
      <c r="S281" s="2"/>
    </row>
    <row r="282" spans="1:19" x14ac:dyDescent="0.2">
      <c r="A282" s="2">
        <v>782</v>
      </c>
      <c r="B282" s="6" t="s">
        <v>1787</v>
      </c>
      <c r="C282" s="2" t="s">
        <v>6226</v>
      </c>
      <c r="D282" s="2" t="s">
        <v>6227</v>
      </c>
      <c r="E282" s="2" t="s">
        <v>431</v>
      </c>
      <c r="F282" s="2"/>
      <c r="G282" s="2"/>
      <c r="H282" s="2" t="s">
        <v>393</v>
      </c>
      <c r="I282" s="2" t="s">
        <v>1790</v>
      </c>
      <c r="J282" s="2"/>
      <c r="K282" s="2" t="s">
        <v>493</v>
      </c>
      <c r="L282" s="2" t="s">
        <v>5387</v>
      </c>
      <c r="M282" s="2" t="s">
        <v>5079</v>
      </c>
      <c r="N282" s="2" t="s">
        <v>5325</v>
      </c>
      <c r="O282" s="2" t="s">
        <v>5330</v>
      </c>
      <c r="P282" s="2" t="s">
        <v>6228</v>
      </c>
      <c r="Q282" s="2" t="s">
        <v>5091</v>
      </c>
      <c r="R282" s="2" t="s">
        <v>5079</v>
      </c>
      <c r="S282" s="2"/>
    </row>
    <row r="283" spans="1:19" x14ac:dyDescent="0.2">
      <c r="A283" s="2">
        <v>783</v>
      </c>
      <c r="B283" s="6" t="s">
        <v>1792</v>
      </c>
      <c r="C283" s="2" t="s">
        <v>6229</v>
      </c>
      <c r="D283" s="2" t="s">
        <v>6230</v>
      </c>
      <c r="E283" s="2" t="s">
        <v>403</v>
      </c>
      <c r="F283" s="2" t="s">
        <v>1498</v>
      </c>
      <c r="G283" s="2" t="s">
        <v>1498</v>
      </c>
      <c r="H283" s="2" t="s">
        <v>393</v>
      </c>
      <c r="I283" s="2" t="s">
        <v>6231</v>
      </c>
      <c r="J283" s="2"/>
      <c r="K283" s="2" t="s">
        <v>39</v>
      </c>
      <c r="L283" s="2" t="s">
        <v>5087</v>
      </c>
      <c r="M283" s="2" t="s">
        <v>5352</v>
      </c>
      <c r="N283" s="2" t="s">
        <v>5325</v>
      </c>
      <c r="O283" s="2" t="s">
        <v>5362</v>
      </c>
      <c r="P283" s="2" t="s">
        <v>6232</v>
      </c>
      <c r="Q283" s="2" t="s">
        <v>5091</v>
      </c>
      <c r="R283" s="2" t="s">
        <v>5352</v>
      </c>
      <c r="S283" s="2"/>
    </row>
    <row r="284" spans="1:19" x14ac:dyDescent="0.2">
      <c r="A284" s="2">
        <v>573</v>
      </c>
      <c r="B284" s="6" t="s">
        <v>1798</v>
      </c>
      <c r="C284" s="2" t="s">
        <v>6233</v>
      </c>
      <c r="D284" s="2" t="s">
        <v>6234</v>
      </c>
      <c r="E284" s="2" t="s">
        <v>1212</v>
      </c>
      <c r="F284" s="2"/>
      <c r="G284" s="2"/>
      <c r="H284" s="2" t="s">
        <v>393</v>
      </c>
      <c r="I284" s="2" t="s">
        <v>453</v>
      </c>
      <c r="J284" s="2" t="s">
        <v>1801</v>
      </c>
      <c r="K284" s="2" t="s">
        <v>26</v>
      </c>
      <c r="L284" s="2" t="s">
        <v>5078</v>
      </c>
      <c r="M284" s="2" t="s">
        <v>5079</v>
      </c>
      <c r="N284" s="2" t="s">
        <v>5325</v>
      </c>
      <c r="O284" s="2" t="s">
        <v>5362</v>
      </c>
      <c r="P284" s="2" t="s">
        <v>6235</v>
      </c>
      <c r="Q284" s="2" t="s">
        <v>5091</v>
      </c>
      <c r="R284" s="2" t="s">
        <v>5079</v>
      </c>
      <c r="S284" s="2"/>
    </row>
    <row r="285" spans="1:19" x14ac:dyDescent="0.2">
      <c r="A285" s="2">
        <v>574</v>
      </c>
      <c r="B285" s="6" t="s">
        <v>1804</v>
      </c>
      <c r="C285" s="2" t="s">
        <v>6236</v>
      </c>
      <c r="D285" s="2" t="s">
        <v>6237</v>
      </c>
      <c r="E285" s="2" t="s">
        <v>1552</v>
      </c>
      <c r="F285" s="2"/>
      <c r="G285" s="2"/>
      <c r="H285" s="2" t="s">
        <v>393</v>
      </c>
      <c r="I285" s="2" t="s">
        <v>453</v>
      </c>
      <c r="J285" s="2"/>
      <c r="K285" s="2" t="s">
        <v>26</v>
      </c>
      <c r="L285" s="2" t="s">
        <v>5078</v>
      </c>
      <c r="M285" s="2" t="s">
        <v>5324</v>
      </c>
      <c r="N285" s="2" t="s">
        <v>5325</v>
      </c>
      <c r="O285" s="2" t="s">
        <v>5362</v>
      </c>
      <c r="P285" s="2" t="s">
        <v>6238</v>
      </c>
      <c r="Q285" s="2" t="s">
        <v>5091</v>
      </c>
      <c r="R285" s="2" t="s">
        <v>5769</v>
      </c>
      <c r="S285" s="2"/>
    </row>
    <row r="286" spans="1:19" x14ac:dyDescent="0.2">
      <c r="A286" s="2">
        <v>575</v>
      </c>
      <c r="B286" s="6" t="s">
        <v>1808</v>
      </c>
      <c r="C286" s="2" t="s">
        <v>6239</v>
      </c>
      <c r="D286" s="2" t="s">
        <v>6240</v>
      </c>
      <c r="E286" s="2" t="s">
        <v>1552</v>
      </c>
      <c r="F286" s="2"/>
      <c r="G286" s="2"/>
      <c r="H286" s="2" t="s">
        <v>393</v>
      </c>
      <c r="I286" s="2" t="s">
        <v>453</v>
      </c>
      <c r="J286" s="2"/>
      <c r="K286" s="2" t="s">
        <v>426</v>
      </c>
      <c r="L286" s="2" t="s">
        <v>5345</v>
      </c>
      <c r="M286" s="2" t="s">
        <v>5324</v>
      </c>
      <c r="N286" s="2" t="s">
        <v>5325</v>
      </c>
      <c r="O286" s="2" t="s">
        <v>5362</v>
      </c>
      <c r="P286" s="2" t="s">
        <v>6241</v>
      </c>
      <c r="Q286" s="2" t="s">
        <v>5091</v>
      </c>
      <c r="R286" s="2" t="s">
        <v>5324</v>
      </c>
      <c r="S286" s="2"/>
    </row>
    <row r="287" spans="1:19" x14ac:dyDescent="0.2">
      <c r="A287" s="2">
        <v>576</v>
      </c>
      <c r="B287" s="6" t="s">
        <v>1812</v>
      </c>
      <c r="C287" s="2" t="s">
        <v>6242</v>
      </c>
      <c r="D287" s="2" t="s">
        <v>6243</v>
      </c>
      <c r="E287" s="2" t="s">
        <v>1815</v>
      </c>
      <c r="F287" s="2"/>
      <c r="G287" s="2"/>
      <c r="H287" s="2" t="s">
        <v>393</v>
      </c>
      <c r="I287" s="2" t="s">
        <v>453</v>
      </c>
      <c r="J287" s="2"/>
      <c r="K287" s="2" t="s">
        <v>426</v>
      </c>
      <c r="L287" s="2" t="s">
        <v>5345</v>
      </c>
      <c r="M287" s="2" t="s">
        <v>5079</v>
      </c>
      <c r="N287" s="2" t="s">
        <v>5325</v>
      </c>
      <c r="O287" s="2" t="s">
        <v>5362</v>
      </c>
      <c r="P287" s="2" t="s">
        <v>6244</v>
      </c>
      <c r="Q287" s="2" t="s">
        <v>5091</v>
      </c>
      <c r="R287" s="2" t="s">
        <v>5079</v>
      </c>
      <c r="S287" s="2"/>
    </row>
    <row r="288" spans="1:19" x14ac:dyDescent="0.2">
      <c r="A288" s="2">
        <v>577</v>
      </c>
      <c r="B288" s="6" t="s">
        <v>1817</v>
      </c>
      <c r="C288" s="2" t="s">
        <v>6245</v>
      </c>
      <c r="D288" s="2" t="s">
        <v>6246</v>
      </c>
      <c r="E288" s="2" t="s">
        <v>902</v>
      </c>
      <c r="F288" s="2"/>
      <c r="G288" s="2"/>
      <c r="H288" s="2" t="s">
        <v>393</v>
      </c>
      <c r="I288" s="2" t="s">
        <v>453</v>
      </c>
      <c r="J288" s="2" t="s">
        <v>6247</v>
      </c>
      <c r="K288" s="2" t="s">
        <v>426</v>
      </c>
      <c r="L288" s="2" t="s">
        <v>5345</v>
      </c>
      <c r="M288" s="2" t="s">
        <v>6248</v>
      </c>
      <c r="N288" s="2" t="s">
        <v>5325</v>
      </c>
      <c r="O288" s="2" t="s">
        <v>5330</v>
      </c>
      <c r="P288" s="2" t="s">
        <v>6249</v>
      </c>
      <c r="Q288" s="2" t="s">
        <v>5091</v>
      </c>
      <c r="R288" s="2" t="s">
        <v>5812</v>
      </c>
      <c r="S288" s="2"/>
    </row>
    <row r="289" spans="1:19" x14ac:dyDescent="0.2">
      <c r="A289" s="2">
        <v>666</v>
      </c>
      <c r="B289" s="6" t="s">
        <v>1823</v>
      </c>
      <c r="C289" s="2" t="s">
        <v>6250</v>
      </c>
      <c r="D289" s="2" t="s">
        <v>6251</v>
      </c>
      <c r="E289" s="2" t="s">
        <v>979</v>
      </c>
      <c r="F289" s="2"/>
      <c r="G289" s="2"/>
      <c r="H289" s="2" t="s">
        <v>393</v>
      </c>
      <c r="I289" s="2" t="s">
        <v>453</v>
      </c>
      <c r="J289" s="2"/>
      <c r="K289" s="2"/>
      <c r="L289" s="2"/>
      <c r="M289" s="2" t="s">
        <v>5107</v>
      </c>
      <c r="N289" s="2" t="s">
        <v>5325</v>
      </c>
      <c r="O289" s="2" t="s">
        <v>5517</v>
      </c>
      <c r="P289" s="2" t="s">
        <v>6252</v>
      </c>
      <c r="Q289" s="2" t="s">
        <v>5091</v>
      </c>
      <c r="R289" s="2" t="s">
        <v>5107</v>
      </c>
      <c r="S289" s="2"/>
    </row>
    <row r="290" spans="1:19" x14ac:dyDescent="0.2">
      <c r="A290" s="2">
        <v>766</v>
      </c>
      <c r="B290" s="6" t="s">
        <v>1827</v>
      </c>
      <c r="C290" s="2" t="s">
        <v>6253</v>
      </c>
      <c r="D290" s="2" t="s">
        <v>6254</v>
      </c>
      <c r="E290" s="2" t="s">
        <v>1773</v>
      </c>
      <c r="F290" s="2"/>
      <c r="G290" s="2"/>
      <c r="H290" s="2" t="s">
        <v>393</v>
      </c>
      <c r="I290" s="2" t="s">
        <v>5512</v>
      </c>
      <c r="J290" s="2"/>
      <c r="K290" s="2" t="s">
        <v>39</v>
      </c>
      <c r="L290" s="2" t="s">
        <v>5087</v>
      </c>
      <c r="M290" s="2" t="s">
        <v>6255</v>
      </c>
      <c r="N290" s="2" t="s">
        <v>5325</v>
      </c>
      <c r="O290" s="2" t="s">
        <v>5691</v>
      </c>
      <c r="P290" s="2" t="s">
        <v>6256</v>
      </c>
      <c r="Q290" s="2"/>
      <c r="R290" s="2" t="s">
        <v>5100</v>
      </c>
      <c r="S290" s="2"/>
    </row>
    <row r="291" spans="1:19" x14ac:dyDescent="0.2">
      <c r="A291" s="2">
        <v>768</v>
      </c>
      <c r="B291" s="6" t="s">
        <v>1832</v>
      </c>
      <c r="C291" s="2" t="s">
        <v>6257</v>
      </c>
      <c r="D291" s="2" t="s">
        <v>6258</v>
      </c>
      <c r="E291" s="2" t="s">
        <v>858</v>
      </c>
      <c r="F291" s="2" t="s">
        <v>588</v>
      </c>
      <c r="G291" s="2" t="s">
        <v>858</v>
      </c>
      <c r="H291" s="2" t="s">
        <v>393</v>
      </c>
      <c r="I291" s="2" t="s">
        <v>6259</v>
      </c>
      <c r="J291" s="2" t="s">
        <v>6260</v>
      </c>
      <c r="K291" s="2" t="s">
        <v>39</v>
      </c>
      <c r="L291" s="2" t="s">
        <v>5087</v>
      </c>
      <c r="M291" s="2" t="s">
        <v>5100</v>
      </c>
      <c r="N291" s="2" t="s">
        <v>5325</v>
      </c>
      <c r="O291" s="2" t="s">
        <v>5691</v>
      </c>
      <c r="P291" s="2" t="s">
        <v>6261</v>
      </c>
      <c r="Q291" s="2"/>
      <c r="R291" s="2" t="s">
        <v>5100</v>
      </c>
      <c r="S291" s="2"/>
    </row>
    <row r="292" spans="1:19" x14ac:dyDescent="0.2">
      <c r="A292" s="2">
        <v>822</v>
      </c>
      <c r="B292" s="6" t="s">
        <v>1839</v>
      </c>
      <c r="C292" s="2" t="s">
        <v>6262</v>
      </c>
      <c r="D292" s="2" t="s">
        <v>6263</v>
      </c>
      <c r="E292" s="2" t="s">
        <v>410</v>
      </c>
      <c r="F292" s="2"/>
      <c r="G292" s="2" t="s">
        <v>810</v>
      </c>
      <c r="H292" s="2" t="s">
        <v>393</v>
      </c>
      <c r="I292" s="2" t="s">
        <v>453</v>
      </c>
      <c r="J292" s="2"/>
      <c r="K292" s="2" t="s">
        <v>26</v>
      </c>
      <c r="L292" s="2" t="s">
        <v>5078</v>
      </c>
      <c r="M292" s="2" t="s">
        <v>5079</v>
      </c>
      <c r="N292" s="2" t="s">
        <v>5325</v>
      </c>
      <c r="O292" s="2" t="s">
        <v>5362</v>
      </c>
      <c r="P292" s="2" t="s">
        <v>6264</v>
      </c>
      <c r="Q292" s="2" t="s">
        <v>5091</v>
      </c>
      <c r="R292" s="2" t="s">
        <v>5079</v>
      </c>
      <c r="S292" s="2"/>
    </row>
    <row r="293" spans="1:19" x14ac:dyDescent="0.2">
      <c r="A293" s="2">
        <v>817</v>
      </c>
      <c r="B293" s="6" t="s">
        <v>1843</v>
      </c>
      <c r="C293" s="2" t="s">
        <v>6265</v>
      </c>
      <c r="D293" s="2" t="s">
        <v>6266</v>
      </c>
      <c r="E293" s="2" t="s">
        <v>1247</v>
      </c>
      <c r="F293" s="2" t="s">
        <v>1846</v>
      </c>
      <c r="G293" s="2" t="s">
        <v>1846</v>
      </c>
      <c r="H293" s="2" t="s">
        <v>393</v>
      </c>
      <c r="I293" s="2" t="s">
        <v>453</v>
      </c>
      <c r="J293" s="2" t="s">
        <v>6083</v>
      </c>
      <c r="K293" s="2" t="s">
        <v>426</v>
      </c>
      <c r="L293" s="2" t="s">
        <v>5345</v>
      </c>
      <c r="M293" s="2"/>
      <c r="N293" s="2" t="s">
        <v>5325</v>
      </c>
      <c r="O293" s="2" t="s">
        <v>5326</v>
      </c>
      <c r="P293" s="2" t="s">
        <v>6267</v>
      </c>
      <c r="Q293" s="2" t="s">
        <v>5091</v>
      </c>
      <c r="R293" s="2" t="s">
        <v>6268</v>
      </c>
      <c r="S293" s="2" t="s">
        <v>6269</v>
      </c>
    </row>
    <row r="294" spans="1:19" x14ac:dyDescent="0.2">
      <c r="A294" s="2">
        <v>524</v>
      </c>
      <c r="B294" s="6" t="s">
        <v>1850</v>
      </c>
      <c r="C294" s="2" t="s">
        <v>6270</v>
      </c>
      <c r="D294" s="2" t="s">
        <v>6271</v>
      </c>
      <c r="E294" s="2" t="s">
        <v>483</v>
      </c>
      <c r="F294" s="2"/>
      <c r="G294" s="2"/>
      <c r="H294" s="2" t="s">
        <v>393</v>
      </c>
      <c r="I294" s="2" t="s">
        <v>491</v>
      </c>
      <c r="J294" s="2"/>
      <c r="K294" s="2" t="s">
        <v>39</v>
      </c>
      <c r="L294" s="2" t="s">
        <v>5087</v>
      </c>
      <c r="M294" s="2" t="s">
        <v>5100</v>
      </c>
      <c r="N294" s="2" t="s">
        <v>5325</v>
      </c>
      <c r="O294" s="2" t="s">
        <v>5691</v>
      </c>
      <c r="P294" s="2" t="s">
        <v>6272</v>
      </c>
      <c r="Q294" s="2"/>
      <c r="R294" s="2" t="s">
        <v>5100</v>
      </c>
      <c r="S294" s="2"/>
    </row>
    <row r="295" spans="1:19" x14ac:dyDescent="0.2">
      <c r="A295" s="2">
        <v>534</v>
      </c>
      <c r="B295" s="6" t="s">
        <v>1855</v>
      </c>
      <c r="C295" s="2" t="s">
        <v>6273</v>
      </c>
      <c r="D295" s="2" t="s">
        <v>6274</v>
      </c>
      <c r="E295" s="2" t="s">
        <v>1858</v>
      </c>
      <c r="F295" s="2"/>
      <c r="G295" s="2"/>
      <c r="H295" s="2" t="s">
        <v>393</v>
      </c>
      <c r="I295" s="2" t="s">
        <v>5412</v>
      </c>
      <c r="J295" s="2"/>
      <c r="K295" s="2" t="s">
        <v>39</v>
      </c>
      <c r="L295" s="2" t="s">
        <v>5087</v>
      </c>
      <c r="M295" s="2" t="s">
        <v>5352</v>
      </c>
      <c r="N295" s="2" t="s">
        <v>5325</v>
      </c>
      <c r="O295" s="2" t="s">
        <v>5691</v>
      </c>
      <c r="P295" s="2" t="s">
        <v>6275</v>
      </c>
      <c r="Q295" s="2" t="s">
        <v>5091</v>
      </c>
      <c r="R295" s="2" t="s">
        <v>5352</v>
      </c>
      <c r="S295" s="2"/>
    </row>
    <row r="296" spans="1:19" x14ac:dyDescent="0.2">
      <c r="A296" s="2">
        <v>537</v>
      </c>
      <c r="B296" s="6" t="s">
        <v>1860</v>
      </c>
      <c r="C296" s="2" t="s">
        <v>6276</v>
      </c>
      <c r="D296" s="2" t="s">
        <v>6277</v>
      </c>
      <c r="E296" s="2" t="s">
        <v>751</v>
      </c>
      <c r="F296" s="2"/>
      <c r="G296" s="2"/>
      <c r="H296" s="2" t="s">
        <v>393</v>
      </c>
      <c r="I296" s="2" t="s">
        <v>6278</v>
      </c>
      <c r="J296" s="2"/>
      <c r="K296" s="2" t="s">
        <v>39</v>
      </c>
      <c r="L296" s="2" t="s">
        <v>5087</v>
      </c>
      <c r="M296" s="2" t="s">
        <v>5079</v>
      </c>
      <c r="N296" s="2" t="s">
        <v>5325</v>
      </c>
      <c r="O296" s="2" t="s">
        <v>5517</v>
      </c>
      <c r="P296" s="2" t="s">
        <v>6279</v>
      </c>
      <c r="Q296" s="2" t="s">
        <v>5091</v>
      </c>
      <c r="R296" s="2" t="s">
        <v>5079</v>
      </c>
      <c r="S296" s="2"/>
    </row>
    <row r="297" spans="1:19" x14ac:dyDescent="0.2">
      <c r="A297" s="2">
        <v>541</v>
      </c>
      <c r="B297" s="6" t="s">
        <v>1865</v>
      </c>
      <c r="C297" s="2" t="s">
        <v>6280</v>
      </c>
      <c r="D297" s="2" t="s">
        <v>6281</v>
      </c>
      <c r="E297" s="2" t="s">
        <v>1052</v>
      </c>
      <c r="F297" s="2"/>
      <c r="G297" s="2"/>
      <c r="H297" s="2" t="s">
        <v>393</v>
      </c>
      <c r="I297" s="2" t="s">
        <v>453</v>
      </c>
      <c r="J297" s="2"/>
      <c r="K297" s="2" t="s">
        <v>39</v>
      </c>
      <c r="L297" s="2" t="s">
        <v>5087</v>
      </c>
      <c r="M297" s="2" t="s">
        <v>5079</v>
      </c>
      <c r="N297" s="2" t="s">
        <v>5325</v>
      </c>
      <c r="O297" s="2" t="s">
        <v>5691</v>
      </c>
      <c r="P297" s="2" t="s">
        <v>6282</v>
      </c>
      <c r="Q297" s="2" t="s">
        <v>5091</v>
      </c>
      <c r="R297" s="2" t="s">
        <v>5079</v>
      </c>
      <c r="S297" s="2"/>
    </row>
    <row r="298" spans="1:19" x14ac:dyDescent="0.2">
      <c r="A298" s="2">
        <v>545</v>
      </c>
      <c r="B298" s="6" t="s">
        <v>1869</v>
      </c>
      <c r="C298" s="2" t="s">
        <v>6283</v>
      </c>
      <c r="D298" s="2" t="s">
        <v>6284</v>
      </c>
      <c r="E298" s="2" t="s">
        <v>1069</v>
      </c>
      <c r="F298" s="16">
        <v>45261</v>
      </c>
      <c r="G298" s="16">
        <v>45261</v>
      </c>
      <c r="H298" s="2" t="s">
        <v>393</v>
      </c>
      <c r="I298" s="2" t="s">
        <v>453</v>
      </c>
      <c r="J298" s="2"/>
      <c r="K298" s="2" t="s">
        <v>493</v>
      </c>
      <c r="L298" s="2" t="s">
        <v>5387</v>
      </c>
      <c r="M298" s="2" t="s">
        <v>5599</v>
      </c>
      <c r="N298" s="2" t="s">
        <v>5325</v>
      </c>
      <c r="O298" s="2" t="s">
        <v>5691</v>
      </c>
      <c r="P298" s="2" t="s">
        <v>6285</v>
      </c>
      <c r="Q298" s="2" t="s">
        <v>5091</v>
      </c>
      <c r="R298" s="2" t="s">
        <v>5812</v>
      </c>
      <c r="S298" s="2"/>
    </row>
    <row r="299" spans="1:19" x14ac:dyDescent="0.2">
      <c r="A299" s="2">
        <v>546</v>
      </c>
      <c r="B299" s="6" t="s">
        <v>1873</v>
      </c>
      <c r="C299" s="2" t="s">
        <v>6286</v>
      </c>
      <c r="D299" s="2" t="s">
        <v>6287</v>
      </c>
      <c r="E299" s="2" t="s">
        <v>1876</v>
      </c>
      <c r="F299" s="2"/>
      <c r="G299" s="2"/>
      <c r="H299" s="2" t="s">
        <v>393</v>
      </c>
      <c r="I299" s="2" t="s">
        <v>453</v>
      </c>
      <c r="J299" s="2"/>
      <c r="K299" s="2" t="s">
        <v>26</v>
      </c>
      <c r="L299" s="2" t="s">
        <v>5078</v>
      </c>
      <c r="M299" s="2" t="s">
        <v>6288</v>
      </c>
      <c r="N299" s="2" t="s">
        <v>5325</v>
      </c>
      <c r="O299" s="2" t="s">
        <v>5362</v>
      </c>
      <c r="P299" s="2" t="s">
        <v>6289</v>
      </c>
      <c r="Q299" s="2" t="s">
        <v>5091</v>
      </c>
      <c r="R299" s="2" t="s">
        <v>6290</v>
      </c>
      <c r="S299" s="2"/>
    </row>
    <row r="300" spans="1:19" x14ac:dyDescent="0.2">
      <c r="A300" s="2">
        <v>548</v>
      </c>
      <c r="B300" s="6" t="s">
        <v>1881</v>
      </c>
      <c r="C300" s="2" t="s">
        <v>6291</v>
      </c>
      <c r="D300" s="2" t="s">
        <v>6292</v>
      </c>
      <c r="E300" s="2" t="s">
        <v>1075</v>
      </c>
      <c r="F300" s="2"/>
      <c r="G300" s="2"/>
      <c r="H300" s="2" t="s">
        <v>393</v>
      </c>
      <c r="I300" s="2" t="s">
        <v>453</v>
      </c>
      <c r="J300" s="2"/>
      <c r="K300" s="2" t="s">
        <v>26</v>
      </c>
      <c r="L300" s="2" t="s">
        <v>5078</v>
      </c>
      <c r="M300" s="2" t="s">
        <v>5079</v>
      </c>
      <c r="N300" s="2" t="s">
        <v>5325</v>
      </c>
      <c r="O300" s="2" t="s">
        <v>6293</v>
      </c>
      <c r="P300" s="2" t="s">
        <v>6294</v>
      </c>
      <c r="Q300" s="2" t="s">
        <v>5091</v>
      </c>
      <c r="R300" s="2" t="s">
        <v>5079</v>
      </c>
      <c r="S300" s="2"/>
    </row>
    <row r="301" spans="1:19" x14ac:dyDescent="0.2">
      <c r="A301" s="2">
        <v>550</v>
      </c>
      <c r="B301" s="6" t="s">
        <v>1886</v>
      </c>
      <c r="C301" s="2" t="s">
        <v>6295</v>
      </c>
      <c r="D301" s="2" t="s">
        <v>6296</v>
      </c>
      <c r="E301" s="2" t="s">
        <v>1087</v>
      </c>
      <c r="F301" s="2"/>
      <c r="G301" s="2"/>
      <c r="H301" s="2" t="s">
        <v>393</v>
      </c>
      <c r="I301" s="2" t="s">
        <v>453</v>
      </c>
      <c r="J301" s="2"/>
      <c r="K301" s="2" t="s">
        <v>39</v>
      </c>
      <c r="L301" s="2" t="s">
        <v>5087</v>
      </c>
      <c r="M301" s="2" t="s">
        <v>6297</v>
      </c>
      <c r="N301" s="2" t="s">
        <v>5325</v>
      </c>
      <c r="O301" s="2" t="s">
        <v>5691</v>
      </c>
      <c r="P301" s="2" t="s">
        <v>6298</v>
      </c>
      <c r="Q301" s="2" t="s">
        <v>5091</v>
      </c>
      <c r="R301" s="2" t="s">
        <v>6297</v>
      </c>
      <c r="S301" s="2"/>
    </row>
    <row r="302" spans="1:19" x14ac:dyDescent="0.2">
      <c r="A302" s="2">
        <v>563</v>
      </c>
      <c r="B302" s="6" t="s">
        <v>1892</v>
      </c>
      <c r="C302" s="2" t="s">
        <v>6299</v>
      </c>
      <c r="D302" s="2" t="s">
        <v>6300</v>
      </c>
      <c r="E302" s="2" t="s">
        <v>840</v>
      </c>
      <c r="F302" s="2"/>
      <c r="G302" s="2"/>
      <c r="H302" s="2" t="s">
        <v>393</v>
      </c>
      <c r="I302" s="2" t="s">
        <v>453</v>
      </c>
      <c r="J302" s="2"/>
      <c r="K302" s="2" t="s">
        <v>26</v>
      </c>
      <c r="L302" s="2" t="s">
        <v>5078</v>
      </c>
      <c r="M302" s="2" t="s">
        <v>5324</v>
      </c>
      <c r="N302" s="2" t="s">
        <v>5325</v>
      </c>
      <c r="O302" s="2" t="s">
        <v>5517</v>
      </c>
      <c r="P302" s="2" t="s">
        <v>6301</v>
      </c>
      <c r="Q302" s="2" t="s">
        <v>5091</v>
      </c>
      <c r="R302" s="2" t="s">
        <v>5769</v>
      </c>
      <c r="S302" s="2"/>
    </row>
    <row r="303" spans="1:19" x14ac:dyDescent="0.2">
      <c r="A303" s="2">
        <v>1022</v>
      </c>
      <c r="B303" s="6" t="s">
        <v>1896</v>
      </c>
      <c r="C303" s="2" t="s">
        <v>6302</v>
      </c>
      <c r="D303" s="2" t="s">
        <v>6303</v>
      </c>
      <c r="E303" s="2" t="s">
        <v>866</v>
      </c>
      <c r="F303" s="2"/>
      <c r="G303" s="2"/>
      <c r="H303" s="2" t="s">
        <v>393</v>
      </c>
      <c r="I303" s="2" t="s">
        <v>1899</v>
      </c>
      <c r="J303" s="2"/>
      <c r="K303" s="2" t="s">
        <v>26</v>
      </c>
      <c r="L303" s="2" t="s">
        <v>5078</v>
      </c>
      <c r="M303" s="2" t="s">
        <v>6304</v>
      </c>
      <c r="N303" s="2" t="s">
        <v>5325</v>
      </c>
      <c r="O303" s="2" t="s">
        <v>5081</v>
      </c>
      <c r="P303" s="2" t="s">
        <v>6305</v>
      </c>
      <c r="Q303" s="2" t="s">
        <v>6306</v>
      </c>
      <c r="R303" s="2" t="s">
        <v>6304</v>
      </c>
      <c r="S303" s="2"/>
    </row>
    <row r="304" spans="1:19" x14ac:dyDescent="0.2">
      <c r="A304" s="2">
        <v>2110</v>
      </c>
      <c r="B304" s="6" t="s">
        <v>1904</v>
      </c>
      <c r="C304" s="2" t="s">
        <v>6307</v>
      </c>
      <c r="D304" s="2" t="s">
        <v>6308</v>
      </c>
      <c r="E304" s="2" t="s">
        <v>1907</v>
      </c>
      <c r="F304" s="2" t="s">
        <v>1908</v>
      </c>
      <c r="G304" s="2" t="s">
        <v>1908</v>
      </c>
      <c r="H304" s="2" t="s">
        <v>393</v>
      </c>
      <c r="I304" s="2" t="s">
        <v>1164</v>
      </c>
      <c r="J304" s="2"/>
      <c r="K304" s="2" t="s">
        <v>26</v>
      </c>
      <c r="L304" s="2" t="s">
        <v>5078</v>
      </c>
      <c r="M304" s="2" t="s">
        <v>5128</v>
      </c>
      <c r="N304" s="2" t="s">
        <v>5325</v>
      </c>
      <c r="O304" s="2" t="s">
        <v>5362</v>
      </c>
      <c r="P304" s="2" t="s">
        <v>6309</v>
      </c>
      <c r="Q304" s="2" t="s">
        <v>5091</v>
      </c>
      <c r="R304" s="2" t="s">
        <v>6310</v>
      </c>
      <c r="S304" s="2"/>
    </row>
    <row r="305" spans="1:19" x14ac:dyDescent="0.2">
      <c r="A305" s="2">
        <v>2111</v>
      </c>
      <c r="B305" s="6" t="s">
        <v>1913</v>
      </c>
      <c r="C305" s="2" t="s">
        <v>6311</v>
      </c>
      <c r="D305" s="2" t="s">
        <v>6312</v>
      </c>
      <c r="E305" s="2" t="s">
        <v>1916</v>
      </c>
      <c r="F305" s="2" t="s">
        <v>1916</v>
      </c>
      <c r="G305" s="2" t="s">
        <v>1917</v>
      </c>
      <c r="H305" s="2" t="s">
        <v>393</v>
      </c>
      <c r="I305" s="2" t="s">
        <v>1164</v>
      </c>
      <c r="J305" s="2"/>
      <c r="K305" s="2" t="s">
        <v>26</v>
      </c>
      <c r="L305" s="2" t="s">
        <v>5078</v>
      </c>
      <c r="M305" s="2" t="s">
        <v>5095</v>
      </c>
      <c r="N305" s="2" t="s">
        <v>5325</v>
      </c>
      <c r="O305" s="2" t="s">
        <v>5326</v>
      </c>
      <c r="P305" s="2" t="s">
        <v>6313</v>
      </c>
      <c r="Q305" s="2" t="s">
        <v>5487</v>
      </c>
      <c r="R305" s="2" t="s">
        <v>6314</v>
      </c>
      <c r="S305" s="2"/>
    </row>
    <row r="306" spans="1:19" x14ac:dyDescent="0.2">
      <c r="A306" s="2">
        <v>2112</v>
      </c>
      <c r="B306" s="6" t="s">
        <v>1921</v>
      </c>
      <c r="C306" s="2" t="s">
        <v>6315</v>
      </c>
      <c r="D306" s="2" t="s">
        <v>6316</v>
      </c>
      <c r="E306" s="2" t="s">
        <v>1924</v>
      </c>
      <c r="F306" s="2" t="s">
        <v>1924</v>
      </c>
      <c r="G306" s="2" t="s">
        <v>1924</v>
      </c>
      <c r="H306" s="2" t="s">
        <v>393</v>
      </c>
      <c r="I306" s="2" t="s">
        <v>1164</v>
      </c>
      <c r="J306" s="2"/>
      <c r="K306" s="2" t="s">
        <v>26</v>
      </c>
      <c r="L306" s="2" t="s">
        <v>5078</v>
      </c>
      <c r="M306" s="2" t="s">
        <v>6317</v>
      </c>
      <c r="N306" s="2" t="s">
        <v>5325</v>
      </c>
      <c r="O306" s="2" t="s">
        <v>6047</v>
      </c>
      <c r="P306" s="2" t="s">
        <v>6318</v>
      </c>
      <c r="Q306" s="2" t="s">
        <v>5091</v>
      </c>
      <c r="R306" s="2" t="s">
        <v>6319</v>
      </c>
      <c r="S306" s="2"/>
    </row>
    <row r="307" spans="1:19" x14ac:dyDescent="0.2">
      <c r="A307" s="2">
        <v>2113</v>
      </c>
      <c r="B307" s="6" t="s">
        <v>1929</v>
      </c>
      <c r="C307" s="2" t="s">
        <v>6320</v>
      </c>
      <c r="D307" s="2" t="s">
        <v>6321</v>
      </c>
      <c r="E307" s="2" t="s">
        <v>216</v>
      </c>
      <c r="F307" s="2" t="s">
        <v>1932</v>
      </c>
      <c r="G307" s="2" t="s">
        <v>1932</v>
      </c>
      <c r="H307" s="2" t="s">
        <v>393</v>
      </c>
      <c r="I307" s="2" t="s">
        <v>1164</v>
      </c>
      <c r="J307" s="2"/>
      <c r="K307" s="2" t="s">
        <v>26</v>
      </c>
      <c r="L307" s="2" t="s">
        <v>5078</v>
      </c>
      <c r="M307" s="2" t="s">
        <v>6322</v>
      </c>
      <c r="N307" s="2" t="s">
        <v>5325</v>
      </c>
      <c r="O307" s="2" t="s">
        <v>5330</v>
      </c>
      <c r="P307" s="2" t="s">
        <v>6323</v>
      </c>
      <c r="Q307" s="2" t="s">
        <v>5091</v>
      </c>
      <c r="R307" s="2" t="s">
        <v>6324</v>
      </c>
      <c r="S307" s="2"/>
    </row>
    <row r="308" spans="1:19" x14ac:dyDescent="0.2">
      <c r="A308" s="2">
        <v>14</v>
      </c>
      <c r="B308" s="6" t="s">
        <v>1937</v>
      </c>
      <c r="C308" s="2" t="s">
        <v>6325</v>
      </c>
      <c r="D308" s="2" t="s">
        <v>6326</v>
      </c>
      <c r="E308" s="2" t="s">
        <v>437</v>
      </c>
      <c r="F308" s="2" t="s">
        <v>1761</v>
      </c>
      <c r="G308" s="2" t="s">
        <v>1761</v>
      </c>
      <c r="H308" s="2" t="s">
        <v>1684</v>
      </c>
      <c r="I308" s="2" t="s">
        <v>6327</v>
      </c>
      <c r="J308" s="2"/>
      <c r="K308" s="2" t="s">
        <v>26</v>
      </c>
      <c r="L308" s="2" t="s">
        <v>5078</v>
      </c>
      <c r="M308" s="2" t="s">
        <v>5079</v>
      </c>
      <c r="N308" s="2" t="s">
        <v>5108</v>
      </c>
      <c r="O308" s="2" t="s">
        <v>5326</v>
      </c>
      <c r="P308" s="2" t="s">
        <v>6328</v>
      </c>
      <c r="Q308" s="2" t="s">
        <v>6329</v>
      </c>
      <c r="R308" s="2" t="s">
        <v>6330</v>
      </c>
      <c r="S308" s="2"/>
    </row>
    <row r="309" spans="1:19" x14ac:dyDescent="0.2">
      <c r="A309" s="2">
        <v>13</v>
      </c>
      <c r="B309" s="6" t="s">
        <v>1944</v>
      </c>
      <c r="C309" s="2" t="s">
        <v>6331</v>
      </c>
      <c r="D309" s="2" t="s">
        <v>6332</v>
      </c>
      <c r="E309" s="2" t="s">
        <v>437</v>
      </c>
      <c r="F309" s="2" t="s">
        <v>1761</v>
      </c>
      <c r="G309" s="2" t="s">
        <v>1761</v>
      </c>
      <c r="H309" s="2" t="s">
        <v>1684</v>
      </c>
      <c r="I309" s="2" t="s">
        <v>6333</v>
      </c>
      <c r="J309" s="2"/>
      <c r="K309" s="2" t="s">
        <v>26</v>
      </c>
      <c r="L309" s="2" t="s">
        <v>5078</v>
      </c>
      <c r="M309" s="2" t="s">
        <v>5352</v>
      </c>
      <c r="N309" s="2" t="s">
        <v>5108</v>
      </c>
      <c r="O309" s="2" t="s">
        <v>5081</v>
      </c>
      <c r="P309" s="2" t="s">
        <v>6334</v>
      </c>
      <c r="Q309" s="2" t="s">
        <v>6335</v>
      </c>
      <c r="R309" s="2" t="s">
        <v>6336</v>
      </c>
      <c r="S309" s="2" t="s">
        <v>6337</v>
      </c>
    </row>
    <row r="310" spans="1:19" x14ac:dyDescent="0.2">
      <c r="A310" s="2">
        <v>422</v>
      </c>
      <c r="B310" s="6" t="s">
        <v>1952</v>
      </c>
      <c r="C310" s="2" t="s">
        <v>6338</v>
      </c>
      <c r="D310" s="2" t="s">
        <v>6339</v>
      </c>
      <c r="E310" s="2" t="s">
        <v>1955</v>
      </c>
      <c r="F310" s="2"/>
      <c r="G310" s="2"/>
      <c r="H310" s="2" t="s">
        <v>393</v>
      </c>
      <c r="I310" s="2" t="s">
        <v>1956</v>
      </c>
      <c r="J310" s="2"/>
      <c r="K310" s="2" t="s">
        <v>26</v>
      </c>
      <c r="L310" s="2" t="s">
        <v>5078</v>
      </c>
      <c r="M310" s="2" t="s">
        <v>6340</v>
      </c>
      <c r="N310" s="2" t="s">
        <v>5325</v>
      </c>
      <c r="O310" s="2" t="s">
        <v>5335</v>
      </c>
      <c r="P310" s="2" t="s">
        <v>6341</v>
      </c>
      <c r="Q310" s="2" t="s">
        <v>6342</v>
      </c>
      <c r="R310" s="2" t="s">
        <v>5676</v>
      </c>
      <c r="S310" s="2" t="s">
        <v>6135</v>
      </c>
    </row>
    <row r="311" spans="1:19" x14ac:dyDescent="0.2">
      <c r="A311" s="2">
        <v>2215</v>
      </c>
      <c r="B311" s="6" t="s">
        <v>1960</v>
      </c>
      <c r="C311" s="2" t="s">
        <v>6343</v>
      </c>
      <c r="D311" s="2" t="s">
        <v>6344</v>
      </c>
      <c r="E311" s="2" t="s">
        <v>200</v>
      </c>
      <c r="F311" s="2" t="s">
        <v>200</v>
      </c>
      <c r="G311" s="2" t="s">
        <v>200</v>
      </c>
      <c r="H311" s="2" t="s">
        <v>393</v>
      </c>
      <c r="I311" s="2" t="s">
        <v>1258</v>
      </c>
      <c r="J311" s="2"/>
      <c r="K311" s="2" t="s">
        <v>26</v>
      </c>
      <c r="L311" s="2" t="s">
        <v>5078</v>
      </c>
      <c r="M311" s="2" t="s">
        <v>5079</v>
      </c>
      <c r="N311" s="2" t="s">
        <v>5325</v>
      </c>
      <c r="O311" s="2" t="s">
        <v>5081</v>
      </c>
      <c r="P311" s="2" t="s">
        <v>6345</v>
      </c>
      <c r="Q311" s="2"/>
      <c r="R311" s="2" t="s">
        <v>5079</v>
      </c>
      <c r="S311" s="2" t="s">
        <v>5281</v>
      </c>
    </row>
    <row r="312" spans="1:19" x14ac:dyDescent="0.2">
      <c r="A312" s="2">
        <v>2185</v>
      </c>
      <c r="B312" s="6" t="s">
        <v>1964</v>
      </c>
      <c r="C312" s="2" t="s">
        <v>6346</v>
      </c>
      <c r="D312" s="2" t="s">
        <v>6347</v>
      </c>
      <c r="E312" s="2" t="s">
        <v>327</v>
      </c>
      <c r="F312" s="2"/>
      <c r="G312" s="2"/>
      <c r="H312" s="2" t="s">
        <v>393</v>
      </c>
      <c r="I312" s="2" t="s">
        <v>1297</v>
      </c>
      <c r="J312" s="2"/>
      <c r="K312" s="2" t="s">
        <v>1011</v>
      </c>
      <c r="L312" s="2" t="s">
        <v>5709</v>
      </c>
      <c r="M312" s="2" t="s">
        <v>6348</v>
      </c>
      <c r="N312" s="2" t="s">
        <v>5325</v>
      </c>
      <c r="O312" s="2" t="s">
        <v>5335</v>
      </c>
      <c r="P312" s="2" t="s">
        <v>6349</v>
      </c>
      <c r="Q312" s="2" t="s">
        <v>5091</v>
      </c>
      <c r="R312" s="2" t="s">
        <v>6350</v>
      </c>
      <c r="S312" s="2"/>
    </row>
    <row r="313" spans="1:19" x14ac:dyDescent="0.2">
      <c r="A313" s="2">
        <v>2186</v>
      </c>
      <c r="B313" s="6" t="s">
        <v>1970</v>
      </c>
      <c r="C313" s="2" t="s">
        <v>6351</v>
      </c>
      <c r="D313" s="2" t="s">
        <v>6352</v>
      </c>
      <c r="E313" s="2" t="s">
        <v>22</v>
      </c>
      <c r="F313" s="2"/>
      <c r="G313" s="2"/>
      <c r="H313" s="2" t="s">
        <v>393</v>
      </c>
      <c r="I313" s="2" t="s">
        <v>1315</v>
      </c>
      <c r="J313" s="2" t="s">
        <v>6353</v>
      </c>
      <c r="K313" s="2" t="s">
        <v>26</v>
      </c>
      <c r="L313" s="2" t="s">
        <v>5078</v>
      </c>
      <c r="M313" s="2" t="s">
        <v>5193</v>
      </c>
      <c r="N313" s="2" t="s">
        <v>5325</v>
      </c>
      <c r="O313" s="2" t="s">
        <v>5330</v>
      </c>
      <c r="P313" s="2" t="s">
        <v>6354</v>
      </c>
      <c r="Q313" s="2" t="s">
        <v>6355</v>
      </c>
      <c r="R313" s="2" t="s">
        <v>5193</v>
      </c>
      <c r="S313" s="2" t="s">
        <v>5281</v>
      </c>
    </row>
    <row r="314" spans="1:19" x14ac:dyDescent="0.2">
      <c r="A314" s="2">
        <v>2188</v>
      </c>
      <c r="B314" s="6" t="s">
        <v>1976</v>
      </c>
      <c r="C314" s="2" t="s">
        <v>6356</v>
      </c>
      <c r="D314" s="2" t="s">
        <v>6357</v>
      </c>
      <c r="E314" s="2" t="s">
        <v>192</v>
      </c>
      <c r="F314" s="2" t="s">
        <v>625</v>
      </c>
      <c r="G314" s="2" t="s">
        <v>101</v>
      </c>
      <c r="H314" s="2" t="s">
        <v>393</v>
      </c>
      <c r="I314" s="2" t="s">
        <v>1315</v>
      </c>
      <c r="J314" s="2" t="s">
        <v>1324</v>
      </c>
      <c r="K314" s="2" t="s">
        <v>26</v>
      </c>
      <c r="L314" s="2" t="s">
        <v>5078</v>
      </c>
      <c r="M314" s="2" t="s">
        <v>6358</v>
      </c>
      <c r="N314" s="2" t="s">
        <v>5325</v>
      </c>
      <c r="O314" s="2" t="s">
        <v>5362</v>
      </c>
      <c r="P314" s="2" t="s">
        <v>6359</v>
      </c>
      <c r="Q314" s="2" t="s">
        <v>6360</v>
      </c>
      <c r="R314" s="2" t="s">
        <v>6361</v>
      </c>
      <c r="S314" s="2"/>
    </row>
    <row r="315" spans="1:19" x14ac:dyDescent="0.2">
      <c r="A315" s="2">
        <v>2195</v>
      </c>
      <c r="B315" s="6" t="s">
        <v>1983</v>
      </c>
      <c r="C315" s="2" t="s">
        <v>6362</v>
      </c>
      <c r="D315" s="2" t="s">
        <v>6363</v>
      </c>
      <c r="E315" s="2" t="s">
        <v>199</v>
      </c>
      <c r="F315" s="2" t="s">
        <v>650</v>
      </c>
      <c r="G315" s="2" t="s">
        <v>199</v>
      </c>
      <c r="H315" s="2" t="s">
        <v>393</v>
      </c>
      <c r="I315" s="2" t="s">
        <v>1315</v>
      </c>
      <c r="J315" s="2" t="s">
        <v>135</v>
      </c>
      <c r="K315" s="2" t="s">
        <v>26</v>
      </c>
      <c r="L315" s="2" t="s">
        <v>5078</v>
      </c>
      <c r="M315" s="2" t="s">
        <v>5095</v>
      </c>
      <c r="N315" s="2" t="s">
        <v>5325</v>
      </c>
      <c r="O315" s="2" t="s">
        <v>5335</v>
      </c>
      <c r="P315" s="2" t="s">
        <v>6364</v>
      </c>
      <c r="Q315" s="2" t="s">
        <v>5469</v>
      </c>
      <c r="R315" s="2" t="s">
        <v>6365</v>
      </c>
      <c r="S315" s="2" t="s">
        <v>5471</v>
      </c>
    </row>
    <row r="316" spans="1:19" x14ac:dyDescent="0.2">
      <c r="A316" s="2">
        <v>2196</v>
      </c>
      <c r="B316" s="6" t="s">
        <v>1988</v>
      </c>
      <c r="C316" s="2" t="s">
        <v>6366</v>
      </c>
      <c r="D316" s="2" t="s">
        <v>6367</v>
      </c>
      <c r="E316" s="2" t="s">
        <v>199</v>
      </c>
      <c r="F316" s="2" t="s">
        <v>199</v>
      </c>
      <c r="G316" s="2" t="s">
        <v>199</v>
      </c>
      <c r="H316" s="2" t="s">
        <v>393</v>
      </c>
      <c r="I316" s="2" t="s">
        <v>1315</v>
      </c>
      <c r="J316" s="2"/>
      <c r="K316" s="2" t="s">
        <v>1011</v>
      </c>
      <c r="L316" s="2" t="s">
        <v>5709</v>
      </c>
      <c r="M316" s="2" t="s">
        <v>5095</v>
      </c>
      <c r="N316" s="2" t="s">
        <v>5325</v>
      </c>
      <c r="O316" s="2" t="s">
        <v>5335</v>
      </c>
      <c r="P316" s="2" t="s">
        <v>6368</v>
      </c>
      <c r="Q316" s="2" t="s">
        <v>5469</v>
      </c>
      <c r="R316" s="2" t="s">
        <v>6369</v>
      </c>
      <c r="S316" s="2" t="s">
        <v>5471</v>
      </c>
    </row>
    <row r="317" spans="1:19" x14ac:dyDescent="0.2">
      <c r="A317" s="2">
        <v>1256</v>
      </c>
      <c r="B317" s="6" t="s">
        <v>1994</v>
      </c>
      <c r="C317" s="2" t="s">
        <v>6370</v>
      </c>
      <c r="D317" s="2" t="s">
        <v>6371</v>
      </c>
      <c r="E317" s="2" t="s">
        <v>1997</v>
      </c>
      <c r="F317" s="17">
        <v>45295</v>
      </c>
      <c r="G317" s="17">
        <v>45305</v>
      </c>
      <c r="H317" s="2" t="s">
        <v>135</v>
      </c>
      <c r="I317" s="2" t="s">
        <v>135</v>
      </c>
      <c r="J317" s="2"/>
      <c r="K317" s="2" t="s">
        <v>26</v>
      </c>
      <c r="L317" s="2" t="s">
        <v>5078</v>
      </c>
      <c r="M317" s="2" t="s">
        <v>6372</v>
      </c>
      <c r="N317" s="2" t="s">
        <v>5108</v>
      </c>
      <c r="O317" s="2" t="s">
        <v>5691</v>
      </c>
      <c r="P317" s="2" t="s">
        <v>6373</v>
      </c>
      <c r="Q317" s="2" t="s">
        <v>5091</v>
      </c>
      <c r="R317" s="2" t="s">
        <v>5079</v>
      </c>
      <c r="S317" s="2"/>
    </row>
    <row r="318" spans="1:19" x14ac:dyDescent="0.2">
      <c r="A318" s="2">
        <v>291</v>
      </c>
      <c r="B318" s="6" t="s">
        <v>2000</v>
      </c>
      <c r="C318" s="2" t="s">
        <v>6374</v>
      </c>
      <c r="D318" s="2" t="s">
        <v>6375</v>
      </c>
      <c r="E318" s="2" t="s">
        <v>2003</v>
      </c>
      <c r="F318" s="2"/>
      <c r="G318" s="2"/>
      <c r="H318" s="2" t="s">
        <v>135</v>
      </c>
      <c r="I318" s="2" t="s">
        <v>6376</v>
      </c>
      <c r="J318" s="2"/>
      <c r="K318" s="2" t="s">
        <v>26</v>
      </c>
      <c r="L318" s="2" t="s">
        <v>5078</v>
      </c>
      <c r="M318" s="2" t="s">
        <v>5079</v>
      </c>
      <c r="N318" s="2" t="s">
        <v>5108</v>
      </c>
      <c r="O318" s="2" t="s">
        <v>6377</v>
      </c>
      <c r="P318" s="2" t="s">
        <v>6378</v>
      </c>
      <c r="Q318" s="2" t="s">
        <v>5091</v>
      </c>
      <c r="R318" s="2" t="s">
        <v>6379</v>
      </c>
      <c r="S318" s="2"/>
    </row>
    <row r="319" spans="1:19" x14ac:dyDescent="0.2">
      <c r="A319" s="2">
        <v>2224</v>
      </c>
      <c r="B319" s="6" t="s">
        <v>2008</v>
      </c>
      <c r="C319" s="2" t="s">
        <v>6380</v>
      </c>
      <c r="D319" s="2" t="s">
        <v>6381</v>
      </c>
      <c r="E319" s="2" t="s">
        <v>2011</v>
      </c>
      <c r="F319" s="2"/>
      <c r="G319" s="2"/>
      <c r="H319" s="2" t="s">
        <v>393</v>
      </c>
      <c r="I319" s="2" t="s">
        <v>1258</v>
      </c>
      <c r="J319" s="2"/>
      <c r="K319" s="2" t="s">
        <v>412</v>
      </c>
      <c r="L319" s="2" t="s">
        <v>5334</v>
      </c>
      <c r="M319" s="2" t="s">
        <v>5079</v>
      </c>
      <c r="N319" s="2" t="s">
        <v>5325</v>
      </c>
      <c r="O319" s="2" t="s">
        <v>5330</v>
      </c>
      <c r="P319" s="2" t="s">
        <v>6382</v>
      </c>
      <c r="Q319" s="2" t="s">
        <v>5091</v>
      </c>
      <c r="R319" s="2" t="s">
        <v>5079</v>
      </c>
      <c r="S319" s="2"/>
    </row>
    <row r="320" spans="1:19" x14ac:dyDescent="0.2">
      <c r="A320" s="2">
        <v>2049</v>
      </c>
      <c r="B320" s="6" t="s">
        <v>2013</v>
      </c>
      <c r="C320" s="2" t="s">
        <v>6383</v>
      </c>
      <c r="D320" s="2" t="s">
        <v>6384</v>
      </c>
      <c r="E320" s="2" t="s">
        <v>2016</v>
      </c>
      <c r="F320" s="2"/>
      <c r="G320" s="2"/>
      <c r="H320" s="2" t="s">
        <v>5291</v>
      </c>
      <c r="I320" s="2" t="s">
        <v>6385</v>
      </c>
      <c r="J320" s="2"/>
      <c r="K320" s="2" t="s">
        <v>39</v>
      </c>
      <c r="L320" s="2" t="s">
        <v>5087</v>
      </c>
      <c r="M320" s="2" t="s">
        <v>5193</v>
      </c>
      <c r="N320" s="2" t="s">
        <v>6386</v>
      </c>
      <c r="O320" s="2" t="s">
        <v>5081</v>
      </c>
      <c r="P320" s="2" t="s">
        <v>6387</v>
      </c>
      <c r="Q320" s="2" t="s">
        <v>5341</v>
      </c>
      <c r="R320" s="2" t="s">
        <v>5193</v>
      </c>
      <c r="S320" s="2" t="s">
        <v>5995</v>
      </c>
    </row>
    <row r="321" spans="1:19" x14ac:dyDescent="0.2">
      <c r="A321" s="2">
        <v>1033</v>
      </c>
      <c r="B321" s="6" t="s">
        <v>2020</v>
      </c>
      <c r="C321" s="2" t="s">
        <v>6388</v>
      </c>
      <c r="D321" s="2" t="s">
        <v>6389</v>
      </c>
      <c r="E321" s="2" t="s">
        <v>2023</v>
      </c>
      <c r="F321" s="2" t="s">
        <v>2024</v>
      </c>
      <c r="G321" s="2"/>
      <c r="H321" s="2" t="s">
        <v>393</v>
      </c>
      <c r="I321" s="2" t="s">
        <v>2025</v>
      </c>
      <c r="J321" s="2" t="s">
        <v>1324</v>
      </c>
      <c r="K321" s="2" t="s">
        <v>26</v>
      </c>
      <c r="L321" s="2" t="s">
        <v>5078</v>
      </c>
      <c r="M321" s="2"/>
      <c r="N321" s="2" t="s">
        <v>5325</v>
      </c>
      <c r="O321" s="2" t="s">
        <v>5335</v>
      </c>
      <c r="P321" s="2" t="s">
        <v>6390</v>
      </c>
      <c r="Q321" s="2"/>
      <c r="R321" s="2"/>
      <c r="S321" s="2" t="s">
        <v>6391</v>
      </c>
    </row>
    <row r="322" spans="1:19" x14ac:dyDescent="0.2">
      <c r="A322" s="2">
        <v>1421</v>
      </c>
      <c r="B322" s="6" t="s">
        <v>2029</v>
      </c>
      <c r="C322" s="2" t="s">
        <v>6392</v>
      </c>
      <c r="D322" s="2" t="s">
        <v>6393</v>
      </c>
      <c r="E322" s="2" t="s">
        <v>778</v>
      </c>
      <c r="F322" s="2"/>
      <c r="G322" s="2"/>
      <c r="H322" s="2" t="s">
        <v>393</v>
      </c>
      <c r="I322" s="2" t="s">
        <v>6394</v>
      </c>
      <c r="J322" s="2" t="s">
        <v>2033</v>
      </c>
      <c r="K322" s="2" t="s">
        <v>26</v>
      </c>
      <c r="L322" s="2" t="s">
        <v>5078</v>
      </c>
      <c r="M322" s="2"/>
      <c r="N322" s="2" t="s">
        <v>5325</v>
      </c>
      <c r="O322" s="2" t="s">
        <v>5335</v>
      </c>
      <c r="P322" s="2" t="s">
        <v>6395</v>
      </c>
      <c r="Q322" s="2" t="s">
        <v>6396</v>
      </c>
      <c r="R322" s="2"/>
      <c r="S322" s="2"/>
    </row>
    <row r="323" spans="1:19" x14ac:dyDescent="0.2">
      <c r="A323" s="2">
        <v>578</v>
      </c>
      <c r="B323" s="6" t="s">
        <v>2037</v>
      </c>
      <c r="C323" s="2" t="s">
        <v>6397</v>
      </c>
      <c r="D323" s="2" t="s">
        <v>6398</v>
      </c>
      <c r="E323" s="2" t="s">
        <v>902</v>
      </c>
      <c r="F323" s="2"/>
      <c r="G323" s="2"/>
      <c r="H323" s="2" t="s">
        <v>393</v>
      </c>
      <c r="I323" s="2" t="s">
        <v>453</v>
      </c>
      <c r="J323" s="2"/>
      <c r="K323" s="2" t="s">
        <v>426</v>
      </c>
      <c r="L323" s="2" t="s">
        <v>5345</v>
      </c>
      <c r="M323" s="2" t="s">
        <v>5107</v>
      </c>
      <c r="N323" s="2" t="s">
        <v>5325</v>
      </c>
      <c r="O323" s="2" t="s">
        <v>5330</v>
      </c>
      <c r="P323" s="2" t="s">
        <v>6399</v>
      </c>
      <c r="Q323" s="2" t="s">
        <v>5091</v>
      </c>
      <c r="R323" s="2" t="s">
        <v>5107</v>
      </c>
      <c r="S323" s="2"/>
    </row>
    <row r="324" spans="1:19" x14ac:dyDescent="0.2">
      <c r="A324" s="2">
        <v>579</v>
      </c>
      <c r="B324" s="6" t="s">
        <v>2041</v>
      </c>
      <c r="C324" s="2" t="s">
        <v>6400</v>
      </c>
      <c r="D324" s="2" t="s">
        <v>6401</v>
      </c>
      <c r="E324" s="2" t="s">
        <v>902</v>
      </c>
      <c r="F324" s="2" t="s">
        <v>788</v>
      </c>
      <c r="G324" s="2" t="s">
        <v>1280</v>
      </c>
      <c r="H324" s="2" t="s">
        <v>393</v>
      </c>
      <c r="I324" s="2" t="s">
        <v>453</v>
      </c>
      <c r="J324" s="2"/>
      <c r="K324" s="2" t="s">
        <v>426</v>
      </c>
      <c r="L324" s="2" t="s">
        <v>5345</v>
      </c>
      <c r="M324" s="2" t="s">
        <v>5107</v>
      </c>
      <c r="N324" s="2" t="s">
        <v>5325</v>
      </c>
      <c r="O324" s="2" t="s">
        <v>5330</v>
      </c>
      <c r="P324" s="2" t="s">
        <v>6402</v>
      </c>
      <c r="Q324" s="2" t="s">
        <v>5091</v>
      </c>
      <c r="R324" s="2" t="s">
        <v>5107</v>
      </c>
      <c r="S324" s="2"/>
    </row>
    <row r="325" spans="1:19" x14ac:dyDescent="0.2">
      <c r="A325" s="2">
        <v>580</v>
      </c>
      <c r="B325" s="6" t="s">
        <v>2045</v>
      </c>
      <c r="C325" s="2" t="s">
        <v>6403</v>
      </c>
      <c r="D325" s="2" t="s">
        <v>6404</v>
      </c>
      <c r="E325" s="2" t="s">
        <v>902</v>
      </c>
      <c r="F325" s="2" t="s">
        <v>902</v>
      </c>
      <c r="G325" s="2" t="s">
        <v>902</v>
      </c>
      <c r="H325" s="2" t="s">
        <v>393</v>
      </c>
      <c r="I325" s="2" t="s">
        <v>453</v>
      </c>
      <c r="J325" s="2"/>
      <c r="K325" s="2" t="s">
        <v>426</v>
      </c>
      <c r="L325" s="2" t="s">
        <v>5345</v>
      </c>
      <c r="M325" s="2" t="s">
        <v>5324</v>
      </c>
      <c r="N325" s="2" t="s">
        <v>5325</v>
      </c>
      <c r="O325" s="2" t="s">
        <v>5330</v>
      </c>
      <c r="P325" s="2" t="s">
        <v>6405</v>
      </c>
      <c r="Q325" s="2" t="s">
        <v>5091</v>
      </c>
      <c r="R325" s="2" t="s">
        <v>5324</v>
      </c>
      <c r="S325" s="2"/>
    </row>
    <row r="326" spans="1:19" x14ac:dyDescent="0.2">
      <c r="A326" s="2">
        <v>583</v>
      </c>
      <c r="B326" s="6" t="s">
        <v>2049</v>
      </c>
      <c r="C326" s="2" t="s">
        <v>6406</v>
      </c>
      <c r="D326" s="2" t="s">
        <v>6407</v>
      </c>
      <c r="E326" s="2" t="s">
        <v>2052</v>
      </c>
      <c r="F326" s="2"/>
      <c r="G326" s="2"/>
      <c r="H326" s="2" t="s">
        <v>393</v>
      </c>
      <c r="I326" s="2" t="s">
        <v>453</v>
      </c>
      <c r="J326" s="2"/>
      <c r="K326" s="2" t="s">
        <v>426</v>
      </c>
      <c r="L326" s="2" t="s">
        <v>5345</v>
      </c>
      <c r="M326" s="2" t="s">
        <v>6408</v>
      </c>
      <c r="N326" s="2" t="s">
        <v>5325</v>
      </c>
      <c r="O326" s="2" t="s">
        <v>5330</v>
      </c>
      <c r="P326" s="2" t="s">
        <v>6409</v>
      </c>
      <c r="Q326" s="2" t="s">
        <v>5091</v>
      </c>
      <c r="R326" s="2" t="s">
        <v>5128</v>
      </c>
      <c r="S326" s="2"/>
    </row>
    <row r="327" spans="1:19" x14ac:dyDescent="0.2">
      <c r="A327" s="2">
        <v>830</v>
      </c>
      <c r="B327" s="6" t="s">
        <v>2054</v>
      </c>
      <c r="C327" s="2" t="s">
        <v>6410</v>
      </c>
      <c r="D327" s="2" t="s">
        <v>6411</v>
      </c>
      <c r="E327" s="2" t="s">
        <v>1521</v>
      </c>
      <c r="F327" s="2" t="s">
        <v>1332</v>
      </c>
      <c r="G327" s="2" t="s">
        <v>1521</v>
      </c>
      <c r="H327" s="2" t="s">
        <v>393</v>
      </c>
      <c r="I327" s="2" t="s">
        <v>453</v>
      </c>
      <c r="J327" s="2"/>
      <c r="K327" s="2" t="s">
        <v>493</v>
      </c>
      <c r="L327" s="2" t="s">
        <v>5387</v>
      </c>
      <c r="M327" s="2" t="s">
        <v>5079</v>
      </c>
      <c r="N327" s="2" t="s">
        <v>5325</v>
      </c>
      <c r="O327" s="2" t="s">
        <v>5335</v>
      </c>
      <c r="P327" s="2" t="s">
        <v>6412</v>
      </c>
      <c r="Q327" s="2" t="s">
        <v>5091</v>
      </c>
      <c r="R327" s="2" t="s">
        <v>5079</v>
      </c>
      <c r="S327" s="2"/>
    </row>
    <row r="328" spans="1:19" x14ac:dyDescent="0.2">
      <c r="A328" s="2">
        <v>831</v>
      </c>
      <c r="B328" s="6" t="s">
        <v>2058</v>
      </c>
      <c r="C328" s="2" t="s">
        <v>6413</v>
      </c>
      <c r="D328" s="2" t="s">
        <v>6414</v>
      </c>
      <c r="E328" s="2" t="s">
        <v>2061</v>
      </c>
      <c r="F328" s="2"/>
      <c r="G328" s="2"/>
      <c r="H328" s="2" t="s">
        <v>393</v>
      </c>
      <c r="I328" s="2" t="s">
        <v>453</v>
      </c>
      <c r="J328" s="2"/>
      <c r="K328" s="2" t="s">
        <v>26</v>
      </c>
      <c r="L328" s="2" t="s">
        <v>5078</v>
      </c>
      <c r="M328" s="2" t="s">
        <v>5352</v>
      </c>
      <c r="N328" s="2" t="s">
        <v>5325</v>
      </c>
      <c r="O328" s="2" t="s">
        <v>5362</v>
      </c>
      <c r="P328" s="2" t="s">
        <v>6415</v>
      </c>
      <c r="Q328" s="2" t="s">
        <v>5091</v>
      </c>
      <c r="R328" s="2" t="s">
        <v>5352</v>
      </c>
      <c r="S328" s="2"/>
    </row>
    <row r="329" spans="1:19" x14ac:dyDescent="0.2">
      <c r="A329" s="2">
        <v>832</v>
      </c>
      <c r="B329" s="6" t="s">
        <v>2063</v>
      </c>
      <c r="C329" s="2" t="s">
        <v>6416</v>
      </c>
      <c r="D329" s="2" t="s">
        <v>6417</v>
      </c>
      <c r="E329" s="2" t="s">
        <v>2061</v>
      </c>
      <c r="F329" s="2"/>
      <c r="G329" s="2"/>
      <c r="H329" s="2" t="s">
        <v>393</v>
      </c>
      <c r="I329" s="2" t="s">
        <v>453</v>
      </c>
      <c r="J329" s="2"/>
      <c r="K329" s="2" t="s">
        <v>26</v>
      </c>
      <c r="L329" s="2" t="s">
        <v>5078</v>
      </c>
      <c r="M329" s="2" t="s">
        <v>5107</v>
      </c>
      <c r="N329" s="2" t="s">
        <v>5325</v>
      </c>
      <c r="O329" s="2" t="s">
        <v>5362</v>
      </c>
      <c r="P329" s="2" t="s">
        <v>6418</v>
      </c>
      <c r="Q329" s="2" t="s">
        <v>5091</v>
      </c>
      <c r="R329" s="2" t="s">
        <v>5107</v>
      </c>
      <c r="S329" s="2"/>
    </row>
    <row r="330" spans="1:19" x14ac:dyDescent="0.2">
      <c r="A330" s="2">
        <v>833</v>
      </c>
      <c r="B330" s="6" t="s">
        <v>2067</v>
      </c>
      <c r="C330" s="2" t="s">
        <v>6419</v>
      </c>
      <c r="D330" s="2" t="s">
        <v>6420</v>
      </c>
      <c r="E330" s="2" t="s">
        <v>2061</v>
      </c>
      <c r="F330" s="2"/>
      <c r="G330" s="2"/>
      <c r="H330" s="2" t="s">
        <v>393</v>
      </c>
      <c r="I330" s="2" t="s">
        <v>453</v>
      </c>
      <c r="J330" s="2"/>
      <c r="K330" s="2" t="s">
        <v>426</v>
      </c>
      <c r="L330" s="2" t="s">
        <v>5345</v>
      </c>
      <c r="M330" s="2" t="s">
        <v>5352</v>
      </c>
      <c r="N330" s="2" t="s">
        <v>5325</v>
      </c>
      <c r="O330" s="2" t="s">
        <v>5330</v>
      </c>
      <c r="P330" s="2" t="s">
        <v>6421</v>
      </c>
      <c r="Q330" s="2" t="s">
        <v>5091</v>
      </c>
      <c r="R330" s="2" t="s">
        <v>5352</v>
      </c>
      <c r="S330" s="2"/>
    </row>
    <row r="331" spans="1:19" x14ac:dyDescent="0.2">
      <c r="A331" s="2">
        <v>834</v>
      </c>
      <c r="B331" s="6" t="s">
        <v>2071</v>
      </c>
      <c r="C331" s="2" t="s">
        <v>6422</v>
      </c>
      <c r="D331" s="2" t="s">
        <v>6423</v>
      </c>
      <c r="E331" s="2" t="s">
        <v>2061</v>
      </c>
      <c r="F331" s="2"/>
      <c r="G331" s="2"/>
      <c r="H331" s="2" t="s">
        <v>393</v>
      </c>
      <c r="I331" s="2" t="s">
        <v>453</v>
      </c>
      <c r="J331" s="2"/>
      <c r="K331" s="2" t="s">
        <v>26</v>
      </c>
      <c r="L331" s="2" t="s">
        <v>5078</v>
      </c>
      <c r="M331" s="2" t="s">
        <v>5324</v>
      </c>
      <c r="N331" s="2" t="s">
        <v>5325</v>
      </c>
      <c r="O331" s="2" t="s">
        <v>5362</v>
      </c>
      <c r="P331" s="2" t="s">
        <v>6424</v>
      </c>
      <c r="Q331" s="2" t="s">
        <v>5091</v>
      </c>
      <c r="R331" s="2" t="s">
        <v>5324</v>
      </c>
      <c r="S331" s="2"/>
    </row>
    <row r="332" spans="1:19" x14ac:dyDescent="0.2">
      <c r="A332" s="2">
        <v>835</v>
      </c>
      <c r="B332" s="6" t="s">
        <v>2076</v>
      </c>
      <c r="C332" s="2" t="s">
        <v>6425</v>
      </c>
      <c r="D332" s="2" t="s">
        <v>6426</v>
      </c>
      <c r="E332" s="2" t="s">
        <v>2061</v>
      </c>
      <c r="F332" s="2"/>
      <c r="G332" s="2"/>
      <c r="H332" s="2" t="s">
        <v>393</v>
      </c>
      <c r="I332" s="2" t="s">
        <v>453</v>
      </c>
      <c r="J332" s="2"/>
      <c r="K332" s="2" t="s">
        <v>493</v>
      </c>
      <c r="L332" s="2" t="s">
        <v>5387</v>
      </c>
      <c r="M332" s="2" t="s">
        <v>5352</v>
      </c>
      <c r="N332" s="2" t="s">
        <v>5325</v>
      </c>
      <c r="O332" s="2" t="s">
        <v>5330</v>
      </c>
      <c r="P332" s="2" t="s">
        <v>6427</v>
      </c>
      <c r="Q332" s="2" t="s">
        <v>5091</v>
      </c>
      <c r="R332" s="2" t="s">
        <v>5352</v>
      </c>
      <c r="S332" s="2"/>
    </row>
    <row r="333" spans="1:19" x14ac:dyDescent="0.2">
      <c r="A333" s="2">
        <v>793</v>
      </c>
      <c r="B333" s="6" t="s">
        <v>2080</v>
      </c>
      <c r="C333" s="2" t="s">
        <v>6428</v>
      </c>
      <c r="D333" s="2" t="s">
        <v>6429</v>
      </c>
      <c r="E333" s="2" t="s">
        <v>1761</v>
      </c>
      <c r="F333" s="2"/>
      <c r="G333" s="2"/>
      <c r="H333" s="2" t="s">
        <v>393</v>
      </c>
      <c r="I333" s="2" t="s">
        <v>453</v>
      </c>
      <c r="J333" s="2"/>
      <c r="K333" s="2" t="s">
        <v>426</v>
      </c>
      <c r="L333" s="2" t="s">
        <v>5345</v>
      </c>
      <c r="M333" s="2" t="s">
        <v>5079</v>
      </c>
      <c r="N333" s="2" t="s">
        <v>5325</v>
      </c>
      <c r="O333" s="2" t="s">
        <v>5691</v>
      </c>
      <c r="P333" s="2" t="s">
        <v>6430</v>
      </c>
      <c r="Q333" s="2" t="s">
        <v>5091</v>
      </c>
      <c r="R333" s="2" t="s">
        <v>5079</v>
      </c>
      <c r="S333" s="2"/>
    </row>
    <row r="334" spans="1:19" x14ac:dyDescent="0.2">
      <c r="A334" s="2">
        <v>794</v>
      </c>
      <c r="B334" s="6" t="s">
        <v>2084</v>
      </c>
      <c r="C334" s="2" t="s">
        <v>6431</v>
      </c>
      <c r="D334" s="2" t="s">
        <v>6432</v>
      </c>
      <c r="E334" s="2" t="s">
        <v>1761</v>
      </c>
      <c r="F334" s="2"/>
      <c r="G334" s="2"/>
      <c r="H334" s="2" t="s">
        <v>393</v>
      </c>
      <c r="I334" s="2" t="s">
        <v>453</v>
      </c>
      <c r="J334" s="2" t="s">
        <v>6433</v>
      </c>
      <c r="K334" s="2" t="s">
        <v>26</v>
      </c>
      <c r="L334" s="2" t="s">
        <v>5078</v>
      </c>
      <c r="M334" s="2" t="s">
        <v>6434</v>
      </c>
      <c r="N334" s="2" t="s">
        <v>5325</v>
      </c>
      <c r="O334" s="2" t="s">
        <v>5691</v>
      </c>
      <c r="P334" s="2" t="s">
        <v>6435</v>
      </c>
      <c r="Q334" s="2" t="s">
        <v>5091</v>
      </c>
      <c r="R334" s="2" t="s">
        <v>5352</v>
      </c>
      <c r="S334" s="2"/>
    </row>
    <row r="335" spans="1:19" x14ac:dyDescent="0.2">
      <c r="A335" s="2">
        <v>795</v>
      </c>
      <c r="B335" s="6" t="s">
        <v>2090</v>
      </c>
      <c r="C335" s="2" t="s">
        <v>6436</v>
      </c>
      <c r="D335" s="2" t="s">
        <v>6437</v>
      </c>
      <c r="E335" s="2" t="s">
        <v>437</v>
      </c>
      <c r="F335" s="2"/>
      <c r="G335" s="2"/>
      <c r="H335" s="2" t="s">
        <v>393</v>
      </c>
      <c r="I335" s="2" t="s">
        <v>453</v>
      </c>
      <c r="J335" s="2" t="s">
        <v>6083</v>
      </c>
      <c r="K335" s="2" t="s">
        <v>426</v>
      </c>
      <c r="L335" s="2" t="s">
        <v>5345</v>
      </c>
      <c r="M335" s="2" t="s">
        <v>5100</v>
      </c>
      <c r="N335" s="2" t="s">
        <v>5325</v>
      </c>
      <c r="O335" s="2" t="s">
        <v>5517</v>
      </c>
      <c r="P335" s="2" t="s">
        <v>6438</v>
      </c>
      <c r="Q335" s="2" t="s">
        <v>5091</v>
      </c>
      <c r="R335" s="2" t="s">
        <v>5100</v>
      </c>
      <c r="S335" s="2"/>
    </row>
    <row r="336" spans="1:19" x14ac:dyDescent="0.2">
      <c r="A336" s="2">
        <v>796</v>
      </c>
      <c r="B336" s="6" t="s">
        <v>2094</v>
      </c>
      <c r="C336" s="2" t="s">
        <v>6439</v>
      </c>
      <c r="D336" s="2" t="s">
        <v>6440</v>
      </c>
      <c r="E336" s="2" t="s">
        <v>431</v>
      </c>
      <c r="F336" s="2"/>
      <c r="G336" s="2"/>
      <c r="H336" s="2" t="s">
        <v>393</v>
      </c>
      <c r="I336" s="2" t="s">
        <v>453</v>
      </c>
      <c r="J336" s="2"/>
      <c r="K336" s="2" t="s">
        <v>26</v>
      </c>
      <c r="L336" s="2" t="s">
        <v>5078</v>
      </c>
      <c r="M336" s="2" t="s">
        <v>6441</v>
      </c>
      <c r="N336" s="2" t="s">
        <v>5325</v>
      </c>
      <c r="O336" s="2" t="s">
        <v>5517</v>
      </c>
      <c r="P336" s="2" t="s">
        <v>6442</v>
      </c>
      <c r="Q336" s="2" t="s">
        <v>5091</v>
      </c>
      <c r="R336" s="2" t="s">
        <v>6441</v>
      </c>
      <c r="S336" s="2"/>
    </row>
    <row r="337" spans="1:19" x14ac:dyDescent="0.2">
      <c r="A337" s="2">
        <v>797</v>
      </c>
      <c r="B337" s="6" t="s">
        <v>2099</v>
      </c>
      <c r="C337" s="2" t="s">
        <v>6443</v>
      </c>
      <c r="D337" s="2" t="s">
        <v>6444</v>
      </c>
      <c r="E337" s="2" t="s">
        <v>1565</v>
      </c>
      <c r="F337" s="2"/>
      <c r="G337" s="2"/>
      <c r="H337" s="2" t="s">
        <v>393</v>
      </c>
      <c r="I337" s="2" t="s">
        <v>453</v>
      </c>
      <c r="J337" s="2" t="s">
        <v>6433</v>
      </c>
      <c r="K337" s="2" t="s">
        <v>426</v>
      </c>
      <c r="L337" s="2" t="s">
        <v>5345</v>
      </c>
      <c r="M337" s="2" t="s">
        <v>5079</v>
      </c>
      <c r="N337" s="2" t="s">
        <v>5325</v>
      </c>
      <c r="O337" s="2" t="s">
        <v>5362</v>
      </c>
      <c r="P337" s="2" t="s">
        <v>6445</v>
      </c>
      <c r="Q337" s="2" t="s">
        <v>5091</v>
      </c>
      <c r="R337" s="2" t="s">
        <v>5079</v>
      </c>
      <c r="S337" s="2"/>
    </row>
    <row r="338" spans="1:19" x14ac:dyDescent="0.2">
      <c r="A338" s="2">
        <v>584</v>
      </c>
      <c r="B338" s="6" t="s">
        <v>2103</v>
      </c>
      <c r="C338" s="2" t="s">
        <v>6446</v>
      </c>
      <c r="D338" s="2" t="s">
        <v>6447</v>
      </c>
      <c r="E338" s="2" t="s">
        <v>2052</v>
      </c>
      <c r="F338" s="2"/>
      <c r="G338" s="2"/>
      <c r="H338" s="2" t="s">
        <v>393</v>
      </c>
      <c r="I338" s="2" t="s">
        <v>453</v>
      </c>
      <c r="J338" s="2"/>
      <c r="K338" s="2" t="s">
        <v>26</v>
      </c>
      <c r="L338" s="2" t="s">
        <v>5078</v>
      </c>
      <c r="M338" s="2" t="s">
        <v>5128</v>
      </c>
      <c r="N338" s="2" t="s">
        <v>5325</v>
      </c>
      <c r="O338" s="2" t="s">
        <v>5330</v>
      </c>
      <c r="P338" s="2" t="s">
        <v>6448</v>
      </c>
      <c r="Q338" s="2" t="s">
        <v>5091</v>
      </c>
      <c r="R338" s="2" t="s">
        <v>5128</v>
      </c>
      <c r="S338" s="2"/>
    </row>
    <row r="339" spans="1:19" x14ac:dyDescent="0.2">
      <c r="A339" s="2">
        <v>585</v>
      </c>
      <c r="B339" s="6" t="s">
        <v>2107</v>
      </c>
      <c r="C339" s="2" t="s">
        <v>6449</v>
      </c>
      <c r="D339" s="2" t="s">
        <v>6450</v>
      </c>
      <c r="E339" s="2" t="s">
        <v>2052</v>
      </c>
      <c r="F339" s="2"/>
      <c r="G339" s="2"/>
      <c r="H339" s="2" t="s">
        <v>393</v>
      </c>
      <c r="I339" s="2" t="s">
        <v>453</v>
      </c>
      <c r="J339" s="2"/>
      <c r="K339" s="2" t="s">
        <v>426</v>
      </c>
      <c r="L339" s="2" t="s">
        <v>5345</v>
      </c>
      <c r="M339" s="2" t="s">
        <v>5128</v>
      </c>
      <c r="N339" s="2" t="s">
        <v>5325</v>
      </c>
      <c r="O339" s="2" t="s">
        <v>5330</v>
      </c>
      <c r="P339" s="2" t="s">
        <v>6451</v>
      </c>
      <c r="Q339" s="2" t="s">
        <v>5091</v>
      </c>
      <c r="R339" s="2" t="s">
        <v>6452</v>
      </c>
      <c r="S339" s="2"/>
    </row>
    <row r="340" spans="1:19" x14ac:dyDescent="0.2">
      <c r="A340" s="2">
        <v>586</v>
      </c>
      <c r="B340" s="6" t="s">
        <v>2112</v>
      </c>
      <c r="C340" s="2" t="s">
        <v>6453</v>
      </c>
      <c r="D340" s="2" t="s">
        <v>6454</v>
      </c>
      <c r="E340" s="2" t="s">
        <v>2052</v>
      </c>
      <c r="F340" s="2"/>
      <c r="G340" s="2"/>
      <c r="H340" s="2" t="s">
        <v>393</v>
      </c>
      <c r="I340" s="2" t="s">
        <v>453</v>
      </c>
      <c r="J340" s="2"/>
      <c r="K340" s="2" t="s">
        <v>493</v>
      </c>
      <c r="L340" s="2" t="s">
        <v>5387</v>
      </c>
      <c r="M340" s="2" t="s">
        <v>5128</v>
      </c>
      <c r="N340" s="2" t="s">
        <v>5325</v>
      </c>
      <c r="O340" s="2" t="s">
        <v>5330</v>
      </c>
      <c r="P340" s="2" t="s">
        <v>6455</v>
      </c>
      <c r="Q340" s="2" t="s">
        <v>5091</v>
      </c>
      <c r="R340" s="2" t="s">
        <v>5128</v>
      </c>
      <c r="S340" s="2"/>
    </row>
    <row r="341" spans="1:19" x14ac:dyDescent="0.2">
      <c r="A341" s="2">
        <v>587</v>
      </c>
      <c r="B341" s="6" t="s">
        <v>2116</v>
      </c>
      <c r="C341" s="2" t="s">
        <v>6456</v>
      </c>
      <c r="D341" s="2" t="s">
        <v>6457</v>
      </c>
      <c r="E341" s="2" t="s">
        <v>2119</v>
      </c>
      <c r="F341" s="2"/>
      <c r="G341" s="2"/>
      <c r="H341" s="2" t="s">
        <v>393</v>
      </c>
      <c r="I341" s="2" t="s">
        <v>453</v>
      </c>
      <c r="J341" s="2"/>
      <c r="K341" s="2" t="s">
        <v>26</v>
      </c>
      <c r="L341" s="2" t="s">
        <v>5078</v>
      </c>
      <c r="M341" s="2" t="s">
        <v>5324</v>
      </c>
      <c r="N341" s="2" t="s">
        <v>5325</v>
      </c>
      <c r="O341" s="2" t="s">
        <v>6064</v>
      </c>
      <c r="P341" s="2" t="s">
        <v>6458</v>
      </c>
      <c r="Q341" s="2" t="s">
        <v>5091</v>
      </c>
      <c r="R341" s="2" t="s">
        <v>5324</v>
      </c>
      <c r="S341" s="2"/>
    </row>
    <row r="342" spans="1:19" x14ac:dyDescent="0.2">
      <c r="A342" s="2">
        <v>588</v>
      </c>
      <c r="B342" s="6" t="s">
        <v>2121</v>
      </c>
      <c r="C342" s="2" t="s">
        <v>6459</v>
      </c>
      <c r="D342" s="2" t="s">
        <v>6460</v>
      </c>
      <c r="E342" s="2" t="s">
        <v>2124</v>
      </c>
      <c r="F342" s="2"/>
      <c r="G342" s="2"/>
      <c r="H342" s="2" t="s">
        <v>393</v>
      </c>
      <c r="I342" s="2" t="s">
        <v>453</v>
      </c>
      <c r="J342" s="2"/>
      <c r="K342" s="2" t="s">
        <v>26</v>
      </c>
      <c r="L342" s="2" t="s">
        <v>5078</v>
      </c>
      <c r="M342" s="2" t="s">
        <v>5079</v>
      </c>
      <c r="N342" s="2" t="s">
        <v>5325</v>
      </c>
      <c r="O342" s="2" t="s">
        <v>6064</v>
      </c>
      <c r="P342" s="2" t="s">
        <v>6461</v>
      </c>
      <c r="Q342" s="2" t="s">
        <v>5091</v>
      </c>
      <c r="R342" s="2" t="s">
        <v>6462</v>
      </c>
      <c r="S342" s="2"/>
    </row>
    <row r="343" spans="1:19" x14ac:dyDescent="0.2">
      <c r="A343" s="2">
        <v>589</v>
      </c>
      <c r="B343" s="6" t="s">
        <v>2127</v>
      </c>
      <c r="C343" s="2" t="s">
        <v>6463</v>
      </c>
      <c r="D343" s="2" t="s">
        <v>6464</v>
      </c>
      <c r="E343" s="2" t="s">
        <v>2124</v>
      </c>
      <c r="F343" s="2"/>
      <c r="G343" s="2"/>
      <c r="H343" s="2" t="s">
        <v>393</v>
      </c>
      <c r="I343" s="2" t="s">
        <v>453</v>
      </c>
      <c r="J343" s="2"/>
      <c r="K343" s="2" t="s">
        <v>26</v>
      </c>
      <c r="L343" s="2" t="s">
        <v>5078</v>
      </c>
      <c r="M343" s="2" t="s">
        <v>5079</v>
      </c>
      <c r="N343" s="2" t="s">
        <v>5325</v>
      </c>
      <c r="O343" s="2" t="s">
        <v>6064</v>
      </c>
      <c r="P343" s="2" t="s">
        <v>6461</v>
      </c>
      <c r="Q343" s="2" t="s">
        <v>5091</v>
      </c>
      <c r="R343" s="2" t="s">
        <v>6462</v>
      </c>
      <c r="S343" s="2"/>
    </row>
    <row r="344" spans="1:19" x14ac:dyDescent="0.2">
      <c r="A344" s="2">
        <v>590</v>
      </c>
      <c r="B344" s="6" t="s">
        <v>2130</v>
      </c>
      <c r="C344" s="2" t="s">
        <v>6465</v>
      </c>
      <c r="D344" s="2" t="s">
        <v>6466</v>
      </c>
      <c r="E344" s="2" t="s">
        <v>2124</v>
      </c>
      <c r="F344" s="2"/>
      <c r="G344" s="2"/>
      <c r="H344" s="2" t="s">
        <v>393</v>
      </c>
      <c r="I344" s="2" t="s">
        <v>453</v>
      </c>
      <c r="J344" s="2"/>
      <c r="K344" s="2" t="s">
        <v>26</v>
      </c>
      <c r="L344" s="2" t="s">
        <v>5078</v>
      </c>
      <c r="M344" s="2" t="s">
        <v>5079</v>
      </c>
      <c r="N344" s="2" t="s">
        <v>5325</v>
      </c>
      <c r="O344" s="2" t="s">
        <v>6064</v>
      </c>
      <c r="P344" s="2" t="s">
        <v>6461</v>
      </c>
      <c r="Q344" s="2" t="s">
        <v>5091</v>
      </c>
      <c r="R344" s="2" t="s">
        <v>6462</v>
      </c>
      <c r="S344" s="2"/>
    </row>
    <row r="345" spans="1:19" x14ac:dyDescent="0.2">
      <c r="A345" s="2">
        <v>591</v>
      </c>
      <c r="B345" s="6" t="s">
        <v>2133</v>
      </c>
      <c r="C345" s="2" t="s">
        <v>6467</v>
      </c>
      <c r="D345" s="2" t="s">
        <v>6468</v>
      </c>
      <c r="E345" s="2" t="s">
        <v>2136</v>
      </c>
      <c r="F345" s="2"/>
      <c r="G345" s="2"/>
      <c r="H345" s="2" t="s">
        <v>393</v>
      </c>
      <c r="I345" s="2" t="s">
        <v>453</v>
      </c>
      <c r="J345" s="2"/>
      <c r="K345" s="2" t="s">
        <v>26</v>
      </c>
      <c r="L345" s="2" t="s">
        <v>5078</v>
      </c>
      <c r="M345" s="2" t="s">
        <v>5079</v>
      </c>
      <c r="N345" s="2" t="s">
        <v>5325</v>
      </c>
      <c r="O345" s="2" t="s">
        <v>5517</v>
      </c>
      <c r="P345" s="2" t="s">
        <v>6469</v>
      </c>
      <c r="Q345" s="2" t="s">
        <v>5091</v>
      </c>
      <c r="R345" s="2" t="s">
        <v>5079</v>
      </c>
      <c r="S345" s="2"/>
    </row>
    <row r="346" spans="1:19" x14ac:dyDescent="0.2">
      <c r="A346" s="2">
        <v>592</v>
      </c>
      <c r="B346" s="6" t="s">
        <v>2138</v>
      </c>
      <c r="C346" s="2" t="s">
        <v>6470</v>
      </c>
      <c r="D346" s="2" t="s">
        <v>6471</v>
      </c>
      <c r="E346" s="2" t="s">
        <v>2141</v>
      </c>
      <c r="F346" s="2"/>
      <c r="G346" s="2"/>
      <c r="H346" s="2" t="s">
        <v>393</v>
      </c>
      <c r="I346" s="2" t="s">
        <v>453</v>
      </c>
      <c r="J346" s="2"/>
      <c r="K346" s="2" t="s">
        <v>26</v>
      </c>
      <c r="L346" s="2" t="s">
        <v>5078</v>
      </c>
      <c r="M346" s="2" t="s">
        <v>5107</v>
      </c>
      <c r="N346" s="2" t="s">
        <v>5325</v>
      </c>
      <c r="O346" s="2" t="s">
        <v>5330</v>
      </c>
      <c r="P346" s="2" t="s">
        <v>6472</v>
      </c>
      <c r="Q346" s="2" t="s">
        <v>5091</v>
      </c>
      <c r="R346" s="2" t="s">
        <v>5079</v>
      </c>
      <c r="S346" s="2"/>
    </row>
    <row r="347" spans="1:19" x14ac:dyDescent="0.2">
      <c r="A347" s="2">
        <v>593</v>
      </c>
      <c r="B347" s="6" t="s">
        <v>2143</v>
      </c>
      <c r="C347" s="2" t="s">
        <v>6473</v>
      </c>
      <c r="D347" s="2" t="s">
        <v>6474</v>
      </c>
      <c r="E347" s="2" t="s">
        <v>2141</v>
      </c>
      <c r="F347" s="2"/>
      <c r="G347" s="2"/>
      <c r="H347" s="2" t="s">
        <v>393</v>
      </c>
      <c r="I347" s="2" t="s">
        <v>453</v>
      </c>
      <c r="J347" s="2"/>
      <c r="K347" s="2" t="s">
        <v>26</v>
      </c>
      <c r="L347" s="2" t="s">
        <v>5078</v>
      </c>
      <c r="M347" s="2" t="s">
        <v>5107</v>
      </c>
      <c r="N347" s="2" t="s">
        <v>5325</v>
      </c>
      <c r="O347" s="2" t="s">
        <v>5330</v>
      </c>
      <c r="P347" s="2" t="s">
        <v>6475</v>
      </c>
      <c r="Q347" s="2" t="s">
        <v>5091</v>
      </c>
      <c r="R347" s="2" t="s">
        <v>5107</v>
      </c>
      <c r="S347" s="2"/>
    </row>
    <row r="348" spans="1:19" x14ac:dyDescent="0.2">
      <c r="A348" s="2">
        <v>594</v>
      </c>
      <c r="B348" s="6" t="s">
        <v>2147</v>
      </c>
      <c r="C348" s="2" t="s">
        <v>6476</v>
      </c>
      <c r="D348" s="2" t="s">
        <v>6477</v>
      </c>
      <c r="E348" s="2" t="s">
        <v>2141</v>
      </c>
      <c r="F348" s="2" t="s">
        <v>946</v>
      </c>
      <c r="G348" s="2" t="s">
        <v>2150</v>
      </c>
      <c r="H348" s="2" t="s">
        <v>393</v>
      </c>
      <c r="I348" s="2" t="s">
        <v>453</v>
      </c>
      <c r="J348" s="2"/>
      <c r="K348" s="2" t="s">
        <v>426</v>
      </c>
      <c r="L348" s="2" t="s">
        <v>5345</v>
      </c>
      <c r="M348" s="2" t="s">
        <v>6478</v>
      </c>
      <c r="N348" s="2" t="s">
        <v>5325</v>
      </c>
      <c r="O348" s="2" t="s">
        <v>5330</v>
      </c>
      <c r="P348" s="2" t="s">
        <v>6479</v>
      </c>
      <c r="Q348" s="2" t="s">
        <v>5091</v>
      </c>
      <c r="R348" s="2" t="s">
        <v>6480</v>
      </c>
      <c r="S348" s="2"/>
    </row>
    <row r="349" spans="1:19" x14ac:dyDescent="0.2">
      <c r="A349" s="2">
        <v>595</v>
      </c>
      <c r="B349" s="6" t="s">
        <v>2154</v>
      </c>
      <c r="C349" s="2" t="s">
        <v>6481</v>
      </c>
      <c r="D349" s="2" t="s">
        <v>6482</v>
      </c>
      <c r="E349" s="2" t="s">
        <v>2141</v>
      </c>
      <c r="F349" s="2"/>
      <c r="G349" s="2"/>
      <c r="H349" s="2" t="s">
        <v>393</v>
      </c>
      <c r="I349" s="2" t="s">
        <v>453</v>
      </c>
      <c r="J349" s="2"/>
      <c r="K349" s="2" t="s">
        <v>26</v>
      </c>
      <c r="L349" s="2" t="s">
        <v>5078</v>
      </c>
      <c r="M349" s="2" t="s">
        <v>6483</v>
      </c>
      <c r="N349" s="2" t="s">
        <v>5325</v>
      </c>
      <c r="O349" s="2" t="s">
        <v>5362</v>
      </c>
      <c r="P349" s="2" t="s">
        <v>6484</v>
      </c>
      <c r="Q349" s="2" t="s">
        <v>5091</v>
      </c>
      <c r="R349" s="2" t="s">
        <v>6483</v>
      </c>
      <c r="S349" s="2"/>
    </row>
    <row r="350" spans="1:19" x14ac:dyDescent="0.2">
      <c r="A350" s="2">
        <v>596</v>
      </c>
      <c r="B350" s="6" t="s">
        <v>2160</v>
      </c>
      <c r="C350" s="2" t="s">
        <v>6485</v>
      </c>
      <c r="D350" s="2" t="s">
        <v>6486</v>
      </c>
      <c r="E350" s="2" t="s">
        <v>1252</v>
      </c>
      <c r="F350" s="2" t="s">
        <v>2163</v>
      </c>
      <c r="G350" s="2" t="s">
        <v>2163</v>
      </c>
      <c r="H350" s="2" t="s">
        <v>393</v>
      </c>
      <c r="I350" s="2" t="s">
        <v>453</v>
      </c>
      <c r="J350" s="2"/>
      <c r="K350" s="2" t="s">
        <v>426</v>
      </c>
      <c r="L350" s="2" t="s">
        <v>5345</v>
      </c>
      <c r="M350" s="2" t="s">
        <v>5324</v>
      </c>
      <c r="N350" s="2" t="s">
        <v>5325</v>
      </c>
      <c r="O350" s="2" t="s">
        <v>5362</v>
      </c>
      <c r="P350" s="2" t="s">
        <v>6487</v>
      </c>
      <c r="Q350" s="2" t="s">
        <v>5091</v>
      </c>
      <c r="R350" s="2" t="s">
        <v>5324</v>
      </c>
      <c r="S350" s="2"/>
    </row>
    <row r="351" spans="1:19" x14ac:dyDescent="0.2">
      <c r="A351" s="2">
        <v>597</v>
      </c>
      <c r="B351" s="6" t="s">
        <v>2165</v>
      </c>
      <c r="C351" s="2" t="s">
        <v>6488</v>
      </c>
      <c r="D351" s="2" t="s">
        <v>6489</v>
      </c>
      <c r="E351" s="2" t="s">
        <v>1252</v>
      </c>
      <c r="F351" s="2" t="s">
        <v>2168</v>
      </c>
      <c r="G351" s="2" t="s">
        <v>2169</v>
      </c>
      <c r="H351" s="2" t="s">
        <v>393</v>
      </c>
      <c r="I351" s="2" t="s">
        <v>453</v>
      </c>
      <c r="J351" s="2"/>
      <c r="K351" s="2" t="s">
        <v>26</v>
      </c>
      <c r="L351" s="2" t="s">
        <v>5078</v>
      </c>
      <c r="M351" s="2" t="s">
        <v>5324</v>
      </c>
      <c r="N351" s="2" t="s">
        <v>5325</v>
      </c>
      <c r="O351" s="2" t="s">
        <v>5362</v>
      </c>
      <c r="P351" s="2" t="s">
        <v>6490</v>
      </c>
      <c r="Q351" s="2" t="s">
        <v>5091</v>
      </c>
      <c r="R351" s="2" t="s">
        <v>5324</v>
      </c>
      <c r="S351" s="2"/>
    </row>
    <row r="352" spans="1:19" x14ac:dyDescent="0.2">
      <c r="A352" s="2">
        <v>598</v>
      </c>
      <c r="B352" s="6" t="s">
        <v>2171</v>
      </c>
      <c r="C352" s="2" t="s">
        <v>6491</v>
      </c>
      <c r="D352" s="2" t="s">
        <v>6492</v>
      </c>
      <c r="E352" s="2" t="s">
        <v>1252</v>
      </c>
      <c r="F352" s="2" t="s">
        <v>1252</v>
      </c>
      <c r="G352" s="2" t="s">
        <v>1252</v>
      </c>
      <c r="H352" s="2" t="s">
        <v>393</v>
      </c>
      <c r="I352" s="2" t="s">
        <v>453</v>
      </c>
      <c r="J352" s="2"/>
      <c r="K352" s="2" t="s">
        <v>493</v>
      </c>
      <c r="L352" s="2" t="s">
        <v>5387</v>
      </c>
      <c r="M352" s="2" t="s">
        <v>6478</v>
      </c>
      <c r="N352" s="2" t="s">
        <v>5325</v>
      </c>
      <c r="O352" s="2" t="s">
        <v>5330</v>
      </c>
      <c r="P352" s="2" t="s">
        <v>6493</v>
      </c>
      <c r="Q352" s="2" t="s">
        <v>5091</v>
      </c>
      <c r="R352" s="2" t="s">
        <v>6494</v>
      </c>
      <c r="S352" s="2"/>
    </row>
    <row r="353" spans="1:19" x14ac:dyDescent="0.2">
      <c r="A353" s="2">
        <v>599</v>
      </c>
      <c r="B353" s="6" t="s">
        <v>2177</v>
      </c>
      <c r="C353" s="2" t="s">
        <v>6495</v>
      </c>
      <c r="D353" s="2" t="s">
        <v>6496</v>
      </c>
      <c r="E353" s="2" t="s">
        <v>1756</v>
      </c>
      <c r="F353" s="2"/>
      <c r="G353" s="2"/>
      <c r="H353" s="2" t="s">
        <v>393</v>
      </c>
      <c r="I353" s="2" t="s">
        <v>453</v>
      </c>
      <c r="J353" s="2"/>
      <c r="K353" s="2" t="s">
        <v>26</v>
      </c>
      <c r="L353" s="2" t="s">
        <v>5078</v>
      </c>
      <c r="M353" s="2" t="s">
        <v>5107</v>
      </c>
      <c r="N353" s="2" t="s">
        <v>5325</v>
      </c>
      <c r="O353" s="2" t="s">
        <v>5362</v>
      </c>
      <c r="P353" s="2" t="s">
        <v>6497</v>
      </c>
      <c r="Q353" s="2" t="s">
        <v>5091</v>
      </c>
      <c r="R353" s="2" t="s">
        <v>5107</v>
      </c>
      <c r="S353" s="2"/>
    </row>
    <row r="354" spans="1:19" x14ac:dyDescent="0.2">
      <c r="A354" s="2">
        <v>600</v>
      </c>
      <c r="B354" s="6" t="s">
        <v>2181</v>
      </c>
      <c r="C354" s="2" t="s">
        <v>6498</v>
      </c>
      <c r="D354" s="2" t="s">
        <v>6499</v>
      </c>
      <c r="E354" s="2" t="s">
        <v>1756</v>
      </c>
      <c r="F354" s="2"/>
      <c r="G354" s="2"/>
      <c r="H354" s="2" t="s">
        <v>393</v>
      </c>
      <c r="I354" s="2" t="s">
        <v>453</v>
      </c>
      <c r="J354" s="2"/>
      <c r="K354" s="2" t="s">
        <v>426</v>
      </c>
      <c r="L354" s="2" t="s">
        <v>5345</v>
      </c>
      <c r="M354" s="2" t="s">
        <v>5079</v>
      </c>
      <c r="N354" s="2" t="s">
        <v>5325</v>
      </c>
      <c r="O354" s="2" t="s">
        <v>6064</v>
      </c>
      <c r="P354" s="2" t="s">
        <v>6500</v>
      </c>
      <c r="Q354" s="2" t="s">
        <v>5091</v>
      </c>
      <c r="R354" s="2" t="s">
        <v>5079</v>
      </c>
      <c r="S354" s="2"/>
    </row>
    <row r="355" spans="1:19" x14ac:dyDescent="0.2">
      <c r="A355" s="2">
        <v>601</v>
      </c>
      <c r="B355" s="6" t="s">
        <v>2185</v>
      </c>
      <c r="C355" s="2" t="s">
        <v>6501</v>
      </c>
      <c r="D355" s="2" t="s">
        <v>6502</v>
      </c>
      <c r="E355" s="2" t="s">
        <v>2188</v>
      </c>
      <c r="F355" s="2"/>
      <c r="G355" s="2"/>
      <c r="H355" s="2" t="s">
        <v>393</v>
      </c>
      <c r="I355" s="2" t="s">
        <v>453</v>
      </c>
      <c r="J355" s="2"/>
      <c r="K355" s="2" t="s">
        <v>426</v>
      </c>
      <c r="L355" s="2" t="s">
        <v>5345</v>
      </c>
      <c r="M355" s="2" t="s">
        <v>5079</v>
      </c>
      <c r="N355" s="2" t="s">
        <v>5325</v>
      </c>
      <c r="O355" s="2" t="s">
        <v>6064</v>
      </c>
      <c r="P355" s="2" t="s">
        <v>6503</v>
      </c>
      <c r="Q355" s="2" t="s">
        <v>5091</v>
      </c>
      <c r="R355" s="2" t="s">
        <v>5079</v>
      </c>
      <c r="S355" s="2"/>
    </row>
    <row r="356" spans="1:19" x14ac:dyDescent="0.2">
      <c r="A356" s="2">
        <v>837</v>
      </c>
      <c r="B356" s="6" t="s">
        <v>2190</v>
      </c>
      <c r="C356" s="2" t="s">
        <v>6504</v>
      </c>
      <c r="D356" s="2" t="s">
        <v>6505</v>
      </c>
      <c r="E356" s="2" t="s">
        <v>988</v>
      </c>
      <c r="F356" s="2"/>
      <c r="G356" s="2"/>
      <c r="H356" s="2" t="s">
        <v>393</v>
      </c>
      <c r="I356" s="2" t="s">
        <v>453</v>
      </c>
      <c r="J356" s="2"/>
      <c r="K356" s="2" t="s">
        <v>645</v>
      </c>
      <c r="L356" s="2" t="s">
        <v>5482</v>
      </c>
      <c r="M356" s="2" t="s">
        <v>5107</v>
      </c>
      <c r="N356" s="2" t="s">
        <v>5325</v>
      </c>
      <c r="O356" s="2" t="s">
        <v>5362</v>
      </c>
      <c r="P356" s="2" t="s">
        <v>6506</v>
      </c>
      <c r="Q356" s="2" t="s">
        <v>5091</v>
      </c>
      <c r="R356" s="2" t="s">
        <v>5107</v>
      </c>
      <c r="S356" s="2"/>
    </row>
    <row r="357" spans="1:19" x14ac:dyDescent="0.2">
      <c r="A357" s="2">
        <v>838</v>
      </c>
      <c r="B357" s="6" t="s">
        <v>2194</v>
      </c>
      <c r="C357" s="2" t="s">
        <v>6507</v>
      </c>
      <c r="D357" s="2" t="s">
        <v>6508</v>
      </c>
      <c r="E357" s="2" t="s">
        <v>988</v>
      </c>
      <c r="F357" s="2"/>
      <c r="G357" s="2"/>
      <c r="H357" s="2" t="s">
        <v>393</v>
      </c>
      <c r="I357" s="2" t="s">
        <v>453</v>
      </c>
      <c r="J357" s="2"/>
      <c r="K357" s="2" t="s">
        <v>39</v>
      </c>
      <c r="L357" s="2" t="s">
        <v>5087</v>
      </c>
      <c r="M357" s="2" t="s">
        <v>5079</v>
      </c>
      <c r="N357" s="2" t="s">
        <v>5325</v>
      </c>
      <c r="O357" s="2" t="s">
        <v>5330</v>
      </c>
      <c r="P357" s="2" t="s">
        <v>6509</v>
      </c>
      <c r="Q357" s="2" t="s">
        <v>5091</v>
      </c>
      <c r="R357" s="2" t="s">
        <v>5079</v>
      </c>
      <c r="S357" s="2"/>
    </row>
    <row r="358" spans="1:19" x14ac:dyDescent="0.2">
      <c r="A358" s="2">
        <v>839</v>
      </c>
      <c r="B358" s="6" t="s">
        <v>2198</v>
      </c>
      <c r="C358" s="2" t="s">
        <v>6510</v>
      </c>
      <c r="D358" s="2" t="s">
        <v>6511</v>
      </c>
      <c r="E358" s="2" t="s">
        <v>988</v>
      </c>
      <c r="F358" s="2"/>
      <c r="G358" s="2"/>
      <c r="H358" s="2" t="s">
        <v>393</v>
      </c>
      <c r="I358" s="2" t="s">
        <v>453</v>
      </c>
      <c r="J358" s="2"/>
      <c r="K358" s="2" t="s">
        <v>39</v>
      </c>
      <c r="L358" s="2" t="s">
        <v>5087</v>
      </c>
      <c r="M358" s="2" t="s">
        <v>5079</v>
      </c>
      <c r="N358" s="2" t="s">
        <v>5325</v>
      </c>
      <c r="O358" s="2" t="s">
        <v>5362</v>
      </c>
      <c r="P358" s="2" t="s">
        <v>6512</v>
      </c>
      <c r="Q358" s="2" t="s">
        <v>5091</v>
      </c>
      <c r="R358" s="2" t="s">
        <v>5079</v>
      </c>
      <c r="S358" s="2"/>
    </row>
    <row r="359" spans="1:19" x14ac:dyDescent="0.2">
      <c r="A359" s="2">
        <v>840</v>
      </c>
      <c r="B359" s="6" t="s">
        <v>2202</v>
      </c>
      <c r="C359" s="2" t="s">
        <v>6513</v>
      </c>
      <c r="D359" s="2" t="s">
        <v>6514</v>
      </c>
      <c r="E359" s="2" t="s">
        <v>988</v>
      </c>
      <c r="F359" s="2"/>
      <c r="G359" s="2"/>
      <c r="H359" s="2" t="s">
        <v>393</v>
      </c>
      <c r="I359" s="2" t="s">
        <v>453</v>
      </c>
      <c r="J359" s="2"/>
      <c r="K359" s="2" t="s">
        <v>426</v>
      </c>
      <c r="L359" s="2" t="s">
        <v>5345</v>
      </c>
      <c r="M359" s="2" t="s">
        <v>5079</v>
      </c>
      <c r="N359" s="2" t="s">
        <v>5325</v>
      </c>
      <c r="O359" s="2" t="s">
        <v>5330</v>
      </c>
      <c r="P359" s="2" t="s">
        <v>6515</v>
      </c>
      <c r="Q359" s="2" t="s">
        <v>5091</v>
      </c>
      <c r="R359" s="2" t="s">
        <v>5079</v>
      </c>
      <c r="S359" s="2"/>
    </row>
    <row r="360" spans="1:19" x14ac:dyDescent="0.2">
      <c r="A360" s="2">
        <v>841</v>
      </c>
      <c r="B360" s="6" t="s">
        <v>2206</v>
      </c>
      <c r="C360" s="2" t="s">
        <v>6516</v>
      </c>
      <c r="D360" s="2" t="s">
        <v>6517</v>
      </c>
      <c r="E360" s="2" t="s">
        <v>988</v>
      </c>
      <c r="F360" s="2"/>
      <c r="G360" s="2"/>
      <c r="H360" s="2" t="s">
        <v>393</v>
      </c>
      <c r="I360" s="2" t="s">
        <v>453</v>
      </c>
      <c r="J360" s="2"/>
      <c r="K360" s="2" t="s">
        <v>426</v>
      </c>
      <c r="L360" s="2" t="s">
        <v>5345</v>
      </c>
      <c r="M360" s="2" t="s">
        <v>5107</v>
      </c>
      <c r="N360" s="2" t="s">
        <v>5325</v>
      </c>
      <c r="O360" s="2" t="s">
        <v>5330</v>
      </c>
      <c r="P360" s="2" t="s">
        <v>6518</v>
      </c>
      <c r="Q360" s="2" t="s">
        <v>5091</v>
      </c>
      <c r="R360" s="2" t="s">
        <v>5107</v>
      </c>
      <c r="S360" s="2"/>
    </row>
    <row r="361" spans="1:19" ht="57" x14ac:dyDescent="0.2">
      <c r="A361" s="2">
        <v>245</v>
      </c>
      <c r="B361" s="6" t="s">
        <v>2210</v>
      </c>
      <c r="C361" s="2" t="s">
        <v>6519</v>
      </c>
      <c r="D361" s="2" t="s">
        <v>6520</v>
      </c>
      <c r="E361" s="2" t="s">
        <v>2213</v>
      </c>
      <c r="F361" s="2"/>
      <c r="G361" s="2"/>
      <c r="H361" s="2" t="s">
        <v>393</v>
      </c>
      <c r="I361" s="2" t="s">
        <v>756</v>
      </c>
      <c r="J361" s="2"/>
      <c r="K361" s="2" t="s">
        <v>412</v>
      </c>
      <c r="L361" s="2" t="s">
        <v>5334</v>
      </c>
      <c r="M361" s="18" t="s">
        <v>6521</v>
      </c>
      <c r="N361" s="2" t="s">
        <v>5325</v>
      </c>
      <c r="O361" s="2" t="s">
        <v>5335</v>
      </c>
      <c r="P361" s="2" t="s">
        <v>6522</v>
      </c>
      <c r="Q361" s="2" t="s">
        <v>5091</v>
      </c>
      <c r="R361" s="2" t="s">
        <v>6156</v>
      </c>
      <c r="S361" s="2"/>
    </row>
    <row r="362" spans="1:19" x14ac:dyDescent="0.2">
      <c r="A362" s="2">
        <v>246</v>
      </c>
      <c r="B362" s="6" t="s">
        <v>2216</v>
      </c>
      <c r="C362" s="2" t="s">
        <v>6523</v>
      </c>
      <c r="D362" s="2" t="s">
        <v>6524</v>
      </c>
      <c r="E362" s="2" t="s">
        <v>2219</v>
      </c>
      <c r="F362" s="2"/>
      <c r="G362" s="2"/>
      <c r="H362" s="2" t="s">
        <v>393</v>
      </c>
      <c r="I362" s="2" t="s">
        <v>659</v>
      </c>
      <c r="J362" s="2"/>
      <c r="K362" s="2" t="s">
        <v>412</v>
      </c>
      <c r="L362" s="2" t="s">
        <v>5334</v>
      </c>
      <c r="M362" s="2" t="s">
        <v>6525</v>
      </c>
      <c r="N362" s="2" t="s">
        <v>5325</v>
      </c>
      <c r="O362" s="2" t="s">
        <v>5335</v>
      </c>
      <c r="P362" s="2" t="s">
        <v>6522</v>
      </c>
      <c r="Q362" s="2" t="s">
        <v>5091</v>
      </c>
      <c r="R362" s="2" t="s">
        <v>5753</v>
      </c>
      <c r="S362" s="2"/>
    </row>
    <row r="363" spans="1:19" x14ac:dyDescent="0.2">
      <c r="A363" s="2">
        <v>247</v>
      </c>
      <c r="B363" s="6" t="s">
        <v>2221</v>
      </c>
      <c r="C363" s="2" t="s">
        <v>6526</v>
      </c>
      <c r="D363" s="2" t="s">
        <v>6527</v>
      </c>
      <c r="E363" s="2" t="s">
        <v>552</v>
      </c>
      <c r="F363" s="2"/>
      <c r="G363" s="2"/>
      <c r="H363" s="2" t="s">
        <v>393</v>
      </c>
      <c r="I363" s="2" t="s">
        <v>659</v>
      </c>
      <c r="J363" s="2"/>
      <c r="K363" s="2" t="s">
        <v>26</v>
      </c>
      <c r="L363" s="2" t="s">
        <v>5078</v>
      </c>
      <c r="M363" s="2" t="s">
        <v>6528</v>
      </c>
      <c r="N363" s="2" t="s">
        <v>5325</v>
      </c>
      <c r="O363" s="2" t="s">
        <v>5362</v>
      </c>
      <c r="P363" s="2" t="s">
        <v>6529</v>
      </c>
      <c r="Q363" s="2" t="s">
        <v>5091</v>
      </c>
      <c r="R363" s="2" t="s">
        <v>6530</v>
      </c>
      <c r="S363" s="2"/>
    </row>
    <row r="364" spans="1:19" x14ac:dyDescent="0.2">
      <c r="A364" s="2">
        <v>248</v>
      </c>
      <c r="B364" s="6" t="s">
        <v>2227</v>
      </c>
      <c r="C364" s="2" t="s">
        <v>6531</v>
      </c>
      <c r="D364" s="2" t="s">
        <v>6532</v>
      </c>
      <c r="E364" s="2" t="s">
        <v>2188</v>
      </c>
      <c r="F364" s="2"/>
      <c r="G364" s="2"/>
      <c r="H364" s="2" t="s">
        <v>393</v>
      </c>
      <c r="I364" s="2" t="s">
        <v>659</v>
      </c>
      <c r="J364" s="2"/>
      <c r="K364" s="2" t="s">
        <v>26</v>
      </c>
      <c r="L364" s="2" t="s">
        <v>5078</v>
      </c>
      <c r="M364" s="2" t="s">
        <v>5324</v>
      </c>
      <c r="N364" s="2" t="s">
        <v>5325</v>
      </c>
      <c r="O364" s="2" t="s">
        <v>5330</v>
      </c>
      <c r="P364" s="2" t="s">
        <v>6533</v>
      </c>
      <c r="Q364" s="2" t="s">
        <v>5091</v>
      </c>
      <c r="R364" s="2" t="s">
        <v>5769</v>
      </c>
      <c r="S364" s="2"/>
    </row>
    <row r="365" spans="1:19" x14ac:dyDescent="0.2">
      <c r="A365" s="2">
        <v>249</v>
      </c>
      <c r="B365" s="6" t="s">
        <v>2231</v>
      </c>
      <c r="C365" s="2" t="s">
        <v>6534</v>
      </c>
      <c r="D365" s="2" t="s">
        <v>6535</v>
      </c>
      <c r="E365" s="2" t="s">
        <v>2234</v>
      </c>
      <c r="F365" s="2"/>
      <c r="G365" s="2"/>
      <c r="H365" s="2" t="s">
        <v>393</v>
      </c>
      <c r="I365" s="2" t="s">
        <v>659</v>
      </c>
      <c r="J365" s="2"/>
      <c r="K365" s="2" t="s">
        <v>26</v>
      </c>
      <c r="L365" s="2" t="s">
        <v>5078</v>
      </c>
      <c r="M365" s="2" t="s">
        <v>5079</v>
      </c>
      <c r="N365" s="2" t="s">
        <v>5325</v>
      </c>
      <c r="O365" s="2" t="s">
        <v>5330</v>
      </c>
      <c r="P365" s="2" t="s">
        <v>6536</v>
      </c>
      <c r="Q365" s="2" t="s">
        <v>5091</v>
      </c>
      <c r="R365" s="2" t="s">
        <v>5079</v>
      </c>
      <c r="S365" s="2"/>
    </row>
    <row r="366" spans="1:19" x14ac:dyDescent="0.2">
      <c r="A366" s="2">
        <v>251</v>
      </c>
      <c r="B366" s="6" t="s">
        <v>2236</v>
      </c>
      <c r="C366" s="2" t="s">
        <v>6537</v>
      </c>
      <c r="D366" s="2" t="s">
        <v>6538</v>
      </c>
      <c r="E366" s="2" t="s">
        <v>2239</v>
      </c>
      <c r="F366" s="2"/>
      <c r="G366" s="2"/>
      <c r="H366" s="2" t="s">
        <v>393</v>
      </c>
      <c r="I366" s="2" t="s">
        <v>659</v>
      </c>
      <c r="J366" s="2" t="s">
        <v>1324</v>
      </c>
      <c r="K366" s="2" t="s">
        <v>412</v>
      </c>
      <c r="L366" s="2" t="s">
        <v>5334</v>
      </c>
      <c r="M366" s="2" t="s">
        <v>5965</v>
      </c>
      <c r="N366" s="2" t="s">
        <v>5325</v>
      </c>
      <c r="O366" s="2" t="s">
        <v>5330</v>
      </c>
      <c r="P366" s="2" t="s">
        <v>6539</v>
      </c>
      <c r="Q366" s="2" t="s">
        <v>5091</v>
      </c>
      <c r="R366" s="2" t="s">
        <v>5965</v>
      </c>
      <c r="S366" s="2"/>
    </row>
    <row r="367" spans="1:19" x14ac:dyDescent="0.2">
      <c r="A367" s="2">
        <v>253</v>
      </c>
      <c r="B367" s="6" t="s">
        <v>2241</v>
      </c>
      <c r="C367" s="2" t="s">
        <v>6540</v>
      </c>
      <c r="D367" s="2" t="s">
        <v>6541</v>
      </c>
      <c r="E367" s="2" t="s">
        <v>688</v>
      </c>
      <c r="F367" s="2"/>
      <c r="G367" s="2"/>
      <c r="H367" s="2" t="s">
        <v>393</v>
      </c>
      <c r="I367" s="2" t="s">
        <v>659</v>
      </c>
      <c r="J367" s="2"/>
      <c r="K367" s="2" t="s">
        <v>412</v>
      </c>
      <c r="L367" s="2" t="s">
        <v>5334</v>
      </c>
      <c r="M367" s="2" t="s">
        <v>5548</v>
      </c>
      <c r="N367" s="2" t="s">
        <v>5325</v>
      </c>
      <c r="O367" s="2" t="s">
        <v>5335</v>
      </c>
      <c r="P367" s="2" t="s">
        <v>6542</v>
      </c>
      <c r="Q367" s="2" t="s">
        <v>5091</v>
      </c>
      <c r="R367" s="2" t="s">
        <v>5107</v>
      </c>
      <c r="S367" s="2"/>
    </row>
    <row r="368" spans="1:19" x14ac:dyDescent="0.2">
      <c r="A368" s="2">
        <v>254</v>
      </c>
      <c r="B368" s="6" t="s">
        <v>2247</v>
      </c>
      <c r="C368" s="2" t="s">
        <v>6543</v>
      </c>
      <c r="D368" s="2" t="s">
        <v>6544</v>
      </c>
      <c r="E368" s="2" t="s">
        <v>955</v>
      </c>
      <c r="F368" s="2"/>
      <c r="G368" s="2"/>
      <c r="H368" s="2" t="s">
        <v>393</v>
      </c>
      <c r="I368" s="2" t="s">
        <v>6545</v>
      </c>
      <c r="J368" s="2"/>
      <c r="K368" s="2" t="s">
        <v>39</v>
      </c>
      <c r="L368" s="2" t="s">
        <v>5087</v>
      </c>
      <c r="M368" s="2" t="s">
        <v>5079</v>
      </c>
      <c r="N368" s="2" t="s">
        <v>5325</v>
      </c>
      <c r="O368" s="2" t="s">
        <v>5326</v>
      </c>
      <c r="P368" s="2" t="s">
        <v>6546</v>
      </c>
      <c r="Q368" s="2" t="s">
        <v>5091</v>
      </c>
      <c r="R368" s="2" t="s">
        <v>5079</v>
      </c>
      <c r="S368" s="2"/>
    </row>
    <row r="369" spans="1:19" x14ac:dyDescent="0.2">
      <c r="A369" s="2">
        <v>2228</v>
      </c>
      <c r="B369" s="6" t="s">
        <v>2252</v>
      </c>
      <c r="C369" s="2" t="s">
        <v>6547</v>
      </c>
      <c r="D369" s="2" t="s">
        <v>6548</v>
      </c>
      <c r="E369" s="2" t="s">
        <v>2255</v>
      </c>
      <c r="F369" s="2" t="s">
        <v>134</v>
      </c>
      <c r="G369" s="2" t="s">
        <v>134</v>
      </c>
      <c r="H369" s="2" t="s">
        <v>393</v>
      </c>
      <c r="I369" s="2" t="s">
        <v>1258</v>
      </c>
      <c r="J369" s="2"/>
      <c r="K369" s="2" t="s">
        <v>412</v>
      </c>
      <c r="L369" s="2" t="s">
        <v>5334</v>
      </c>
      <c r="M369" s="2" t="s">
        <v>5095</v>
      </c>
      <c r="N369" s="2" t="s">
        <v>5325</v>
      </c>
      <c r="O369" s="2" t="s">
        <v>5335</v>
      </c>
      <c r="P369" s="2" t="s">
        <v>6549</v>
      </c>
      <c r="Q369" s="2" t="s">
        <v>5487</v>
      </c>
      <c r="R369" s="2" t="s">
        <v>6452</v>
      </c>
      <c r="S369" s="2"/>
    </row>
    <row r="370" spans="1:19" x14ac:dyDescent="0.2">
      <c r="A370" s="2">
        <v>2229</v>
      </c>
      <c r="B370" s="6" t="s">
        <v>2257</v>
      </c>
      <c r="C370" s="2" t="s">
        <v>6550</v>
      </c>
      <c r="D370" s="2" t="s">
        <v>6551</v>
      </c>
      <c r="E370" s="2" t="s">
        <v>2260</v>
      </c>
      <c r="F370" s="2" t="s">
        <v>327</v>
      </c>
      <c r="G370" s="2" t="s">
        <v>327</v>
      </c>
      <c r="H370" s="2" t="s">
        <v>393</v>
      </c>
      <c r="I370" s="2" t="s">
        <v>1258</v>
      </c>
      <c r="J370" s="2"/>
      <c r="K370" s="2" t="s">
        <v>412</v>
      </c>
      <c r="L370" s="2" t="s">
        <v>5334</v>
      </c>
      <c r="M370" s="2" t="s">
        <v>5193</v>
      </c>
      <c r="N370" s="2" t="s">
        <v>5325</v>
      </c>
      <c r="O370" s="2" t="s">
        <v>5330</v>
      </c>
      <c r="P370" s="2" t="s">
        <v>6552</v>
      </c>
      <c r="Q370" s="2" t="s">
        <v>5091</v>
      </c>
      <c r="R370" s="2" t="s">
        <v>5193</v>
      </c>
      <c r="S370" s="2"/>
    </row>
    <row r="371" spans="1:19" x14ac:dyDescent="0.2">
      <c r="A371" s="2">
        <v>787</v>
      </c>
      <c r="B371" s="6" t="s">
        <v>2262</v>
      </c>
      <c r="C371" s="2" t="s">
        <v>6553</v>
      </c>
      <c r="D371" s="2" t="s">
        <v>6554</v>
      </c>
      <c r="E371" s="2" t="s">
        <v>2265</v>
      </c>
      <c r="F371" s="2" t="s">
        <v>437</v>
      </c>
      <c r="G371" s="2" t="s">
        <v>437</v>
      </c>
      <c r="H371" s="2" t="s">
        <v>393</v>
      </c>
      <c r="I371" s="2" t="s">
        <v>491</v>
      </c>
      <c r="J371" s="2"/>
      <c r="K371" s="2" t="s">
        <v>39</v>
      </c>
      <c r="L371" s="2" t="s">
        <v>5087</v>
      </c>
      <c r="M371" s="2" t="s">
        <v>5100</v>
      </c>
      <c r="N371" s="2" t="s">
        <v>5325</v>
      </c>
      <c r="O371" s="2" t="s">
        <v>5362</v>
      </c>
      <c r="P371" s="2" t="s">
        <v>6555</v>
      </c>
      <c r="Q371" s="2"/>
      <c r="R371" s="2" t="s">
        <v>5100</v>
      </c>
      <c r="S371" s="2"/>
    </row>
    <row r="372" spans="1:19" x14ac:dyDescent="0.2">
      <c r="A372" s="2">
        <v>581</v>
      </c>
      <c r="B372" s="6" t="s">
        <v>2267</v>
      </c>
      <c r="C372" s="2" t="s">
        <v>6556</v>
      </c>
      <c r="D372" s="2" t="s">
        <v>6557</v>
      </c>
      <c r="E372" s="2" t="s">
        <v>946</v>
      </c>
      <c r="F372" s="2" t="s">
        <v>946</v>
      </c>
      <c r="G372" s="2" t="s">
        <v>946</v>
      </c>
      <c r="H372" s="2" t="s">
        <v>393</v>
      </c>
      <c r="I372" s="2" t="s">
        <v>453</v>
      </c>
      <c r="J372" s="2"/>
      <c r="K372" s="2" t="s">
        <v>426</v>
      </c>
      <c r="L372" s="2" t="s">
        <v>5345</v>
      </c>
      <c r="M372" s="2" t="s">
        <v>5324</v>
      </c>
      <c r="N372" s="2" t="s">
        <v>5325</v>
      </c>
      <c r="O372" s="2" t="s">
        <v>5330</v>
      </c>
      <c r="P372" s="2" t="s">
        <v>6558</v>
      </c>
      <c r="Q372" s="2" t="s">
        <v>5091</v>
      </c>
      <c r="R372" s="2" t="s">
        <v>5769</v>
      </c>
      <c r="S372" s="2"/>
    </row>
    <row r="373" spans="1:19" x14ac:dyDescent="0.2">
      <c r="A373" s="2">
        <v>276</v>
      </c>
      <c r="B373" s="6" t="s">
        <v>2271</v>
      </c>
      <c r="C373" s="2" t="s">
        <v>6559</v>
      </c>
      <c r="D373" s="2" t="s">
        <v>6560</v>
      </c>
      <c r="E373" s="2" t="s">
        <v>1692</v>
      </c>
      <c r="F373" s="2" t="s">
        <v>2274</v>
      </c>
      <c r="G373" s="2" t="s">
        <v>994</v>
      </c>
      <c r="H373" s="2" t="s">
        <v>393</v>
      </c>
      <c r="I373" s="2" t="s">
        <v>453</v>
      </c>
      <c r="J373" s="2"/>
      <c r="K373" s="2" t="s">
        <v>426</v>
      </c>
      <c r="L373" s="2" t="s">
        <v>5345</v>
      </c>
      <c r="M373" s="2" t="s">
        <v>6561</v>
      </c>
      <c r="N373" s="2" t="s">
        <v>5325</v>
      </c>
      <c r="O373" s="2" t="s">
        <v>5335</v>
      </c>
      <c r="P373" s="2" t="s">
        <v>6562</v>
      </c>
      <c r="Q373" s="2" t="s">
        <v>5091</v>
      </c>
      <c r="R373" s="2" t="s">
        <v>6563</v>
      </c>
      <c r="S373" s="2"/>
    </row>
    <row r="374" spans="1:19" x14ac:dyDescent="0.2">
      <c r="A374" s="2">
        <v>277</v>
      </c>
      <c r="B374" s="6" t="s">
        <v>2278</v>
      </c>
      <c r="C374" s="2" t="s">
        <v>6564</v>
      </c>
      <c r="D374" s="2" t="s">
        <v>6565</v>
      </c>
      <c r="E374" s="2" t="s">
        <v>705</v>
      </c>
      <c r="F374" s="2"/>
      <c r="G374" s="2"/>
      <c r="H374" s="2" t="s">
        <v>393</v>
      </c>
      <c r="I374" s="2" t="s">
        <v>453</v>
      </c>
      <c r="J374" s="2"/>
      <c r="K374" s="2" t="s">
        <v>426</v>
      </c>
      <c r="L374" s="2" t="s">
        <v>5345</v>
      </c>
      <c r="M374" s="2" t="s">
        <v>6566</v>
      </c>
      <c r="N374" s="2" t="s">
        <v>5325</v>
      </c>
      <c r="O374" s="2" t="s">
        <v>5335</v>
      </c>
      <c r="P374" s="2" t="s">
        <v>6567</v>
      </c>
      <c r="Q374" s="2" t="s">
        <v>5091</v>
      </c>
      <c r="R374" s="2" t="s">
        <v>6330</v>
      </c>
      <c r="S374" s="2"/>
    </row>
    <row r="375" spans="1:19" x14ac:dyDescent="0.2">
      <c r="A375" s="2">
        <v>273</v>
      </c>
      <c r="B375" s="6" t="s">
        <v>2283</v>
      </c>
      <c r="C375" s="2" t="s">
        <v>6568</v>
      </c>
      <c r="D375" s="2" t="s">
        <v>6569</v>
      </c>
      <c r="E375" s="2" t="s">
        <v>751</v>
      </c>
      <c r="F375" s="2"/>
      <c r="G375" s="2"/>
      <c r="H375" s="2" t="s">
        <v>393</v>
      </c>
      <c r="I375" s="2" t="s">
        <v>453</v>
      </c>
      <c r="J375" s="2"/>
      <c r="K375" s="2" t="s">
        <v>426</v>
      </c>
      <c r="L375" s="2" t="s">
        <v>5345</v>
      </c>
      <c r="M375" s="2" t="s">
        <v>5079</v>
      </c>
      <c r="N375" s="2" t="s">
        <v>5325</v>
      </c>
      <c r="O375" s="2" t="s">
        <v>5335</v>
      </c>
      <c r="P375" s="2" t="s">
        <v>6570</v>
      </c>
      <c r="Q375" s="2"/>
      <c r="R375" s="2" t="s">
        <v>5079</v>
      </c>
      <c r="S375" s="2"/>
    </row>
    <row r="376" spans="1:19" x14ac:dyDescent="0.2">
      <c r="A376" s="2">
        <v>266</v>
      </c>
      <c r="B376" s="6" t="s">
        <v>2287</v>
      </c>
      <c r="C376" s="2" t="s">
        <v>6571</v>
      </c>
      <c r="D376" s="2" t="s">
        <v>6572</v>
      </c>
      <c r="E376" s="2" t="s">
        <v>789</v>
      </c>
      <c r="F376" s="2"/>
      <c r="G376" s="2"/>
      <c r="H376" s="2" t="s">
        <v>393</v>
      </c>
      <c r="I376" s="2" t="s">
        <v>453</v>
      </c>
      <c r="J376" s="2"/>
      <c r="K376" s="2" t="s">
        <v>426</v>
      </c>
      <c r="L376" s="2" t="s">
        <v>5345</v>
      </c>
      <c r="M376" s="2" t="s">
        <v>5079</v>
      </c>
      <c r="N376" s="2" t="s">
        <v>5325</v>
      </c>
      <c r="O376" s="2" t="s">
        <v>5335</v>
      </c>
      <c r="P376" s="2" t="s">
        <v>6573</v>
      </c>
      <c r="Q376" s="2" t="s">
        <v>5091</v>
      </c>
      <c r="R376" s="2" t="s">
        <v>5079</v>
      </c>
      <c r="S376" s="2"/>
    </row>
    <row r="377" spans="1:19" x14ac:dyDescent="0.2">
      <c r="A377" s="2">
        <v>268</v>
      </c>
      <c r="B377" s="6" t="s">
        <v>2291</v>
      </c>
      <c r="C377" s="2" t="s">
        <v>6574</v>
      </c>
      <c r="D377" s="2" t="s">
        <v>6575</v>
      </c>
      <c r="E377" s="2" t="s">
        <v>1098</v>
      </c>
      <c r="F377" s="2"/>
      <c r="G377" s="2"/>
      <c r="H377" s="2" t="s">
        <v>393</v>
      </c>
      <c r="I377" s="2" t="s">
        <v>453</v>
      </c>
      <c r="J377" s="2"/>
      <c r="K377" s="2" t="s">
        <v>26</v>
      </c>
      <c r="L377" s="2" t="s">
        <v>5078</v>
      </c>
      <c r="M377" s="2" t="s">
        <v>5079</v>
      </c>
      <c r="N377" s="2" t="s">
        <v>5325</v>
      </c>
      <c r="O377" s="2" t="s">
        <v>5335</v>
      </c>
      <c r="P377" s="2" t="s">
        <v>6576</v>
      </c>
      <c r="Q377" s="2" t="s">
        <v>5091</v>
      </c>
      <c r="R377" s="2" t="s">
        <v>5079</v>
      </c>
      <c r="S377" s="2"/>
    </row>
    <row r="378" spans="1:19" x14ac:dyDescent="0.2">
      <c r="A378" s="2">
        <v>270</v>
      </c>
      <c r="B378" s="6" t="s">
        <v>2295</v>
      </c>
      <c r="C378" s="2" t="s">
        <v>6577</v>
      </c>
      <c r="D378" s="2" t="s">
        <v>6578</v>
      </c>
      <c r="E378" s="2" t="s">
        <v>913</v>
      </c>
      <c r="F378" s="2"/>
      <c r="G378" s="2"/>
      <c r="H378" s="2" t="s">
        <v>393</v>
      </c>
      <c r="I378" s="2" t="s">
        <v>453</v>
      </c>
      <c r="J378" s="2"/>
      <c r="K378" s="2" t="s">
        <v>426</v>
      </c>
      <c r="L378" s="2" t="s">
        <v>5345</v>
      </c>
      <c r="M378" s="2" t="s">
        <v>5324</v>
      </c>
      <c r="N378" s="2" t="s">
        <v>5325</v>
      </c>
      <c r="O378" s="2" t="s">
        <v>5335</v>
      </c>
      <c r="P378" s="2" t="s">
        <v>6579</v>
      </c>
      <c r="Q378" s="2" t="s">
        <v>5091</v>
      </c>
      <c r="R378" s="2" t="s">
        <v>5324</v>
      </c>
      <c r="S378" s="2"/>
    </row>
    <row r="379" spans="1:19" x14ac:dyDescent="0.2">
      <c r="A379" s="2">
        <v>271</v>
      </c>
      <c r="B379" s="6" t="s">
        <v>2299</v>
      </c>
      <c r="C379" s="2" t="s">
        <v>6580</v>
      </c>
      <c r="D379" s="2" t="s">
        <v>6581</v>
      </c>
      <c r="E379" s="2" t="s">
        <v>1292</v>
      </c>
      <c r="F379" s="2"/>
      <c r="G379" s="2"/>
      <c r="H379" s="2" t="s">
        <v>393</v>
      </c>
      <c r="I379" s="2" t="s">
        <v>453</v>
      </c>
      <c r="J379" s="2" t="s">
        <v>6247</v>
      </c>
      <c r="K379" s="2" t="s">
        <v>26</v>
      </c>
      <c r="L379" s="2" t="s">
        <v>5078</v>
      </c>
      <c r="M379" s="2" t="s">
        <v>6582</v>
      </c>
      <c r="N379" s="2" t="s">
        <v>5325</v>
      </c>
      <c r="O379" s="2" t="s">
        <v>5335</v>
      </c>
      <c r="P379" s="2" t="s">
        <v>6583</v>
      </c>
      <c r="Q379" s="2" t="s">
        <v>5091</v>
      </c>
      <c r="R379" s="2" t="s">
        <v>5753</v>
      </c>
      <c r="S379" s="2"/>
    </row>
    <row r="380" spans="1:19" x14ac:dyDescent="0.2">
      <c r="A380" s="2">
        <v>1024</v>
      </c>
      <c r="B380" s="6" t="s">
        <v>2304</v>
      </c>
      <c r="C380" s="2" t="s">
        <v>6584</v>
      </c>
      <c r="D380" s="2" t="s">
        <v>6585</v>
      </c>
      <c r="E380" s="2" t="s">
        <v>90</v>
      </c>
      <c r="F380" s="2"/>
      <c r="G380" s="2"/>
      <c r="H380" s="2" t="s">
        <v>393</v>
      </c>
      <c r="I380" s="2" t="s">
        <v>6586</v>
      </c>
      <c r="J380" s="2"/>
      <c r="K380" s="2" t="s">
        <v>26</v>
      </c>
      <c r="L380" s="2" t="s">
        <v>5078</v>
      </c>
      <c r="M380" s="2" t="s">
        <v>5100</v>
      </c>
      <c r="N380" s="2" t="s">
        <v>5325</v>
      </c>
      <c r="O380" s="2" t="s">
        <v>5081</v>
      </c>
      <c r="P380" s="2" t="s">
        <v>6160</v>
      </c>
      <c r="Q380" s="2" t="s">
        <v>6587</v>
      </c>
      <c r="R380" s="2" t="s">
        <v>5100</v>
      </c>
      <c r="S380" s="2" t="s">
        <v>6588</v>
      </c>
    </row>
    <row r="381" spans="1:19" x14ac:dyDescent="0.2">
      <c r="A381" s="2">
        <v>232</v>
      </c>
      <c r="B381" s="6" t="s">
        <v>2310</v>
      </c>
      <c r="C381" s="2" t="s">
        <v>6589</v>
      </c>
      <c r="D381" s="2" t="s">
        <v>6590</v>
      </c>
      <c r="E381" s="2" t="s">
        <v>1002</v>
      </c>
      <c r="F381" s="2"/>
      <c r="G381" s="2"/>
      <c r="H381" s="2" t="s">
        <v>393</v>
      </c>
      <c r="I381" s="2" t="s">
        <v>6591</v>
      </c>
      <c r="J381" s="2"/>
      <c r="K381" s="2" t="s">
        <v>39</v>
      </c>
      <c r="L381" s="2" t="s">
        <v>5087</v>
      </c>
      <c r="M381" s="2" t="s">
        <v>5088</v>
      </c>
      <c r="N381" s="2" t="s">
        <v>5325</v>
      </c>
      <c r="O381" s="2" t="s">
        <v>6592</v>
      </c>
      <c r="P381" s="2" t="s">
        <v>6593</v>
      </c>
      <c r="Q381" s="2" t="s">
        <v>5091</v>
      </c>
      <c r="R381" s="2" t="s">
        <v>6594</v>
      </c>
      <c r="S381" s="2"/>
    </row>
    <row r="382" spans="1:19" x14ac:dyDescent="0.2">
      <c r="A382" s="2">
        <v>250</v>
      </c>
      <c r="B382" s="6" t="s">
        <v>2317</v>
      </c>
      <c r="C382" s="2" t="s">
        <v>6595</v>
      </c>
      <c r="D382" s="2" t="s">
        <v>6596</v>
      </c>
      <c r="E382" s="2" t="s">
        <v>2234</v>
      </c>
      <c r="F382" s="2"/>
      <c r="G382" s="2"/>
      <c r="H382" s="2" t="s">
        <v>393</v>
      </c>
      <c r="I382" s="2" t="s">
        <v>659</v>
      </c>
      <c r="J382" s="2"/>
      <c r="K382" s="2" t="s">
        <v>26</v>
      </c>
      <c r="L382" s="2" t="s">
        <v>5078</v>
      </c>
      <c r="M382" s="2" t="s">
        <v>6597</v>
      </c>
      <c r="N382" s="2" t="s">
        <v>5325</v>
      </c>
      <c r="O382" s="2" t="s">
        <v>5330</v>
      </c>
      <c r="P382" s="2" t="s">
        <v>6598</v>
      </c>
      <c r="Q382" s="2" t="s">
        <v>6599</v>
      </c>
      <c r="R382" s="2" t="s">
        <v>6597</v>
      </c>
      <c r="S382" s="2"/>
    </row>
    <row r="383" spans="1:19" x14ac:dyDescent="0.2">
      <c r="A383" s="2">
        <v>252</v>
      </c>
      <c r="B383" s="6" t="s">
        <v>2324</v>
      </c>
      <c r="C383" s="2" t="s">
        <v>6600</v>
      </c>
      <c r="D383" s="2" t="s">
        <v>6601</v>
      </c>
      <c r="E383" s="2" t="s">
        <v>2327</v>
      </c>
      <c r="F383" s="2"/>
      <c r="G383" s="2"/>
      <c r="H383" s="2" t="s">
        <v>393</v>
      </c>
      <c r="I383" s="2" t="s">
        <v>659</v>
      </c>
      <c r="J383" s="2"/>
      <c r="K383" s="2" t="s">
        <v>493</v>
      </c>
      <c r="L383" s="2" t="s">
        <v>5387</v>
      </c>
      <c r="M383" s="2" t="s">
        <v>6602</v>
      </c>
      <c r="N383" s="2" t="s">
        <v>5325</v>
      </c>
      <c r="O383" s="2" t="s">
        <v>5330</v>
      </c>
      <c r="P383" s="2" t="s">
        <v>6603</v>
      </c>
      <c r="Q383" s="2" t="s">
        <v>5091</v>
      </c>
      <c r="R383" s="2" t="s">
        <v>6119</v>
      </c>
      <c r="S383" s="2"/>
    </row>
    <row r="384" spans="1:19" x14ac:dyDescent="0.2">
      <c r="A384" s="2">
        <v>255</v>
      </c>
      <c r="B384" s="6" t="s">
        <v>2331</v>
      </c>
      <c r="C384" s="2" t="s">
        <v>6604</v>
      </c>
      <c r="D384" s="2" t="s">
        <v>6605</v>
      </c>
      <c r="E384" s="2" t="s">
        <v>1037</v>
      </c>
      <c r="F384" s="2"/>
      <c r="G384" s="2"/>
      <c r="H384" s="2" t="s">
        <v>393</v>
      </c>
      <c r="I384" s="2" t="s">
        <v>6606</v>
      </c>
      <c r="J384" s="2"/>
      <c r="K384" s="2" t="s">
        <v>26</v>
      </c>
      <c r="L384" s="2" t="s">
        <v>5078</v>
      </c>
      <c r="M384" s="2" t="s">
        <v>5079</v>
      </c>
      <c r="N384" s="2" t="s">
        <v>5325</v>
      </c>
      <c r="O384" s="2" t="s">
        <v>5362</v>
      </c>
      <c r="P384" s="2" t="s">
        <v>6607</v>
      </c>
      <c r="Q384" s="2" t="s">
        <v>6587</v>
      </c>
      <c r="R384" s="2" t="s">
        <v>5079</v>
      </c>
      <c r="S384" s="2" t="s">
        <v>6608</v>
      </c>
    </row>
    <row r="385" spans="1:19" x14ac:dyDescent="0.2">
      <c r="A385" s="2">
        <v>256</v>
      </c>
      <c r="B385" s="6" t="s">
        <v>2337</v>
      </c>
      <c r="C385" s="2" t="s">
        <v>6609</v>
      </c>
      <c r="D385" s="2" t="s">
        <v>6610</v>
      </c>
      <c r="E385" s="2" t="s">
        <v>2340</v>
      </c>
      <c r="F385" s="2"/>
      <c r="G385" s="2"/>
      <c r="H385" s="2" t="s">
        <v>393</v>
      </c>
      <c r="I385" s="2" t="s">
        <v>6611</v>
      </c>
      <c r="J385" s="2"/>
      <c r="K385" s="2" t="s">
        <v>412</v>
      </c>
      <c r="L385" s="2" t="s">
        <v>5334</v>
      </c>
      <c r="M385" s="2" t="s">
        <v>6612</v>
      </c>
      <c r="N385" s="2" t="s">
        <v>5325</v>
      </c>
      <c r="O385" s="2" t="s">
        <v>5330</v>
      </c>
      <c r="P385" s="2" t="s">
        <v>6613</v>
      </c>
      <c r="Q385" s="2" t="s">
        <v>5091</v>
      </c>
      <c r="R385" s="2" t="s">
        <v>6612</v>
      </c>
      <c r="S385" s="2"/>
    </row>
    <row r="386" spans="1:19" x14ac:dyDescent="0.2">
      <c r="A386" s="2">
        <v>261</v>
      </c>
      <c r="B386" s="6" t="s">
        <v>2345</v>
      </c>
      <c r="C386" s="2" t="s">
        <v>6614</v>
      </c>
      <c r="D386" s="2" t="s">
        <v>6615</v>
      </c>
      <c r="E386" s="2" t="s">
        <v>452</v>
      </c>
      <c r="F386" s="2"/>
      <c r="G386" s="2"/>
      <c r="H386" s="2" t="s">
        <v>393</v>
      </c>
      <c r="I386" s="2" t="s">
        <v>491</v>
      </c>
      <c r="J386" s="2"/>
      <c r="K386" s="2" t="s">
        <v>26</v>
      </c>
      <c r="L386" s="2" t="s">
        <v>5078</v>
      </c>
      <c r="M386" s="2" t="s">
        <v>5361</v>
      </c>
      <c r="N386" s="2" t="s">
        <v>5325</v>
      </c>
      <c r="O386" s="2" t="s">
        <v>5335</v>
      </c>
      <c r="P386" s="2" t="s">
        <v>6616</v>
      </c>
      <c r="Q386" s="2" t="s">
        <v>5091</v>
      </c>
      <c r="R386" s="2" t="s">
        <v>5364</v>
      </c>
      <c r="S386" s="2"/>
    </row>
    <row r="387" spans="1:19" x14ac:dyDescent="0.2">
      <c r="A387" s="2">
        <v>842</v>
      </c>
      <c r="B387" s="6" t="s">
        <v>2349</v>
      </c>
      <c r="C387" s="2" t="s">
        <v>6617</v>
      </c>
      <c r="D387" s="2" t="s">
        <v>6618</v>
      </c>
      <c r="E387" s="2" t="s">
        <v>988</v>
      </c>
      <c r="F387" s="2"/>
      <c r="G387" s="2"/>
      <c r="H387" s="2" t="s">
        <v>393</v>
      </c>
      <c r="I387" s="2" t="s">
        <v>453</v>
      </c>
      <c r="J387" s="2"/>
      <c r="K387" s="2" t="s">
        <v>26</v>
      </c>
      <c r="L387" s="2" t="s">
        <v>5078</v>
      </c>
      <c r="M387" s="2" t="s">
        <v>5352</v>
      </c>
      <c r="N387" s="2" t="s">
        <v>5325</v>
      </c>
      <c r="O387" s="2" t="s">
        <v>5362</v>
      </c>
      <c r="P387" s="2" t="s">
        <v>6619</v>
      </c>
      <c r="Q387" s="2" t="s">
        <v>5091</v>
      </c>
      <c r="R387" s="2" t="s">
        <v>5352</v>
      </c>
      <c r="S387" s="2"/>
    </row>
    <row r="388" spans="1:19" x14ac:dyDescent="0.2">
      <c r="A388" s="2">
        <v>843</v>
      </c>
      <c r="B388" s="6" t="s">
        <v>2353</v>
      </c>
      <c r="C388" s="2" t="s">
        <v>6620</v>
      </c>
      <c r="D388" s="2" t="s">
        <v>6621</v>
      </c>
      <c r="E388" s="2" t="s">
        <v>988</v>
      </c>
      <c r="F388" s="2"/>
      <c r="G388" s="2"/>
      <c r="H388" s="2" t="s">
        <v>393</v>
      </c>
      <c r="I388" s="2" t="s">
        <v>453</v>
      </c>
      <c r="J388" s="2"/>
      <c r="K388" s="2" t="s">
        <v>26</v>
      </c>
      <c r="L388" s="2" t="s">
        <v>5078</v>
      </c>
      <c r="M388" s="2" t="s">
        <v>5107</v>
      </c>
      <c r="N388" s="2" t="s">
        <v>5325</v>
      </c>
      <c r="O388" s="2" t="s">
        <v>5362</v>
      </c>
      <c r="P388" s="2" t="s">
        <v>5849</v>
      </c>
      <c r="Q388" s="2" t="s">
        <v>5091</v>
      </c>
      <c r="R388" s="2" t="s">
        <v>5107</v>
      </c>
      <c r="S388" s="2"/>
    </row>
    <row r="389" spans="1:19" x14ac:dyDescent="0.2">
      <c r="A389" s="2">
        <v>844</v>
      </c>
      <c r="B389" s="6" t="s">
        <v>2356</v>
      </c>
      <c r="C389" s="2" t="s">
        <v>6622</v>
      </c>
      <c r="D389" s="2" t="s">
        <v>6623</v>
      </c>
      <c r="E389" s="2" t="s">
        <v>2359</v>
      </c>
      <c r="F389" s="2" t="s">
        <v>2359</v>
      </c>
      <c r="G389" s="2" t="s">
        <v>2359</v>
      </c>
      <c r="H389" s="2" t="s">
        <v>393</v>
      </c>
      <c r="I389" s="2" t="s">
        <v>2360</v>
      </c>
      <c r="J389" s="2"/>
      <c r="K389" s="2" t="s">
        <v>426</v>
      </c>
      <c r="L389" s="2" t="s">
        <v>5345</v>
      </c>
      <c r="M389" s="2" t="s">
        <v>5100</v>
      </c>
      <c r="N389" s="2" t="s">
        <v>5325</v>
      </c>
      <c r="O389" s="2" t="s">
        <v>5330</v>
      </c>
      <c r="P389" s="2" t="s">
        <v>6624</v>
      </c>
      <c r="Q389" s="2"/>
      <c r="R389" s="2" t="s">
        <v>5100</v>
      </c>
      <c r="S389" s="2"/>
    </row>
    <row r="390" spans="1:19" x14ac:dyDescent="0.2">
      <c r="A390" s="2">
        <v>845</v>
      </c>
      <c r="B390" s="6" t="s">
        <v>2362</v>
      </c>
      <c r="C390" s="2" t="s">
        <v>6625</v>
      </c>
      <c r="D390" s="2" t="s">
        <v>6626</v>
      </c>
      <c r="E390" s="2" t="s">
        <v>988</v>
      </c>
      <c r="F390" s="2"/>
      <c r="G390" s="2"/>
      <c r="H390" s="2" t="s">
        <v>393</v>
      </c>
      <c r="I390" s="2" t="s">
        <v>2360</v>
      </c>
      <c r="J390" s="2"/>
      <c r="K390" s="2" t="s">
        <v>26</v>
      </c>
      <c r="L390" s="2" t="s">
        <v>5078</v>
      </c>
      <c r="M390" s="2" t="s">
        <v>5100</v>
      </c>
      <c r="N390" s="2" t="s">
        <v>5325</v>
      </c>
      <c r="O390" s="2" t="s">
        <v>5362</v>
      </c>
      <c r="P390" s="2" t="s">
        <v>6627</v>
      </c>
      <c r="Q390" s="2"/>
      <c r="R390" s="2" t="s">
        <v>5100</v>
      </c>
      <c r="S390" s="2"/>
    </row>
    <row r="391" spans="1:19" x14ac:dyDescent="0.2">
      <c r="A391" s="2">
        <v>1232</v>
      </c>
      <c r="B391" s="6" t="s">
        <v>2366</v>
      </c>
      <c r="C391" s="2" t="s">
        <v>6628</v>
      </c>
      <c r="D391" s="2" t="s">
        <v>6629</v>
      </c>
      <c r="E391" s="2" t="s">
        <v>2369</v>
      </c>
      <c r="F391" s="2" t="s">
        <v>2370</v>
      </c>
      <c r="G391" s="2" t="s">
        <v>1631</v>
      </c>
      <c r="H391" s="2" t="s">
        <v>393</v>
      </c>
      <c r="I391" s="2" t="s">
        <v>453</v>
      </c>
      <c r="J391" s="2"/>
      <c r="K391" s="2" t="s">
        <v>26</v>
      </c>
      <c r="L391" s="2" t="s">
        <v>5078</v>
      </c>
      <c r="M391" s="2" t="s">
        <v>6630</v>
      </c>
      <c r="N391" s="2" t="s">
        <v>5325</v>
      </c>
      <c r="O391" s="2" t="s">
        <v>5326</v>
      </c>
      <c r="P391" s="2" t="s">
        <v>6631</v>
      </c>
      <c r="Q391" s="2" t="s">
        <v>5091</v>
      </c>
      <c r="R391" s="2" t="s">
        <v>6632</v>
      </c>
      <c r="S391" s="2"/>
    </row>
    <row r="392" spans="1:19" x14ac:dyDescent="0.2">
      <c r="A392" s="2">
        <v>1233</v>
      </c>
      <c r="B392" s="6" t="s">
        <v>2374</v>
      </c>
      <c r="C392" s="2" t="s">
        <v>6633</v>
      </c>
      <c r="D392" s="2" t="s">
        <v>6634</v>
      </c>
      <c r="E392" s="2" t="s">
        <v>979</v>
      </c>
      <c r="F392" s="2"/>
      <c r="G392" s="2"/>
      <c r="H392" s="2" t="s">
        <v>393</v>
      </c>
      <c r="I392" s="2" t="s">
        <v>453</v>
      </c>
      <c r="J392" s="2"/>
      <c r="K392" s="2" t="s">
        <v>26</v>
      </c>
      <c r="L392" s="2" t="s">
        <v>5078</v>
      </c>
      <c r="M392" s="2" t="s">
        <v>5107</v>
      </c>
      <c r="N392" s="2" t="s">
        <v>5325</v>
      </c>
      <c r="O392" s="2" t="s">
        <v>5330</v>
      </c>
      <c r="P392" s="2" t="s">
        <v>6635</v>
      </c>
      <c r="Q392" s="2" t="s">
        <v>5091</v>
      </c>
      <c r="R392" s="2" t="s">
        <v>5107</v>
      </c>
      <c r="S392" s="2"/>
    </row>
    <row r="393" spans="1:19" x14ac:dyDescent="0.2">
      <c r="A393" s="2">
        <v>1360</v>
      </c>
      <c r="B393" s="6" t="s">
        <v>2378</v>
      </c>
      <c r="C393" s="2" t="s">
        <v>6636</v>
      </c>
      <c r="D393" s="2" t="s">
        <v>6637</v>
      </c>
      <c r="E393" s="2" t="s">
        <v>2381</v>
      </c>
      <c r="F393" s="2"/>
      <c r="G393" s="2"/>
      <c r="H393" s="2" t="s">
        <v>393</v>
      </c>
      <c r="I393" s="2" t="s">
        <v>2382</v>
      </c>
      <c r="J393" s="2"/>
      <c r="K393" s="2" t="s">
        <v>26</v>
      </c>
      <c r="L393" s="2" t="s">
        <v>5078</v>
      </c>
      <c r="M393" s="2" t="s">
        <v>6638</v>
      </c>
      <c r="N393" s="2" t="s">
        <v>5325</v>
      </c>
      <c r="O393" s="2" t="s">
        <v>5362</v>
      </c>
      <c r="P393" s="2" t="s">
        <v>6639</v>
      </c>
      <c r="Q393" s="2" t="s">
        <v>5091</v>
      </c>
      <c r="R393" s="2" t="s">
        <v>6638</v>
      </c>
      <c r="S393" s="2"/>
    </row>
    <row r="394" spans="1:19" x14ac:dyDescent="0.2">
      <c r="A394" s="2">
        <v>1362</v>
      </c>
      <c r="B394" s="6" t="s">
        <v>2386</v>
      </c>
      <c r="C394" s="2" t="s">
        <v>6640</v>
      </c>
      <c r="D394" s="2" t="s">
        <v>6641</v>
      </c>
      <c r="E394" s="2" t="s">
        <v>77</v>
      </c>
      <c r="F394" s="2" t="s">
        <v>77</v>
      </c>
      <c r="G394" s="2" t="s">
        <v>77</v>
      </c>
      <c r="H394" s="2" t="s">
        <v>393</v>
      </c>
      <c r="I394" s="2" t="s">
        <v>1258</v>
      </c>
      <c r="J394" s="2"/>
      <c r="K394" s="2" t="s">
        <v>26</v>
      </c>
      <c r="L394" s="2" t="s">
        <v>5078</v>
      </c>
      <c r="M394" s="2" t="s">
        <v>5367</v>
      </c>
      <c r="N394" s="2" t="s">
        <v>5325</v>
      </c>
      <c r="O394" s="2" t="s">
        <v>5081</v>
      </c>
      <c r="P394" s="2" t="s">
        <v>6642</v>
      </c>
      <c r="Q394" s="2" t="s">
        <v>5091</v>
      </c>
      <c r="R394" s="2" t="s">
        <v>5367</v>
      </c>
      <c r="S394" s="2"/>
    </row>
    <row r="395" spans="1:19" x14ac:dyDescent="0.2">
      <c r="A395" s="2">
        <v>1364</v>
      </c>
      <c r="B395" s="6" t="s">
        <v>2390</v>
      </c>
      <c r="C395" s="2" t="s">
        <v>6643</v>
      </c>
      <c r="D395" s="2" t="s">
        <v>6644</v>
      </c>
      <c r="E395" s="2" t="s">
        <v>410</v>
      </c>
      <c r="F395" s="2"/>
      <c r="G395" s="2"/>
      <c r="H395" s="2" t="s">
        <v>393</v>
      </c>
      <c r="I395" s="2" t="s">
        <v>739</v>
      </c>
      <c r="J395" s="2"/>
      <c r="K395" s="2" t="s">
        <v>26</v>
      </c>
      <c r="L395" s="2" t="s">
        <v>5078</v>
      </c>
      <c r="M395" s="2" t="s">
        <v>6645</v>
      </c>
      <c r="N395" s="2" t="s">
        <v>5325</v>
      </c>
      <c r="O395" s="2" t="s">
        <v>5335</v>
      </c>
      <c r="P395" s="2" t="s">
        <v>6646</v>
      </c>
      <c r="Q395" s="2"/>
      <c r="R395" s="2" t="s">
        <v>6647</v>
      </c>
      <c r="S395" s="2"/>
    </row>
    <row r="396" spans="1:19" x14ac:dyDescent="0.2">
      <c r="A396" s="2">
        <v>1365</v>
      </c>
      <c r="B396" s="6" t="s">
        <v>2396</v>
      </c>
      <c r="C396" s="2" t="s">
        <v>6648</v>
      </c>
      <c r="D396" s="2" t="s">
        <v>6649</v>
      </c>
      <c r="E396" s="2" t="s">
        <v>858</v>
      </c>
      <c r="F396" s="2" t="s">
        <v>402</v>
      </c>
      <c r="G396" s="2" t="s">
        <v>858</v>
      </c>
      <c r="H396" s="2" t="s">
        <v>393</v>
      </c>
      <c r="I396" s="2" t="s">
        <v>2399</v>
      </c>
      <c r="J396" s="2"/>
      <c r="K396" s="2" t="s">
        <v>26</v>
      </c>
      <c r="L396" s="2" t="s">
        <v>5078</v>
      </c>
      <c r="M396" s="2" t="s">
        <v>6650</v>
      </c>
      <c r="N396" s="2" t="s">
        <v>5325</v>
      </c>
      <c r="O396" s="2" t="s">
        <v>5081</v>
      </c>
      <c r="P396" s="2" t="s">
        <v>6651</v>
      </c>
      <c r="Q396" s="2" t="s">
        <v>5091</v>
      </c>
      <c r="R396" s="2" t="s">
        <v>6019</v>
      </c>
      <c r="S396" s="2"/>
    </row>
    <row r="397" spans="1:19" x14ac:dyDescent="0.2">
      <c r="A397" s="2">
        <v>1368</v>
      </c>
      <c r="B397" s="6" t="s">
        <v>2402</v>
      </c>
      <c r="C397" s="2" t="s">
        <v>6652</v>
      </c>
      <c r="D397" s="2" t="s">
        <v>6653</v>
      </c>
      <c r="E397" s="2" t="s">
        <v>2405</v>
      </c>
      <c r="F397" s="2"/>
      <c r="G397" s="2"/>
      <c r="H397" s="2" t="s">
        <v>393</v>
      </c>
      <c r="I397" s="2" t="s">
        <v>713</v>
      </c>
      <c r="J397" s="2"/>
      <c r="K397" s="2" t="s">
        <v>26</v>
      </c>
      <c r="L397" s="2" t="s">
        <v>5078</v>
      </c>
      <c r="M397" s="2" t="s">
        <v>5352</v>
      </c>
      <c r="N397" s="2" t="s">
        <v>5325</v>
      </c>
      <c r="O397" s="2" t="s">
        <v>5330</v>
      </c>
      <c r="P397" s="2" t="s">
        <v>6654</v>
      </c>
      <c r="Q397" s="2"/>
      <c r="R397" s="2" t="s">
        <v>5352</v>
      </c>
      <c r="S397" s="2"/>
    </row>
    <row r="398" spans="1:19" x14ac:dyDescent="0.2">
      <c r="A398" s="2">
        <v>1370</v>
      </c>
      <c r="B398" s="6" t="s">
        <v>2407</v>
      </c>
      <c r="C398" s="2" t="s">
        <v>6655</v>
      </c>
      <c r="D398" s="2" t="s">
        <v>6656</v>
      </c>
      <c r="E398" s="2" t="s">
        <v>490</v>
      </c>
      <c r="F398" s="2"/>
      <c r="G398" s="2"/>
      <c r="H398" s="2" t="s">
        <v>393</v>
      </c>
      <c r="I398" s="2" t="s">
        <v>453</v>
      </c>
      <c r="J398" s="2"/>
      <c r="K398" s="2" t="s">
        <v>26</v>
      </c>
      <c r="L398" s="2" t="s">
        <v>5078</v>
      </c>
      <c r="M398" s="2" t="s">
        <v>5079</v>
      </c>
      <c r="N398" s="2" t="s">
        <v>5325</v>
      </c>
      <c r="O398" s="2" t="s">
        <v>5362</v>
      </c>
      <c r="P398" s="2" t="s">
        <v>6657</v>
      </c>
      <c r="Q398" s="2" t="s">
        <v>5091</v>
      </c>
      <c r="R398" s="2" t="s">
        <v>5079</v>
      </c>
      <c r="S398" s="2"/>
    </row>
    <row r="399" spans="1:19" x14ac:dyDescent="0.2">
      <c r="A399" s="2">
        <v>1231</v>
      </c>
      <c r="B399" s="6" t="s">
        <v>2411</v>
      </c>
      <c r="C399" s="2" t="s">
        <v>6658</v>
      </c>
      <c r="D399" s="2" t="s">
        <v>6659</v>
      </c>
      <c r="E399" s="2" t="s">
        <v>2414</v>
      </c>
      <c r="F399" s="2" t="s">
        <v>778</v>
      </c>
      <c r="G399" s="2" t="s">
        <v>778</v>
      </c>
      <c r="H399" s="2" t="s">
        <v>393</v>
      </c>
      <c r="I399" s="2" t="s">
        <v>453</v>
      </c>
      <c r="J399" s="2"/>
      <c r="K399" s="2" t="s">
        <v>26</v>
      </c>
      <c r="L399" s="2" t="s">
        <v>5078</v>
      </c>
      <c r="M399" s="2" t="s">
        <v>5088</v>
      </c>
      <c r="N399" s="2" t="s">
        <v>5325</v>
      </c>
      <c r="O399" s="2" t="s">
        <v>5362</v>
      </c>
      <c r="P399" s="2" t="s">
        <v>6660</v>
      </c>
      <c r="Q399" s="2" t="s">
        <v>5091</v>
      </c>
      <c r="R399" s="2" t="s">
        <v>5088</v>
      </c>
      <c r="S399" s="2"/>
    </row>
    <row r="400" spans="1:19" x14ac:dyDescent="0.2">
      <c r="A400" s="2">
        <v>2309</v>
      </c>
      <c r="B400" s="6" t="s">
        <v>2417</v>
      </c>
      <c r="C400" s="2" t="s">
        <v>6661</v>
      </c>
      <c r="D400" s="2" t="s">
        <v>6662</v>
      </c>
      <c r="E400" s="2" t="s">
        <v>625</v>
      </c>
      <c r="F400" s="2" t="s">
        <v>625</v>
      </c>
      <c r="G400" s="17">
        <v>45589</v>
      </c>
      <c r="H400" s="2" t="s">
        <v>393</v>
      </c>
      <c r="I400" s="2" t="s">
        <v>6663</v>
      </c>
      <c r="J400" s="2"/>
      <c r="K400" s="2" t="s">
        <v>26</v>
      </c>
      <c r="L400" s="2" t="s">
        <v>5078</v>
      </c>
      <c r="M400" s="2" t="s">
        <v>6664</v>
      </c>
      <c r="N400" s="2" t="s">
        <v>5325</v>
      </c>
      <c r="O400" s="2" t="s">
        <v>5081</v>
      </c>
      <c r="P400" s="2" t="s">
        <v>6665</v>
      </c>
      <c r="Q400" s="2" t="s">
        <v>5091</v>
      </c>
      <c r="R400" s="2" t="s">
        <v>5367</v>
      </c>
      <c r="S400" s="2"/>
    </row>
    <row r="401" spans="1:19" x14ac:dyDescent="0.2">
      <c r="A401" s="2">
        <v>2310</v>
      </c>
      <c r="B401" s="6" t="s">
        <v>2423</v>
      </c>
      <c r="C401" s="2" t="s">
        <v>6666</v>
      </c>
      <c r="D401" s="2" t="s">
        <v>6667</v>
      </c>
      <c r="E401" s="17">
        <v>45587</v>
      </c>
      <c r="F401" s="2" t="s">
        <v>223</v>
      </c>
      <c r="G401" s="2" t="s">
        <v>22</v>
      </c>
      <c r="H401" s="2" t="s">
        <v>393</v>
      </c>
      <c r="I401" s="2" t="s">
        <v>6668</v>
      </c>
      <c r="J401" s="2" t="s">
        <v>5386</v>
      </c>
      <c r="K401" s="2" t="s">
        <v>39</v>
      </c>
      <c r="L401" s="2" t="s">
        <v>5087</v>
      </c>
      <c r="M401" s="2" t="s">
        <v>5193</v>
      </c>
      <c r="N401" s="2" t="s">
        <v>5325</v>
      </c>
      <c r="O401" s="2" t="s">
        <v>5335</v>
      </c>
      <c r="P401" s="2" t="s">
        <v>6669</v>
      </c>
      <c r="Q401" s="2" t="s">
        <v>6670</v>
      </c>
      <c r="R401" s="2" t="s">
        <v>5914</v>
      </c>
      <c r="S401" s="2" t="s">
        <v>6671</v>
      </c>
    </row>
    <row r="402" spans="1:19" x14ac:dyDescent="0.2">
      <c r="A402" s="2">
        <v>2311</v>
      </c>
      <c r="B402" s="6" t="s">
        <v>2430</v>
      </c>
      <c r="C402" s="2" t="s">
        <v>6672</v>
      </c>
      <c r="D402" s="2" t="s">
        <v>6673</v>
      </c>
      <c r="E402" s="17">
        <v>45603</v>
      </c>
      <c r="F402" s="17">
        <v>45603</v>
      </c>
      <c r="G402" s="17">
        <v>45603</v>
      </c>
      <c r="H402" s="2" t="s">
        <v>393</v>
      </c>
      <c r="I402" s="2" t="s">
        <v>6668</v>
      </c>
      <c r="J402" s="2" t="s">
        <v>5085</v>
      </c>
      <c r="K402" s="2" t="s">
        <v>39</v>
      </c>
      <c r="L402" s="2" t="s">
        <v>5087</v>
      </c>
      <c r="M402" s="2" t="s">
        <v>5193</v>
      </c>
      <c r="N402" s="2" t="s">
        <v>5325</v>
      </c>
      <c r="O402" s="2" t="s">
        <v>5326</v>
      </c>
      <c r="P402" s="2" t="s">
        <v>6674</v>
      </c>
      <c r="Q402" s="2" t="s">
        <v>5341</v>
      </c>
      <c r="R402" s="2" t="s">
        <v>5193</v>
      </c>
      <c r="S402" s="2" t="s">
        <v>6675</v>
      </c>
    </row>
    <row r="403" spans="1:19" x14ac:dyDescent="0.2">
      <c r="A403" s="2">
        <v>2312</v>
      </c>
      <c r="B403" s="6" t="s">
        <v>2436</v>
      </c>
      <c r="C403" s="2" t="s">
        <v>6676</v>
      </c>
      <c r="D403" s="2" t="s">
        <v>6677</v>
      </c>
      <c r="E403" s="2" t="s">
        <v>1410</v>
      </c>
      <c r="F403" s="2"/>
      <c r="G403" s="2"/>
      <c r="H403" s="2" t="s">
        <v>393</v>
      </c>
      <c r="I403" s="2" t="s">
        <v>6668</v>
      </c>
      <c r="J403" s="2" t="s">
        <v>5187</v>
      </c>
      <c r="K403" s="2" t="s">
        <v>39</v>
      </c>
      <c r="L403" s="2" t="s">
        <v>5087</v>
      </c>
      <c r="M403" s="2" t="s">
        <v>5193</v>
      </c>
      <c r="N403" s="2" t="s">
        <v>5325</v>
      </c>
      <c r="O403" s="2" t="s">
        <v>5081</v>
      </c>
      <c r="P403" s="2" t="s">
        <v>6678</v>
      </c>
      <c r="Q403" s="2" t="s">
        <v>5341</v>
      </c>
      <c r="R403" s="2" t="s">
        <v>5193</v>
      </c>
      <c r="S403" s="2" t="s">
        <v>6679</v>
      </c>
    </row>
    <row r="404" spans="1:19" x14ac:dyDescent="0.2">
      <c r="A404" s="2">
        <v>2313</v>
      </c>
      <c r="B404" s="6" t="s">
        <v>2442</v>
      </c>
      <c r="C404" s="2" t="s">
        <v>6680</v>
      </c>
      <c r="D404" s="2" t="s">
        <v>6681</v>
      </c>
      <c r="E404" s="2" t="s">
        <v>2445</v>
      </c>
      <c r="F404" s="2"/>
      <c r="G404" s="2"/>
      <c r="H404" s="2" t="s">
        <v>393</v>
      </c>
      <c r="I404" s="2" t="s">
        <v>6668</v>
      </c>
      <c r="J404" s="2" t="s">
        <v>5386</v>
      </c>
      <c r="K404" s="2" t="s">
        <v>39</v>
      </c>
      <c r="L404" s="2" t="s">
        <v>5087</v>
      </c>
      <c r="M404" s="2" t="s">
        <v>5193</v>
      </c>
      <c r="N404" s="2" t="s">
        <v>5325</v>
      </c>
      <c r="O404" s="2" t="s">
        <v>5326</v>
      </c>
      <c r="P404" s="2" t="s">
        <v>6682</v>
      </c>
      <c r="Q404" s="2" t="s">
        <v>6683</v>
      </c>
      <c r="R404" s="2" t="s">
        <v>5914</v>
      </c>
      <c r="S404" s="2" t="s">
        <v>6684</v>
      </c>
    </row>
    <row r="405" spans="1:19" x14ac:dyDescent="0.2">
      <c r="A405" s="2">
        <v>2314</v>
      </c>
      <c r="B405" s="6" t="s">
        <v>2449</v>
      </c>
      <c r="C405" s="2" t="s">
        <v>6685</v>
      </c>
      <c r="D405" s="2" t="s">
        <v>6686</v>
      </c>
      <c r="E405" s="2" t="s">
        <v>2452</v>
      </c>
      <c r="F405" s="2" t="s">
        <v>2453</v>
      </c>
      <c r="G405" s="2" t="s">
        <v>2453</v>
      </c>
      <c r="H405" s="2" t="s">
        <v>393</v>
      </c>
      <c r="I405" s="2" t="s">
        <v>6668</v>
      </c>
      <c r="J405" s="2" t="s">
        <v>2454</v>
      </c>
      <c r="K405" s="2" t="s">
        <v>39</v>
      </c>
      <c r="L405" s="2" t="s">
        <v>5087</v>
      </c>
      <c r="M405" s="2" t="s">
        <v>5193</v>
      </c>
      <c r="N405" s="2" t="s">
        <v>5325</v>
      </c>
      <c r="O405" s="2" t="s">
        <v>5326</v>
      </c>
      <c r="P405" s="2" t="s">
        <v>6687</v>
      </c>
      <c r="Q405" s="2" t="s">
        <v>5341</v>
      </c>
      <c r="R405" s="2" t="s">
        <v>6452</v>
      </c>
      <c r="S405" s="2" t="s">
        <v>6688</v>
      </c>
    </row>
    <row r="406" spans="1:19" x14ac:dyDescent="0.2">
      <c r="A406" s="2">
        <v>2315</v>
      </c>
      <c r="B406" s="6" t="s">
        <v>2457</v>
      </c>
      <c r="C406" s="2" t="s">
        <v>6689</v>
      </c>
      <c r="D406" s="2" t="s">
        <v>6690</v>
      </c>
      <c r="E406" s="2" t="s">
        <v>608</v>
      </c>
      <c r="F406" s="2" t="s">
        <v>1907</v>
      </c>
      <c r="G406" s="2" t="s">
        <v>2460</v>
      </c>
      <c r="H406" s="2" t="s">
        <v>393</v>
      </c>
      <c r="I406" s="2" t="s">
        <v>6691</v>
      </c>
      <c r="J406" s="2" t="s">
        <v>6692</v>
      </c>
      <c r="K406" s="2" t="s">
        <v>26</v>
      </c>
      <c r="L406" s="2" t="s">
        <v>5078</v>
      </c>
      <c r="M406" s="2" t="s">
        <v>5095</v>
      </c>
      <c r="N406" s="2" t="s">
        <v>5325</v>
      </c>
      <c r="O406" s="2" t="s">
        <v>5335</v>
      </c>
      <c r="P406" s="2" t="s">
        <v>6693</v>
      </c>
      <c r="Q406" s="2" t="s">
        <v>6694</v>
      </c>
      <c r="R406" s="2" t="s">
        <v>5095</v>
      </c>
      <c r="S406" s="2"/>
    </row>
    <row r="407" spans="1:19" x14ac:dyDescent="0.2">
      <c r="A407" s="2">
        <v>2317</v>
      </c>
      <c r="B407" s="6" t="s">
        <v>2465</v>
      </c>
      <c r="C407" s="2" t="s">
        <v>6695</v>
      </c>
      <c r="D407" s="2" t="s">
        <v>6696</v>
      </c>
      <c r="E407" s="2" t="s">
        <v>100</v>
      </c>
      <c r="F407" s="2"/>
      <c r="G407" s="2"/>
      <c r="H407" s="2" t="s">
        <v>393</v>
      </c>
      <c r="I407" s="2" t="s">
        <v>2468</v>
      </c>
      <c r="J407" s="2" t="s">
        <v>5085</v>
      </c>
      <c r="K407" s="2" t="s">
        <v>39</v>
      </c>
      <c r="L407" s="2" t="s">
        <v>5087</v>
      </c>
      <c r="M407" s="2" t="s">
        <v>5367</v>
      </c>
      <c r="N407" s="2" t="s">
        <v>5325</v>
      </c>
      <c r="O407" s="2" t="s">
        <v>5326</v>
      </c>
      <c r="P407" s="2" t="s">
        <v>6697</v>
      </c>
      <c r="Q407" s="2" t="s">
        <v>5341</v>
      </c>
      <c r="R407" s="2" t="s">
        <v>5367</v>
      </c>
      <c r="S407" s="2"/>
    </row>
    <row r="408" spans="1:19" x14ac:dyDescent="0.2">
      <c r="A408" s="2">
        <v>2214</v>
      </c>
      <c r="B408" s="6" t="s">
        <v>2471</v>
      </c>
      <c r="C408" s="2" t="s">
        <v>6698</v>
      </c>
      <c r="D408" s="2" t="s">
        <v>6699</v>
      </c>
      <c r="E408" s="2" t="s">
        <v>1415</v>
      </c>
      <c r="F408" s="2" t="s">
        <v>1415</v>
      </c>
      <c r="G408" s="2" t="s">
        <v>1415</v>
      </c>
      <c r="H408" s="2" t="s">
        <v>393</v>
      </c>
      <c r="I408" s="2" t="s">
        <v>1258</v>
      </c>
      <c r="J408" s="2"/>
      <c r="K408" s="2" t="s">
        <v>645</v>
      </c>
      <c r="L408" s="2" t="s">
        <v>5482</v>
      </c>
      <c r="M408" s="2" t="s">
        <v>5965</v>
      </c>
      <c r="N408" s="2" t="s">
        <v>5325</v>
      </c>
      <c r="O408" s="2" t="s">
        <v>5335</v>
      </c>
      <c r="P408" s="2" t="s">
        <v>6700</v>
      </c>
      <c r="Q408" s="2" t="s">
        <v>5091</v>
      </c>
      <c r="R408" s="2" t="s">
        <v>5965</v>
      </c>
      <c r="S408" s="2"/>
    </row>
    <row r="409" spans="1:19" x14ac:dyDescent="0.2">
      <c r="A409" s="2">
        <v>2218</v>
      </c>
      <c r="B409" s="6" t="s">
        <v>2475</v>
      </c>
      <c r="C409" s="2" t="s">
        <v>6701</v>
      </c>
      <c r="D409" s="2" t="s">
        <v>6702</v>
      </c>
      <c r="E409" s="2" t="s">
        <v>2478</v>
      </c>
      <c r="F409" s="2"/>
      <c r="G409" s="2"/>
      <c r="H409" s="2" t="s">
        <v>393</v>
      </c>
      <c r="I409" s="2" t="s">
        <v>1258</v>
      </c>
      <c r="J409" s="2"/>
      <c r="K409" s="2" t="s">
        <v>1011</v>
      </c>
      <c r="L409" s="2" t="s">
        <v>5709</v>
      </c>
      <c r="M409" s="2" t="s">
        <v>6703</v>
      </c>
      <c r="N409" s="2" t="s">
        <v>5325</v>
      </c>
      <c r="O409" s="2" t="s">
        <v>5330</v>
      </c>
      <c r="P409" s="2" t="s">
        <v>6704</v>
      </c>
      <c r="Q409" s="2" t="s">
        <v>5091</v>
      </c>
      <c r="R409" s="2" t="s">
        <v>6530</v>
      </c>
      <c r="S409" s="2"/>
    </row>
    <row r="410" spans="1:19" x14ac:dyDescent="0.2">
      <c r="A410" s="2">
        <v>2220</v>
      </c>
      <c r="B410" s="6" t="s">
        <v>2481</v>
      </c>
      <c r="C410" s="2" t="s">
        <v>6705</v>
      </c>
      <c r="D410" s="2" t="s">
        <v>6706</v>
      </c>
      <c r="E410" s="2" t="s">
        <v>2478</v>
      </c>
      <c r="F410" s="2"/>
      <c r="G410" s="2"/>
      <c r="H410" s="2" t="s">
        <v>393</v>
      </c>
      <c r="I410" s="2" t="s">
        <v>1258</v>
      </c>
      <c r="J410" s="2"/>
      <c r="K410" s="2" t="s">
        <v>1011</v>
      </c>
      <c r="L410" s="2" t="s">
        <v>5709</v>
      </c>
      <c r="M410" s="2" t="s">
        <v>6707</v>
      </c>
      <c r="N410" s="2" t="s">
        <v>5325</v>
      </c>
      <c r="O410" s="2" t="s">
        <v>5330</v>
      </c>
      <c r="P410" s="2" t="s">
        <v>6708</v>
      </c>
      <c r="Q410" s="2" t="s">
        <v>5091</v>
      </c>
      <c r="R410" s="2" t="s">
        <v>5107</v>
      </c>
      <c r="S410" s="2"/>
    </row>
    <row r="411" spans="1:19" x14ac:dyDescent="0.2">
      <c r="A411" s="2">
        <v>2221</v>
      </c>
      <c r="B411" s="6" t="s">
        <v>2486</v>
      </c>
      <c r="C411" s="2" t="s">
        <v>6709</v>
      </c>
      <c r="D411" s="2" t="s">
        <v>6710</v>
      </c>
      <c r="E411" s="2" t="s">
        <v>2445</v>
      </c>
      <c r="F411" s="2"/>
      <c r="G411" s="2"/>
      <c r="H411" s="2" t="s">
        <v>393</v>
      </c>
      <c r="I411" s="2" t="s">
        <v>1258</v>
      </c>
      <c r="J411" s="2"/>
      <c r="K411" s="2" t="s">
        <v>645</v>
      </c>
      <c r="L411" s="2" t="s">
        <v>5482</v>
      </c>
      <c r="M411" s="2" t="s">
        <v>5128</v>
      </c>
      <c r="N411" s="2" t="s">
        <v>5325</v>
      </c>
      <c r="O411" s="2" t="s">
        <v>5081</v>
      </c>
      <c r="P411" s="2" t="s">
        <v>6711</v>
      </c>
      <c r="Q411" s="2" t="s">
        <v>5091</v>
      </c>
      <c r="R411" s="2" t="s">
        <v>5128</v>
      </c>
      <c r="S411" s="2"/>
    </row>
    <row r="412" spans="1:19" x14ac:dyDescent="0.2">
      <c r="A412" s="2">
        <v>2226</v>
      </c>
      <c r="B412" s="6" t="s">
        <v>2490</v>
      </c>
      <c r="C412" s="2" t="s">
        <v>6712</v>
      </c>
      <c r="D412" s="2" t="s">
        <v>6713</v>
      </c>
      <c r="E412" s="2" t="s">
        <v>199</v>
      </c>
      <c r="F412" s="2"/>
      <c r="G412" s="2"/>
      <c r="H412" s="2" t="s">
        <v>393</v>
      </c>
      <c r="I412" s="2" t="s">
        <v>1258</v>
      </c>
      <c r="J412" s="2"/>
      <c r="K412" s="2" t="s">
        <v>645</v>
      </c>
      <c r="L412" s="2" t="s">
        <v>5482</v>
      </c>
      <c r="M412" s="2" t="s">
        <v>5079</v>
      </c>
      <c r="N412" s="2" t="s">
        <v>5325</v>
      </c>
      <c r="O412" s="2" t="s">
        <v>5081</v>
      </c>
      <c r="P412" s="2" t="s">
        <v>6714</v>
      </c>
      <c r="Q412" s="2"/>
      <c r="R412" s="2" t="s">
        <v>5079</v>
      </c>
      <c r="S412" s="2" t="s">
        <v>5281</v>
      </c>
    </row>
    <row r="413" spans="1:19" x14ac:dyDescent="0.2">
      <c r="A413" s="2">
        <v>823</v>
      </c>
      <c r="B413" s="6" t="s">
        <v>2494</v>
      </c>
      <c r="C413" s="2" t="s">
        <v>6715</v>
      </c>
      <c r="D413" s="2" t="s">
        <v>6716</v>
      </c>
      <c r="E413" s="2" t="s">
        <v>410</v>
      </c>
      <c r="F413" s="2"/>
      <c r="G413" s="2"/>
      <c r="H413" s="2" t="s">
        <v>393</v>
      </c>
      <c r="I413" s="2" t="s">
        <v>453</v>
      </c>
      <c r="J413" s="2"/>
      <c r="K413" s="2" t="s">
        <v>645</v>
      </c>
      <c r="L413" s="2" t="s">
        <v>5482</v>
      </c>
      <c r="M413" s="2" t="s">
        <v>5324</v>
      </c>
      <c r="N413" s="2" t="s">
        <v>5325</v>
      </c>
      <c r="O413" s="2" t="s">
        <v>5362</v>
      </c>
      <c r="P413" s="2" t="s">
        <v>6717</v>
      </c>
      <c r="Q413" s="2" t="s">
        <v>5091</v>
      </c>
      <c r="R413" s="2" t="s">
        <v>5324</v>
      </c>
      <c r="S413" s="2"/>
    </row>
    <row r="414" spans="1:19" x14ac:dyDescent="0.2">
      <c r="A414" s="2">
        <v>279</v>
      </c>
      <c r="B414" s="6" t="s">
        <v>2498</v>
      </c>
      <c r="C414" s="2" t="s">
        <v>6718</v>
      </c>
      <c r="D414" s="2" t="s">
        <v>6719</v>
      </c>
      <c r="E414" s="2" t="s">
        <v>2501</v>
      </c>
      <c r="F414" s="2" t="s">
        <v>2502</v>
      </c>
      <c r="G414" s="2" t="s">
        <v>2503</v>
      </c>
      <c r="H414" s="2" t="s">
        <v>393</v>
      </c>
      <c r="I414" s="2" t="s">
        <v>453</v>
      </c>
      <c r="J414" s="2"/>
      <c r="K414" s="2" t="s">
        <v>426</v>
      </c>
      <c r="L414" s="2" t="s">
        <v>5345</v>
      </c>
      <c r="M414" s="2" t="s">
        <v>5107</v>
      </c>
      <c r="N414" s="2" t="s">
        <v>5325</v>
      </c>
      <c r="O414" s="2" t="s">
        <v>5326</v>
      </c>
      <c r="P414" s="2" t="s">
        <v>6720</v>
      </c>
      <c r="Q414" s="2" t="s">
        <v>5091</v>
      </c>
      <c r="R414" s="2" t="s">
        <v>6721</v>
      </c>
      <c r="S414" s="2"/>
    </row>
    <row r="415" spans="1:19" x14ac:dyDescent="0.2">
      <c r="A415" s="2">
        <v>280</v>
      </c>
      <c r="B415" s="6" t="s">
        <v>2506</v>
      </c>
      <c r="C415" s="2" t="s">
        <v>6722</v>
      </c>
      <c r="D415" s="2" t="s">
        <v>6723</v>
      </c>
      <c r="E415" s="2" t="s">
        <v>979</v>
      </c>
      <c r="F415" s="2" t="s">
        <v>2503</v>
      </c>
      <c r="G415" s="2" t="s">
        <v>2503</v>
      </c>
      <c r="H415" s="2" t="s">
        <v>393</v>
      </c>
      <c r="I415" s="2" t="s">
        <v>453</v>
      </c>
      <c r="J415" s="2"/>
      <c r="K415" s="2" t="s">
        <v>426</v>
      </c>
      <c r="L415" s="2" t="s">
        <v>5345</v>
      </c>
      <c r="M415" s="2" t="s">
        <v>5079</v>
      </c>
      <c r="N415" s="2" t="s">
        <v>5325</v>
      </c>
      <c r="O415" s="2" t="s">
        <v>5815</v>
      </c>
      <c r="P415" s="2" t="s">
        <v>6724</v>
      </c>
      <c r="Q415" s="2" t="s">
        <v>5091</v>
      </c>
      <c r="R415" s="2" t="s">
        <v>5079</v>
      </c>
      <c r="S415" s="2"/>
    </row>
    <row r="416" spans="1:19" x14ac:dyDescent="0.2">
      <c r="A416" s="2">
        <v>1186</v>
      </c>
      <c r="B416" s="6" t="s">
        <v>2510</v>
      </c>
      <c r="C416" s="2" t="s">
        <v>6725</v>
      </c>
      <c r="D416" s="2" t="s">
        <v>6726</v>
      </c>
      <c r="E416" s="2" t="s">
        <v>531</v>
      </c>
      <c r="F416" s="2"/>
      <c r="G416" s="2"/>
      <c r="H416" s="2" t="s">
        <v>393</v>
      </c>
      <c r="I416" s="2" t="s">
        <v>1360</v>
      </c>
      <c r="J416" s="2"/>
      <c r="K416" s="2" t="s">
        <v>26</v>
      </c>
      <c r="L416" s="2" t="s">
        <v>5078</v>
      </c>
      <c r="M416" s="2" t="s">
        <v>5079</v>
      </c>
      <c r="N416" s="2" t="s">
        <v>5325</v>
      </c>
      <c r="O416" s="2" t="s">
        <v>5362</v>
      </c>
      <c r="P416" s="2" t="s">
        <v>6727</v>
      </c>
      <c r="Q416" s="2" t="s">
        <v>5091</v>
      </c>
      <c r="R416" s="2" t="s">
        <v>6728</v>
      </c>
      <c r="S416" s="2"/>
    </row>
    <row r="417" spans="1:19" x14ac:dyDescent="0.2">
      <c r="A417" s="2">
        <v>1188</v>
      </c>
      <c r="B417" s="6" t="s">
        <v>2516</v>
      </c>
      <c r="C417" s="2" t="s">
        <v>6729</v>
      </c>
      <c r="D417" s="2" t="s">
        <v>6730</v>
      </c>
      <c r="E417" s="2" t="s">
        <v>2519</v>
      </c>
      <c r="F417" s="2" t="s">
        <v>67</v>
      </c>
      <c r="G417" s="2" t="s">
        <v>2520</v>
      </c>
      <c r="H417" s="2" t="s">
        <v>393</v>
      </c>
      <c r="I417" s="2" t="s">
        <v>2521</v>
      </c>
      <c r="J417" s="2"/>
      <c r="K417" s="2" t="s">
        <v>26</v>
      </c>
      <c r="L417" s="2" t="s">
        <v>5078</v>
      </c>
      <c r="M417" s="2" t="s">
        <v>6731</v>
      </c>
      <c r="N417" s="2" t="s">
        <v>5325</v>
      </c>
      <c r="O417" s="2" t="s">
        <v>5362</v>
      </c>
      <c r="P417" s="2" t="s">
        <v>6732</v>
      </c>
      <c r="Q417" s="2" t="s">
        <v>5091</v>
      </c>
      <c r="R417" s="2" t="s">
        <v>5079</v>
      </c>
      <c r="S417" s="2"/>
    </row>
    <row r="418" spans="1:19" x14ac:dyDescent="0.2">
      <c r="A418" s="2">
        <v>1850</v>
      </c>
      <c r="B418" s="6" t="s">
        <v>2524</v>
      </c>
      <c r="C418" s="2" t="s">
        <v>6733</v>
      </c>
      <c r="D418" s="2" t="s">
        <v>6734</v>
      </c>
      <c r="E418" s="2" t="s">
        <v>2527</v>
      </c>
      <c r="F418" s="2" t="s">
        <v>2528</v>
      </c>
      <c r="G418" s="2" t="s">
        <v>2527</v>
      </c>
      <c r="H418" s="2" t="s">
        <v>5227</v>
      </c>
      <c r="I418" s="2" t="s">
        <v>2529</v>
      </c>
      <c r="J418" s="2"/>
      <c r="K418" s="2" t="s">
        <v>39</v>
      </c>
      <c r="L418" s="2" t="s">
        <v>5087</v>
      </c>
      <c r="M418" s="2" t="s">
        <v>5352</v>
      </c>
      <c r="N418" s="2" t="s">
        <v>5108</v>
      </c>
      <c r="O418" s="2" t="s">
        <v>5335</v>
      </c>
      <c r="P418" s="2" t="s">
        <v>6735</v>
      </c>
      <c r="Q418" s="2" t="s">
        <v>5123</v>
      </c>
      <c r="R418" s="2" t="s">
        <v>6736</v>
      </c>
      <c r="S418" s="2" t="s">
        <v>6737</v>
      </c>
    </row>
    <row r="419" spans="1:19" x14ac:dyDescent="0.2">
      <c r="A419" s="2">
        <v>1947</v>
      </c>
      <c r="B419" s="6" t="s">
        <v>2534</v>
      </c>
      <c r="C419" s="2" t="s">
        <v>6738</v>
      </c>
      <c r="D419" s="2" t="s">
        <v>6739</v>
      </c>
      <c r="E419" s="2" t="s">
        <v>2501</v>
      </c>
      <c r="F419" s="2" t="s">
        <v>677</v>
      </c>
      <c r="G419" s="2" t="s">
        <v>2537</v>
      </c>
      <c r="H419" s="2" t="s">
        <v>110</v>
      </c>
      <c r="I419" s="2" t="s">
        <v>2538</v>
      </c>
      <c r="J419" s="2" t="s">
        <v>2539</v>
      </c>
      <c r="K419" s="2" t="s">
        <v>26</v>
      </c>
      <c r="L419" s="2" t="s">
        <v>5078</v>
      </c>
      <c r="M419" s="2" t="s">
        <v>5297</v>
      </c>
      <c r="N419" s="2" t="s">
        <v>5108</v>
      </c>
      <c r="O419" s="2" t="s">
        <v>5326</v>
      </c>
      <c r="P419" s="2" t="s">
        <v>6740</v>
      </c>
      <c r="Q419" s="2" t="s">
        <v>5123</v>
      </c>
      <c r="R419" s="2" t="s">
        <v>5297</v>
      </c>
      <c r="S419" s="2" t="s">
        <v>6737</v>
      </c>
    </row>
    <row r="420" spans="1:19" x14ac:dyDescent="0.2">
      <c r="A420" s="2">
        <v>710</v>
      </c>
      <c r="B420" s="6" t="s">
        <v>2542</v>
      </c>
      <c r="C420" s="2" t="s">
        <v>6741</v>
      </c>
      <c r="D420" s="2" t="s">
        <v>6742</v>
      </c>
      <c r="E420" s="2" t="s">
        <v>2545</v>
      </c>
      <c r="F420" s="2"/>
      <c r="G420" s="2"/>
      <c r="H420" s="2" t="s">
        <v>5291</v>
      </c>
      <c r="I420" s="2" t="s">
        <v>6743</v>
      </c>
      <c r="J420" s="2" t="s">
        <v>2547</v>
      </c>
      <c r="K420" s="2" t="s">
        <v>39</v>
      </c>
      <c r="L420" s="2" t="s">
        <v>5087</v>
      </c>
      <c r="M420" s="2" t="s">
        <v>5100</v>
      </c>
      <c r="N420" s="2" t="s">
        <v>5108</v>
      </c>
      <c r="O420" s="2" t="s">
        <v>5335</v>
      </c>
      <c r="P420" s="2" t="s">
        <v>6744</v>
      </c>
      <c r="Q420" s="2" t="s">
        <v>6745</v>
      </c>
      <c r="R420" s="2" t="s">
        <v>5100</v>
      </c>
      <c r="S420" s="2"/>
    </row>
    <row r="421" spans="1:19" x14ac:dyDescent="0.2">
      <c r="A421" s="2">
        <v>224</v>
      </c>
      <c r="B421" s="6" t="s">
        <v>2550</v>
      </c>
      <c r="C421" s="2" t="s">
        <v>6746</v>
      </c>
      <c r="D421" s="2" t="s">
        <v>6747</v>
      </c>
      <c r="E421" s="2" t="s">
        <v>1069</v>
      </c>
      <c r="F421" s="2"/>
      <c r="G421" s="2"/>
      <c r="H421" s="2" t="s">
        <v>2553</v>
      </c>
      <c r="I421" s="2" t="s">
        <v>6748</v>
      </c>
      <c r="J421" s="2"/>
      <c r="K421" s="2" t="s">
        <v>26</v>
      </c>
      <c r="L421" s="2" t="s">
        <v>5078</v>
      </c>
      <c r="M421" s="2" t="s">
        <v>5100</v>
      </c>
      <c r="N421" s="2" t="s">
        <v>5080</v>
      </c>
      <c r="O421" s="2" t="s">
        <v>5326</v>
      </c>
      <c r="P421" s="2" t="s">
        <v>6749</v>
      </c>
      <c r="Q421" s="2" t="s">
        <v>6750</v>
      </c>
      <c r="R421" s="2" t="s">
        <v>6751</v>
      </c>
      <c r="S421" s="2"/>
    </row>
    <row r="422" spans="1:19" x14ac:dyDescent="0.2">
      <c r="A422" s="2">
        <v>908</v>
      </c>
      <c r="B422" s="6" t="s">
        <v>2558</v>
      </c>
      <c r="C422" s="2" t="s">
        <v>6752</v>
      </c>
      <c r="D422" s="2" t="s">
        <v>6753</v>
      </c>
      <c r="E422" s="2" t="s">
        <v>2561</v>
      </c>
      <c r="F422" s="2"/>
      <c r="G422" s="2"/>
      <c r="H422" s="2" t="s">
        <v>6754</v>
      </c>
      <c r="I422" s="2" t="s">
        <v>6755</v>
      </c>
      <c r="J422" s="2"/>
      <c r="K422" s="2" t="s">
        <v>39</v>
      </c>
      <c r="L422" s="2" t="s">
        <v>5087</v>
      </c>
      <c r="M422" s="2" t="s">
        <v>5100</v>
      </c>
      <c r="N422" s="2" t="s">
        <v>6756</v>
      </c>
      <c r="O422" s="2" t="s">
        <v>5081</v>
      </c>
      <c r="P422" s="2" t="s">
        <v>6757</v>
      </c>
      <c r="Q422" s="2" t="s">
        <v>6758</v>
      </c>
      <c r="R422" s="2" t="s">
        <v>6736</v>
      </c>
      <c r="S422" s="2"/>
    </row>
    <row r="423" spans="1:19" x14ac:dyDescent="0.2">
      <c r="A423" s="2">
        <v>944</v>
      </c>
      <c r="B423" s="6" t="s">
        <v>2566</v>
      </c>
      <c r="C423" s="2" t="s">
        <v>6759</v>
      </c>
      <c r="D423" s="2" t="s">
        <v>6760</v>
      </c>
      <c r="E423" s="2" t="s">
        <v>2569</v>
      </c>
      <c r="F423" s="2" t="s">
        <v>2570</v>
      </c>
      <c r="G423" s="2" t="s">
        <v>2571</v>
      </c>
      <c r="H423" s="2" t="s">
        <v>5098</v>
      </c>
      <c r="I423" s="2" t="s">
        <v>6761</v>
      </c>
      <c r="J423" s="2" t="s">
        <v>5098</v>
      </c>
      <c r="K423" s="2" t="s">
        <v>39</v>
      </c>
      <c r="L423" s="2" t="s">
        <v>5087</v>
      </c>
      <c r="M423" s="2" t="s">
        <v>5100</v>
      </c>
      <c r="N423" s="2" t="s">
        <v>6756</v>
      </c>
      <c r="O423" s="2" t="s">
        <v>5081</v>
      </c>
      <c r="P423" s="2" t="s">
        <v>6762</v>
      </c>
      <c r="Q423" s="2" t="s">
        <v>6763</v>
      </c>
      <c r="R423" s="2" t="s">
        <v>5994</v>
      </c>
      <c r="S423" s="2" t="s">
        <v>5925</v>
      </c>
    </row>
    <row r="424" spans="1:19" x14ac:dyDescent="0.2">
      <c r="A424" s="2">
        <v>941</v>
      </c>
      <c r="B424" s="6" t="s">
        <v>2575</v>
      </c>
      <c r="C424" s="2" t="s">
        <v>6764</v>
      </c>
      <c r="D424" s="2" t="s">
        <v>6765</v>
      </c>
      <c r="E424" s="2" t="s">
        <v>2578</v>
      </c>
      <c r="F424" s="2" t="s">
        <v>2579</v>
      </c>
      <c r="G424" s="2" t="s">
        <v>2580</v>
      </c>
      <c r="H424" s="2" t="s">
        <v>5098</v>
      </c>
      <c r="I424" s="2" t="s">
        <v>6766</v>
      </c>
      <c r="J424" s="2" t="s">
        <v>5098</v>
      </c>
      <c r="K424" s="2" t="s">
        <v>39</v>
      </c>
      <c r="L424" s="2" t="s">
        <v>5087</v>
      </c>
      <c r="M424" s="2" t="s">
        <v>5100</v>
      </c>
      <c r="N424" s="2" t="s">
        <v>6756</v>
      </c>
      <c r="O424" s="2" t="s">
        <v>5081</v>
      </c>
      <c r="P424" s="2" t="s">
        <v>6767</v>
      </c>
      <c r="Q424" s="2" t="s">
        <v>6768</v>
      </c>
      <c r="R424" s="2" t="s">
        <v>6769</v>
      </c>
      <c r="S424" s="2"/>
    </row>
    <row r="425" spans="1:19" x14ac:dyDescent="0.2">
      <c r="A425" s="2">
        <v>960</v>
      </c>
      <c r="B425" s="6" t="s">
        <v>2585</v>
      </c>
      <c r="C425" s="2" t="s">
        <v>6770</v>
      </c>
      <c r="D425" s="2" t="s">
        <v>6771</v>
      </c>
      <c r="E425" s="2" t="s">
        <v>2588</v>
      </c>
      <c r="F425" s="2"/>
      <c r="G425" s="2"/>
      <c r="H425" s="2" t="s">
        <v>2589</v>
      </c>
      <c r="I425" s="2" t="s">
        <v>6772</v>
      </c>
      <c r="J425" s="2"/>
      <c r="K425" s="2" t="s">
        <v>26</v>
      </c>
      <c r="L425" s="2" t="s">
        <v>5078</v>
      </c>
      <c r="M425" s="2"/>
      <c r="N425" s="2" t="s">
        <v>5108</v>
      </c>
      <c r="O425" s="2" t="s">
        <v>5081</v>
      </c>
      <c r="P425" s="2" t="s">
        <v>6773</v>
      </c>
      <c r="Q425" s="2" t="s">
        <v>6774</v>
      </c>
      <c r="R425" s="2" t="s">
        <v>6775</v>
      </c>
      <c r="S425" s="2"/>
    </row>
    <row r="426" spans="1:19" x14ac:dyDescent="0.2">
      <c r="A426" s="2">
        <v>1821</v>
      </c>
      <c r="B426" s="6" t="s">
        <v>2594</v>
      </c>
      <c r="C426" s="2" t="s">
        <v>6776</v>
      </c>
      <c r="D426" s="2" t="s">
        <v>6777</v>
      </c>
      <c r="E426" s="2" t="s">
        <v>77</v>
      </c>
      <c r="F426" s="2" t="s">
        <v>2501</v>
      </c>
      <c r="G426" s="2" t="s">
        <v>2501</v>
      </c>
      <c r="H426" s="2" t="s">
        <v>110</v>
      </c>
      <c r="I426" s="2" t="s">
        <v>6778</v>
      </c>
      <c r="J426" s="2"/>
      <c r="K426" s="2" t="s">
        <v>26</v>
      </c>
      <c r="L426" s="2" t="s">
        <v>5078</v>
      </c>
      <c r="M426" s="2" t="s">
        <v>5297</v>
      </c>
      <c r="N426" s="2" t="s">
        <v>5108</v>
      </c>
      <c r="O426" s="2" t="s">
        <v>5081</v>
      </c>
      <c r="P426" s="2" t="s">
        <v>6779</v>
      </c>
      <c r="Q426" s="2" t="s">
        <v>6780</v>
      </c>
      <c r="R426" s="2" t="s">
        <v>5297</v>
      </c>
      <c r="S426" s="2"/>
    </row>
    <row r="427" spans="1:19" x14ac:dyDescent="0.2">
      <c r="A427" s="2">
        <v>2102</v>
      </c>
      <c r="B427" s="6" t="s">
        <v>2600</v>
      </c>
      <c r="C427" s="2" t="s">
        <v>6781</v>
      </c>
      <c r="D427" s="2" t="s">
        <v>6782</v>
      </c>
      <c r="E427" s="2" t="s">
        <v>2578</v>
      </c>
      <c r="F427" s="2"/>
      <c r="G427" s="2"/>
      <c r="H427" s="2" t="s">
        <v>5227</v>
      </c>
      <c r="I427" s="2" t="s">
        <v>6783</v>
      </c>
      <c r="J427" s="2"/>
      <c r="K427" s="2" t="s">
        <v>39</v>
      </c>
      <c r="L427" s="2" t="s">
        <v>5087</v>
      </c>
      <c r="M427" s="2" t="s">
        <v>5079</v>
      </c>
      <c r="N427" s="2" t="s">
        <v>5108</v>
      </c>
      <c r="O427" s="2" t="s">
        <v>5081</v>
      </c>
      <c r="P427" s="2" t="s">
        <v>6784</v>
      </c>
      <c r="Q427" s="2" t="s">
        <v>5268</v>
      </c>
      <c r="R427" s="2" t="s">
        <v>5079</v>
      </c>
      <c r="S427" s="2"/>
    </row>
    <row r="428" spans="1:19" x14ac:dyDescent="0.2">
      <c r="A428" s="2">
        <v>336</v>
      </c>
      <c r="B428" s="6" t="s">
        <v>2605</v>
      </c>
      <c r="C428" s="2" t="s">
        <v>6785</v>
      </c>
      <c r="D428" s="2" t="s">
        <v>6786</v>
      </c>
      <c r="E428" s="2" t="s">
        <v>467</v>
      </c>
      <c r="F428" s="2" t="s">
        <v>2608</v>
      </c>
      <c r="G428" s="2" t="s">
        <v>2609</v>
      </c>
      <c r="H428" s="2" t="s">
        <v>110</v>
      </c>
      <c r="I428" s="2" t="s">
        <v>6787</v>
      </c>
      <c r="J428" s="2"/>
      <c r="K428" s="2" t="s">
        <v>26</v>
      </c>
      <c r="L428" s="2" t="s">
        <v>5078</v>
      </c>
      <c r="M428" s="2" t="s">
        <v>5079</v>
      </c>
      <c r="N428" s="2" t="s">
        <v>5108</v>
      </c>
      <c r="O428" s="2" t="s">
        <v>6788</v>
      </c>
      <c r="P428" s="2" t="s">
        <v>6789</v>
      </c>
      <c r="Q428" s="2" t="s">
        <v>5268</v>
      </c>
      <c r="R428" s="2" t="s">
        <v>6790</v>
      </c>
      <c r="S428" s="2"/>
    </row>
    <row r="429" spans="1:19" x14ac:dyDescent="0.2">
      <c r="A429" s="2">
        <v>939</v>
      </c>
      <c r="B429" s="6" t="s">
        <v>2614</v>
      </c>
      <c r="C429" s="2" t="s">
        <v>6791</v>
      </c>
      <c r="D429" s="2" t="s">
        <v>6792</v>
      </c>
      <c r="E429" s="2" t="s">
        <v>2617</v>
      </c>
      <c r="F429" s="2" t="s">
        <v>2618</v>
      </c>
      <c r="G429" s="2" t="s">
        <v>2619</v>
      </c>
      <c r="H429" s="2" t="s">
        <v>5098</v>
      </c>
      <c r="I429" s="2" t="s">
        <v>6766</v>
      </c>
      <c r="J429" s="2" t="s">
        <v>5098</v>
      </c>
      <c r="K429" s="2" t="s">
        <v>39</v>
      </c>
      <c r="L429" s="2" t="s">
        <v>5087</v>
      </c>
      <c r="M429" s="2" t="s">
        <v>5100</v>
      </c>
      <c r="N429" s="2" t="s">
        <v>6756</v>
      </c>
      <c r="O429" s="2" t="s">
        <v>5081</v>
      </c>
      <c r="P429" s="2" t="s">
        <v>6793</v>
      </c>
      <c r="Q429" s="2" t="s">
        <v>5091</v>
      </c>
      <c r="R429" s="2" t="s">
        <v>5100</v>
      </c>
      <c r="S429" s="2"/>
    </row>
    <row r="430" spans="1:19" x14ac:dyDescent="0.2">
      <c r="A430" s="2">
        <v>1506</v>
      </c>
      <c r="B430" s="6" t="s">
        <v>2621</v>
      </c>
      <c r="C430" s="2" t="s">
        <v>6794</v>
      </c>
      <c r="D430" s="2" t="s">
        <v>6795</v>
      </c>
      <c r="E430" s="2" t="s">
        <v>2213</v>
      </c>
      <c r="F430" s="2" t="s">
        <v>2608</v>
      </c>
      <c r="G430" s="2"/>
      <c r="H430" s="2" t="s">
        <v>5085</v>
      </c>
      <c r="I430" s="2" t="s">
        <v>6796</v>
      </c>
      <c r="J430" s="2"/>
      <c r="K430" s="2" t="s">
        <v>39</v>
      </c>
      <c r="L430" s="2" t="s">
        <v>5087</v>
      </c>
      <c r="M430" s="2" t="s">
        <v>5100</v>
      </c>
      <c r="N430" s="2" t="s">
        <v>5108</v>
      </c>
      <c r="O430" s="2" t="s">
        <v>5081</v>
      </c>
      <c r="P430" s="2" t="s">
        <v>6797</v>
      </c>
      <c r="Q430" s="2" t="s">
        <v>5091</v>
      </c>
      <c r="R430" s="2" t="s">
        <v>5100</v>
      </c>
      <c r="S430" s="2" t="s">
        <v>6798</v>
      </c>
    </row>
    <row r="431" spans="1:19" x14ac:dyDescent="0.2">
      <c r="A431" s="2">
        <v>1691</v>
      </c>
      <c r="B431" s="6" t="s">
        <v>2627</v>
      </c>
      <c r="C431" s="2" t="s">
        <v>6799</v>
      </c>
      <c r="D431" s="2" t="s">
        <v>6800</v>
      </c>
      <c r="E431" s="2" t="s">
        <v>2369</v>
      </c>
      <c r="F431" s="2" t="s">
        <v>1727</v>
      </c>
      <c r="G431" s="2" t="s">
        <v>1955</v>
      </c>
      <c r="H431" s="2" t="s">
        <v>2630</v>
      </c>
      <c r="I431" s="2" t="s">
        <v>6801</v>
      </c>
      <c r="J431" s="2" t="s">
        <v>2630</v>
      </c>
      <c r="K431" s="2" t="s">
        <v>26</v>
      </c>
      <c r="L431" s="2" t="s">
        <v>5078</v>
      </c>
      <c r="M431" s="2" t="s">
        <v>5297</v>
      </c>
      <c r="N431" s="2" t="s">
        <v>6756</v>
      </c>
      <c r="O431" s="2" t="s">
        <v>5081</v>
      </c>
      <c r="P431" s="2" t="s">
        <v>6802</v>
      </c>
      <c r="Q431" s="2"/>
      <c r="R431" s="2" t="s">
        <v>5297</v>
      </c>
      <c r="S431" s="2"/>
    </row>
    <row r="432" spans="1:19" x14ac:dyDescent="0.2">
      <c r="A432" s="2">
        <v>1858</v>
      </c>
      <c r="B432" s="6" t="s">
        <v>2633</v>
      </c>
      <c r="C432" s="2" t="s">
        <v>6803</v>
      </c>
      <c r="D432" s="2" t="s">
        <v>6804</v>
      </c>
      <c r="E432" s="2" t="s">
        <v>2527</v>
      </c>
      <c r="F432" s="2" t="s">
        <v>531</v>
      </c>
      <c r="G432" s="2" t="s">
        <v>2327</v>
      </c>
      <c r="H432" s="2" t="s">
        <v>84</v>
      </c>
      <c r="I432" s="2" t="s">
        <v>6805</v>
      </c>
      <c r="J432" s="2"/>
      <c r="K432" s="2" t="s">
        <v>26</v>
      </c>
      <c r="L432" s="2" t="s">
        <v>5078</v>
      </c>
      <c r="M432" s="2" t="s">
        <v>5297</v>
      </c>
      <c r="N432" s="2" t="s">
        <v>5108</v>
      </c>
      <c r="O432" s="2" t="s">
        <v>5081</v>
      </c>
      <c r="P432" s="2" t="s">
        <v>6806</v>
      </c>
      <c r="Q432" s="2" t="s">
        <v>5091</v>
      </c>
      <c r="R432" s="2" t="s">
        <v>5297</v>
      </c>
      <c r="S432" s="2" t="s">
        <v>5920</v>
      </c>
    </row>
    <row r="433" spans="1:19" x14ac:dyDescent="0.2">
      <c r="A433" s="2">
        <v>1530</v>
      </c>
      <c r="B433" s="6" t="s">
        <v>2638</v>
      </c>
      <c r="C433" s="2" t="s">
        <v>6807</v>
      </c>
      <c r="D433" s="2" t="s">
        <v>6808</v>
      </c>
      <c r="E433" s="2" t="s">
        <v>2641</v>
      </c>
      <c r="F433" s="2" t="s">
        <v>1498</v>
      </c>
      <c r="G433" s="2" t="s">
        <v>2642</v>
      </c>
      <c r="H433" s="2" t="s">
        <v>5098</v>
      </c>
      <c r="I433" s="2" t="s">
        <v>6766</v>
      </c>
      <c r="J433" s="2"/>
      <c r="K433" s="2" t="s">
        <v>39</v>
      </c>
      <c r="L433" s="2" t="s">
        <v>5087</v>
      </c>
      <c r="M433" s="2" t="s">
        <v>5100</v>
      </c>
      <c r="N433" s="2" t="s">
        <v>5080</v>
      </c>
      <c r="O433" s="2" t="s">
        <v>5081</v>
      </c>
      <c r="P433" s="2" t="s">
        <v>6809</v>
      </c>
      <c r="Q433" s="2" t="s">
        <v>6810</v>
      </c>
      <c r="R433" s="2" t="s">
        <v>5100</v>
      </c>
      <c r="S433" s="2" t="s">
        <v>5200</v>
      </c>
    </row>
    <row r="434" spans="1:19" x14ac:dyDescent="0.2">
      <c r="A434" s="2">
        <v>1276</v>
      </c>
      <c r="B434" s="6" t="s">
        <v>2645</v>
      </c>
      <c r="C434" s="2" t="s">
        <v>6811</v>
      </c>
      <c r="D434" s="2" t="s">
        <v>6812</v>
      </c>
      <c r="E434" s="2" t="s">
        <v>2648</v>
      </c>
      <c r="F434" s="2" t="s">
        <v>2649</v>
      </c>
      <c r="G434" s="2" t="s">
        <v>823</v>
      </c>
      <c r="H434" s="2" t="s">
        <v>5098</v>
      </c>
      <c r="I434" s="2" t="s">
        <v>6813</v>
      </c>
      <c r="J434" s="2"/>
      <c r="K434" s="2" t="s">
        <v>39</v>
      </c>
      <c r="L434" s="2" t="s">
        <v>5087</v>
      </c>
      <c r="M434" s="2" t="s">
        <v>5100</v>
      </c>
      <c r="N434" s="2" t="s">
        <v>5080</v>
      </c>
      <c r="O434" s="2" t="s">
        <v>5081</v>
      </c>
      <c r="P434" s="2" t="s">
        <v>6814</v>
      </c>
      <c r="Q434" s="2" t="s">
        <v>6815</v>
      </c>
      <c r="R434" s="2" t="s">
        <v>5100</v>
      </c>
      <c r="S434" s="2" t="s">
        <v>6816</v>
      </c>
    </row>
    <row r="435" spans="1:19" x14ac:dyDescent="0.2">
      <c r="A435" s="2">
        <v>1281</v>
      </c>
      <c r="B435" s="6" t="s">
        <v>2654</v>
      </c>
      <c r="C435" s="2" t="s">
        <v>6817</v>
      </c>
      <c r="D435" s="2" t="s">
        <v>6818</v>
      </c>
      <c r="E435" s="2" t="s">
        <v>1727</v>
      </c>
      <c r="F435" s="2" t="s">
        <v>658</v>
      </c>
      <c r="G435" s="2" t="s">
        <v>658</v>
      </c>
      <c r="H435" s="2" t="s">
        <v>660</v>
      </c>
      <c r="I435" s="2" t="s">
        <v>6819</v>
      </c>
      <c r="J435" s="2"/>
      <c r="K435" s="2" t="s">
        <v>26</v>
      </c>
      <c r="L435" s="2" t="s">
        <v>5078</v>
      </c>
      <c r="M435" s="2" t="s">
        <v>6820</v>
      </c>
      <c r="N435" s="2" t="s">
        <v>5108</v>
      </c>
      <c r="O435" s="2" t="s">
        <v>6592</v>
      </c>
      <c r="P435" s="2" t="s">
        <v>6821</v>
      </c>
      <c r="Q435" s="2" t="s">
        <v>5091</v>
      </c>
      <c r="R435" s="2" t="s">
        <v>6822</v>
      </c>
      <c r="S435" s="2"/>
    </row>
    <row r="436" spans="1:19" x14ac:dyDescent="0.2">
      <c r="A436" s="2">
        <v>2104</v>
      </c>
      <c r="B436" s="6" t="s">
        <v>2661</v>
      </c>
      <c r="C436" s="2" t="s">
        <v>6823</v>
      </c>
      <c r="D436" s="2" t="s">
        <v>6824</v>
      </c>
      <c r="E436" s="2" t="s">
        <v>608</v>
      </c>
      <c r="F436" s="2" t="s">
        <v>1655</v>
      </c>
      <c r="G436" s="2" t="s">
        <v>1655</v>
      </c>
      <c r="H436" s="2" t="s">
        <v>5227</v>
      </c>
      <c r="I436" s="2" t="s">
        <v>5227</v>
      </c>
      <c r="J436" s="2"/>
      <c r="K436" s="2" t="s">
        <v>39</v>
      </c>
      <c r="L436" s="2" t="s">
        <v>5087</v>
      </c>
      <c r="M436" s="2" t="s">
        <v>5367</v>
      </c>
      <c r="N436" s="2" t="s">
        <v>5108</v>
      </c>
      <c r="O436" s="2" t="s">
        <v>5335</v>
      </c>
      <c r="P436" s="2" t="s">
        <v>6825</v>
      </c>
      <c r="Q436" s="2" t="s">
        <v>5091</v>
      </c>
      <c r="R436" s="2" t="s">
        <v>5367</v>
      </c>
      <c r="S436" s="2"/>
    </row>
    <row r="437" spans="1:19" x14ac:dyDescent="0.2">
      <c r="A437" s="2">
        <v>689</v>
      </c>
      <c r="B437" s="6" t="s">
        <v>2666</v>
      </c>
      <c r="C437" s="2" t="s">
        <v>6826</v>
      </c>
      <c r="D437" s="2" t="s">
        <v>6827</v>
      </c>
      <c r="E437" s="2" t="s">
        <v>2669</v>
      </c>
      <c r="F437" s="2"/>
      <c r="G437" s="2"/>
      <c r="H437" s="2" t="s">
        <v>5085</v>
      </c>
      <c r="I437" s="2" t="s">
        <v>6828</v>
      </c>
      <c r="J437" s="2"/>
      <c r="K437" s="2" t="s">
        <v>39</v>
      </c>
      <c r="L437" s="2" t="s">
        <v>5087</v>
      </c>
      <c r="M437" s="2" t="s">
        <v>6829</v>
      </c>
      <c r="N437" s="2" t="s">
        <v>5108</v>
      </c>
      <c r="O437" s="2" t="s">
        <v>5081</v>
      </c>
      <c r="P437" s="2" t="s">
        <v>6830</v>
      </c>
      <c r="Q437" s="2"/>
      <c r="R437" s="2" t="s">
        <v>6831</v>
      </c>
      <c r="S437" s="2"/>
    </row>
    <row r="438" spans="1:19" x14ac:dyDescent="0.2">
      <c r="A438" s="2">
        <v>1164</v>
      </c>
      <c r="B438" s="6" t="s">
        <v>2674</v>
      </c>
      <c r="C438" s="2" t="s">
        <v>6832</v>
      </c>
      <c r="D438" s="2" t="s">
        <v>6833</v>
      </c>
      <c r="E438" s="2" t="s">
        <v>2677</v>
      </c>
      <c r="F438" s="2"/>
      <c r="G438" s="2"/>
      <c r="H438" s="2" t="s">
        <v>2678</v>
      </c>
      <c r="I438" s="2" t="s">
        <v>6834</v>
      </c>
      <c r="J438" s="2"/>
      <c r="K438" s="2" t="s">
        <v>26</v>
      </c>
      <c r="L438" s="2" t="s">
        <v>5078</v>
      </c>
      <c r="M438" s="2" t="s">
        <v>5079</v>
      </c>
      <c r="N438" s="2" t="s">
        <v>5080</v>
      </c>
      <c r="O438" s="2" t="s">
        <v>5081</v>
      </c>
      <c r="P438" s="2" t="s">
        <v>6835</v>
      </c>
      <c r="Q438" s="2" t="s">
        <v>5091</v>
      </c>
      <c r="R438" s="2" t="s">
        <v>5079</v>
      </c>
      <c r="S438" s="2"/>
    </row>
    <row r="439" spans="1:19" x14ac:dyDescent="0.2">
      <c r="A439" s="2">
        <v>1277</v>
      </c>
      <c r="B439" s="6" t="s">
        <v>2680</v>
      </c>
      <c r="C439" s="2" t="s">
        <v>6836</v>
      </c>
      <c r="D439" s="2" t="s">
        <v>6837</v>
      </c>
      <c r="E439" s="2" t="s">
        <v>445</v>
      </c>
      <c r="F439" s="2" t="s">
        <v>1997</v>
      </c>
      <c r="G439" s="2" t="s">
        <v>2683</v>
      </c>
      <c r="H439" s="2" t="s">
        <v>5098</v>
      </c>
      <c r="I439" s="2" t="s">
        <v>6838</v>
      </c>
      <c r="J439" s="2"/>
      <c r="K439" s="2" t="s">
        <v>39</v>
      </c>
      <c r="L439" s="2" t="s">
        <v>5087</v>
      </c>
      <c r="M439" s="2" t="s">
        <v>5100</v>
      </c>
      <c r="N439" s="2" t="s">
        <v>6756</v>
      </c>
      <c r="O439" s="2" t="s">
        <v>5081</v>
      </c>
      <c r="P439" s="2" t="s">
        <v>6839</v>
      </c>
      <c r="Q439" s="2" t="s">
        <v>5224</v>
      </c>
      <c r="R439" s="2" t="s">
        <v>5100</v>
      </c>
      <c r="S439" s="2"/>
    </row>
    <row r="440" spans="1:19" x14ac:dyDescent="0.2">
      <c r="A440" s="2">
        <v>992</v>
      </c>
      <c r="B440" s="6" t="s">
        <v>2686</v>
      </c>
      <c r="C440" s="2" t="s">
        <v>6840</v>
      </c>
      <c r="D440" s="2" t="s">
        <v>6841</v>
      </c>
      <c r="E440" s="2" t="s">
        <v>2689</v>
      </c>
      <c r="F440" s="2" t="s">
        <v>1280</v>
      </c>
      <c r="G440" s="2" t="s">
        <v>1280</v>
      </c>
      <c r="H440" s="2" t="s">
        <v>110</v>
      </c>
      <c r="I440" s="2" t="s">
        <v>6778</v>
      </c>
      <c r="J440" s="2"/>
      <c r="K440" s="2" t="s">
        <v>26</v>
      </c>
      <c r="L440" s="2" t="s">
        <v>5078</v>
      </c>
      <c r="M440" s="2" t="s">
        <v>6842</v>
      </c>
      <c r="N440" s="2" t="s">
        <v>5108</v>
      </c>
      <c r="O440" s="2" t="s">
        <v>5081</v>
      </c>
      <c r="P440" s="2" t="s">
        <v>6843</v>
      </c>
      <c r="Q440" s="2" t="s">
        <v>6844</v>
      </c>
      <c r="R440" s="2" t="s">
        <v>5297</v>
      </c>
      <c r="S440" s="2"/>
    </row>
    <row r="441" spans="1:19" x14ac:dyDescent="0.2">
      <c r="A441" s="2">
        <v>940</v>
      </c>
      <c r="B441" s="6" t="s">
        <v>2694</v>
      </c>
      <c r="C441" s="2" t="s">
        <v>6845</v>
      </c>
      <c r="D441" s="2" t="s">
        <v>6846</v>
      </c>
      <c r="E441" s="2" t="s">
        <v>2697</v>
      </c>
      <c r="F441" s="2" t="s">
        <v>2698</v>
      </c>
      <c r="G441" s="2" t="s">
        <v>2699</v>
      </c>
      <c r="H441" s="2" t="s">
        <v>5098</v>
      </c>
      <c r="I441" s="2" t="s">
        <v>6766</v>
      </c>
      <c r="J441" s="2"/>
      <c r="K441" s="2" t="s">
        <v>39</v>
      </c>
      <c r="L441" s="2" t="s">
        <v>5087</v>
      </c>
      <c r="M441" s="2" t="s">
        <v>5100</v>
      </c>
      <c r="N441" s="2" t="s">
        <v>6756</v>
      </c>
      <c r="O441" s="2" t="s">
        <v>5081</v>
      </c>
      <c r="P441" s="2" t="s">
        <v>6847</v>
      </c>
      <c r="Q441" s="2" t="s">
        <v>5224</v>
      </c>
      <c r="R441" s="2" t="s">
        <v>6848</v>
      </c>
      <c r="S441" s="2"/>
    </row>
    <row r="442" spans="1:19" x14ac:dyDescent="0.2">
      <c r="A442" s="2">
        <v>894</v>
      </c>
      <c r="B442" s="6" t="s">
        <v>2702</v>
      </c>
      <c r="C442" s="2" t="s">
        <v>6849</v>
      </c>
      <c r="D442" s="2" t="s">
        <v>6850</v>
      </c>
      <c r="E442" s="2" t="s">
        <v>2705</v>
      </c>
      <c r="F442" s="2" t="s">
        <v>431</v>
      </c>
      <c r="G442" s="2" t="s">
        <v>2706</v>
      </c>
      <c r="H442" s="2" t="s">
        <v>2707</v>
      </c>
      <c r="I442" s="2" t="s">
        <v>6851</v>
      </c>
      <c r="J442" s="2"/>
      <c r="K442" s="2" t="s">
        <v>26</v>
      </c>
      <c r="L442" s="2" t="s">
        <v>5078</v>
      </c>
      <c r="M442" s="2" t="s">
        <v>5297</v>
      </c>
      <c r="N442" s="2" t="s">
        <v>6756</v>
      </c>
      <c r="O442" s="2" t="s">
        <v>5081</v>
      </c>
      <c r="P442" s="2" t="s">
        <v>6852</v>
      </c>
      <c r="Q442" s="2" t="s">
        <v>5936</v>
      </c>
      <c r="R442" s="2" t="s">
        <v>5297</v>
      </c>
      <c r="S442" s="2" t="s">
        <v>6737</v>
      </c>
    </row>
    <row r="443" spans="1:19" x14ac:dyDescent="0.2">
      <c r="A443" s="2">
        <v>218</v>
      </c>
      <c r="B443" s="6" t="s">
        <v>2711</v>
      </c>
      <c r="C443" s="2" t="s">
        <v>6853</v>
      </c>
      <c r="D443" s="2" t="s">
        <v>6854</v>
      </c>
      <c r="E443" s="2" t="s">
        <v>705</v>
      </c>
      <c r="F443" s="2" t="s">
        <v>2714</v>
      </c>
      <c r="G443" s="2" t="s">
        <v>1031</v>
      </c>
      <c r="H443" s="2" t="s">
        <v>5098</v>
      </c>
      <c r="I443" s="2" t="s">
        <v>6766</v>
      </c>
      <c r="J443" s="2"/>
      <c r="K443" s="2" t="s">
        <v>26</v>
      </c>
      <c r="L443" s="2" t="s">
        <v>5078</v>
      </c>
      <c r="M443" s="2" t="s">
        <v>5100</v>
      </c>
      <c r="N443" s="2" t="s">
        <v>6756</v>
      </c>
      <c r="O443" s="2" t="s">
        <v>5081</v>
      </c>
      <c r="P443" s="2" t="s">
        <v>6855</v>
      </c>
      <c r="Q443" s="2" t="s">
        <v>6856</v>
      </c>
      <c r="R443" s="2" t="s">
        <v>5994</v>
      </c>
      <c r="S443" s="2"/>
    </row>
    <row r="444" spans="1:19" x14ac:dyDescent="0.2">
      <c r="A444" s="2">
        <v>123</v>
      </c>
      <c r="B444" s="6" t="s">
        <v>2717</v>
      </c>
      <c r="C444" s="2" t="s">
        <v>6857</v>
      </c>
      <c r="D444" s="2" t="s">
        <v>6858</v>
      </c>
      <c r="E444" s="2" t="s">
        <v>1212</v>
      </c>
      <c r="F444" s="2" t="s">
        <v>1275</v>
      </c>
      <c r="G444" s="2" t="s">
        <v>2168</v>
      </c>
      <c r="H444" s="2" t="s">
        <v>5098</v>
      </c>
      <c r="I444" s="2" t="s">
        <v>6838</v>
      </c>
      <c r="J444" s="2"/>
      <c r="K444" s="2" t="s">
        <v>39</v>
      </c>
      <c r="L444" s="2" t="s">
        <v>5087</v>
      </c>
      <c r="M444" s="2" t="s">
        <v>5100</v>
      </c>
      <c r="N444" s="2" t="s">
        <v>6756</v>
      </c>
      <c r="O444" s="2" t="s">
        <v>5326</v>
      </c>
      <c r="P444" s="2" t="s">
        <v>6859</v>
      </c>
      <c r="Q444" s="2" t="s">
        <v>6860</v>
      </c>
      <c r="R444" s="2" t="s">
        <v>5100</v>
      </c>
      <c r="S444" s="2" t="s">
        <v>5995</v>
      </c>
    </row>
    <row r="445" spans="1:19" x14ac:dyDescent="0.2">
      <c r="A445" s="2">
        <v>195</v>
      </c>
      <c r="B445" s="6" t="s">
        <v>2722</v>
      </c>
      <c r="C445" s="2" t="s">
        <v>6861</v>
      </c>
      <c r="D445" s="2" t="s">
        <v>6862</v>
      </c>
      <c r="E445" s="2" t="s">
        <v>2706</v>
      </c>
      <c r="F445" s="2" t="s">
        <v>2725</v>
      </c>
      <c r="G445" s="2" t="s">
        <v>683</v>
      </c>
      <c r="H445" s="2" t="s">
        <v>5227</v>
      </c>
      <c r="I445" s="2" t="s">
        <v>6863</v>
      </c>
      <c r="J445" s="2"/>
      <c r="K445" s="2" t="s">
        <v>39</v>
      </c>
      <c r="L445" s="2" t="s">
        <v>5087</v>
      </c>
      <c r="M445" s="2" t="s">
        <v>5079</v>
      </c>
      <c r="N445" s="2" t="s">
        <v>5108</v>
      </c>
      <c r="O445" s="2" t="s">
        <v>5081</v>
      </c>
      <c r="P445" s="2" t="s">
        <v>6864</v>
      </c>
      <c r="Q445" s="2" t="s">
        <v>6865</v>
      </c>
      <c r="R445" s="2" t="s">
        <v>5079</v>
      </c>
      <c r="S445" s="2"/>
    </row>
    <row r="446" spans="1:19" x14ac:dyDescent="0.2">
      <c r="A446" s="2">
        <v>41</v>
      </c>
      <c r="B446" s="6" t="s">
        <v>2728</v>
      </c>
      <c r="C446" s="2" t="s">
        <v>6866</v>
      </c>
      <c r="D446" s="2" t="s">
        <v>6867</v>
      </c>
      <c r="E446" s="2" t="s">
        <v>2327</v>
      </c>
      <c r="F446" s="2" t="s">
        <v>2731</v>
      </c>
      <c r="G446" s="2" t="s">
        <v>810</v>
      </c>
      <c r="H446" s="2" t="s">
        <v>48</v>
      </c>
      <c r="I446" s="2" t="s">
        <v>6868</v>
      </c>
      <c r="J446" s="2"/>
      <c r="K446" s="2" t="s">
        <v>26</v>
      </c>
      <c r="L446" s="2" t="s">
        <v>5078</v>
      </c>
      <c r="M446" s="2" t="s">
        <v>5079</v>
      </c>
      <c r="N446" s="2" t="s">
        <v>5080</v>
      </c>
      <c r="O446" s="2" t="s">
        <v>5081</v>
      </c>
      <c r="P446" s="2" t="s">
        <v>6869</v>
      </c>
      <c r="Q446" s="2" t="s">
        <v>5459</v>
      </c>
      <c r="R446" s="2" t="s">
        <v>6870</v>
      </c>
      <c r="S446" s="2" t="s">
        <v>5801</v>
      </c>
    </row>
    <row r="447" spans="1:19" x14ac:dyDescent="0.2">
      <c r="A447" s="2">
        <v>27</v>
      </c>
      <c r="B447" s="6" t="s">
        <v>2736</v>
      </c>
      <c r="C447" s="2" t="s">
        <v>6871</v>
      </c>
      <c r="D447" s="2" t="s">
        <v>6872</v>
      </c>
      <c r="E447" s="2" t="s">
        <v>677</v>
      </c>
      <c r="F447" s="2"/>
      <c r="G447" s="2"/>
      <c r="H447" s="2" t="s">
        <v>6873</v>
      </c>
      <c r="I447" s="2" t="s">
        <v>6874</v>
      </c>
      <c r="J447" s="2"/>
      <c r="K447" s="2" t="s">
        <v>39</v>
      </c>
      <c r="L447" s="2" t="s">
        <v>5087</v>
      </c>
      <c r="M447" s="2" t="s">
        <v>5079</v>
      </c>
      <c r="N447" s="2" t="s">
        <v>5101</v>
      </c>
      <c r="O447" s="2" t="s">
        <v>5081</v>
      </c>
      <c r="P447" s="2" t="s">
        <v>6875</v>
      </c>
      <c r="Q447" s="2" t="s">
        <v>6876</v>
      </c>
      <c r="R447" s="2" t="s">
        <v>5079</v>
      </c>
      <c r="S447" s="2"/>
    </row>
    <row r="448" spans="1:19" x14ac:dyDescent="0.2">
      <c r="A448" s="2">
        <v>33</v>
      </c>
      <c r="B448" s="6" t="s">
        <v>2743</v>
      </c>
      <c r="C448" s="2" t="s">
        <v>6877</v>
      </c>
      <c r="D448" s="2" t="s">
        <v>6878</v>
      </c>
      <c r="E448" s="2" t="s">
        <v>2746</v>
      </c>
      <c r="F448" s="2" t="s">
        <v>2608</v>
      </c>
      <c r="G448" s="2"/>
      <c r="H448" s="2" t="s">
        <v>275</v>
      </c>
      <c r="I448" s="2" t="s">
        <v>2747</v>
      </c>
      <c r="J448" s="2"/>
      <c r="K448" s="2" t="s">
        <v>26</v>
      </c>
      <c r="L448" s="2" t="s">
        <v>5078</v>
      </c>
      <c r="M448" s="2" t="s">
        <v>5079</v>
      </c>
      <c r="N448" s="2" t="s">
        <v>5108</v>
      </c>
      <c r="O448" s="2" t="s">
        <v>5081</v>
      </c>
      <c r="P448" s="2" t="s">
        <v>6879</v>
      </c>
      <c r="Q448" s="2" t="s">
        <v>5242</v>
      </c>
      <c r="R448" s="2" t="s">
        <v>5079</v>
      </c>
      <c r="S448" s="2"/>
    </row>
    <row r="449" spans="1:19" x14ac:dyDescent="0.2">
      <c r="A449" s="2">
        <v>31</v>
      </c>
      <c r="B449" s="6" t="s">
        <v>2749</v>
      </c>
      <c r="C449" s="2" t="s">
        <v>6880</v>
      </c>
      <c r="D449" s="2" t="s">
        <v>6881</v>
      </c>
      <c r="E449" s="2" t="s">
        <v>2752</v>
      </c>
      <c r="F449" s="2" t="s">
        <v>2608</v>
      </c>
      <c r="G449" s="2" t="s">
        <v>2753</v>
      </c>
      <c r="H449" s="2" t="s">
        <v>275</v>
      </c>
      <c r="I449" s="2" t="s">
        <v>2747</v>
      </c>
      <c r="J449" s="2"/>
      <c r="K449" s="2" t="s">
        <v>26</v>
      </c>
      <c r="L449" s="2" t="s">
        <v>5078</v>
      </c>
      <c r="M449" s="2" t="s">
        <v>5079</v>
      </c>
      <c r="N449" s="2" t="s">
        <v>5108</v>
      </c>
      <c r="O449" s="2" t="s">
        <v>5081</v>
      </c>
      <c r="P449" s="2" t="s">
        <v>6882</v>
      </c>
      <c r="Q449" s="2" t="s">
        <v>6883</v>
      </c>
      <c r="R449" s="2" t="s">
        <v>5079</v>
      </c>
      <c r="S449" s="2"/>
    </row>
    <row r="450" spans="1:19" x14ac:dyDescent="0.2">
      <c r="A450" s="2">
        <v>1008</v>
      </c>
      <c r="B450" s="6" t="s">
        <v>19</v>
      </c>
      <c r="C450" s="2" t="s">
        <v>6884</v>
      </c>
      <c r="D450" s="2" t="s">
        <v>6885</v>
      </c>
      <c r="E450" s="2" t="s">
        <v>22</v>
      </c>
      <c r="F450" s="2"/>
      <c r="G450" s="2"/>
      <c r="H450" s="2" t="s">
        <v>23</v>
      </c>
      <c r="I450" s="2" t="s">
        <v>2758</v>
      </c>
      <c r="J450" s="2"/>
      <c r="K450" s="2" t="s">
        <v>26</v>
      </c>
      <c r="L450" s="2" t="s">
        <v>5078</v>
      </c>
      <c r="M450" s="2" t="s">
        <v>5079</v>
      </c>
      <c r="N450" s="2" t="s">
        <v>5080</v>
      </c>
      <c r="O450" s="2" t="s">
        <v>5081</v>
      </c>
      <c r="P450" s="2" t="s">
        <v>6886</v>
      </c>
      <c r="Q450" s="2" t="s">
        <v>5242</v>
      </c>
      <c r="R450" s="2" t="s">
        <v>5079</v>
      </c>
      <c r="S450" s="2"/>
    </row>
    <row r="451" spans="1:19" x14ac:dyDescent="0.2">
      <c r="A451" s="2">
        <v>1042</v>
      </c>
      <c r="B451" s="6" t="s">
        <v>2760</v>
      </c>
      <c r="C451" s="2" t="s">
        <v>6887</v>
      </c>
      <c r="D451" s="2" t="s">
        <v>6888</v>
      </c>
      <c r="E451" s="2" t="s">
        <v>2763</v>
      </c>
      <c r="F451" s="2" t="s">
        <v>1222</v>
      </c>
      <c r="G451" s="2" t="s">
        <v>2763</v>
      </c>
      <c r="H451" s="2" t="s">
        <v>1684</v>
      </c>
      <c r="I451" s="2" t="s">
        <v>2764</v>
      </c>
      <c r="J451" s="2"/>
      <c r="K451" s="2" t="s">
        <v>26</v>
      </c>
      <c r="L451" s="2" t="s">
        <v>5078</v>
      </c>
      <c r="M451" s="2" t="s">
        <v>6889</v>
      </c>
      <c r="N451" s="2" t="s">
        <v>5108</v>
      </c>
      <c r="O451" s="2" t="s">
        <v>5081</v>
      </c>
      <c r="P451" s="2" t="s">
        <v>6890</v>
      </c>
      <c r="Q451" s="2"/>
      <c r="R451" s="2" t="s">
        <v>5218</v>
      </c>
      <c r="S451" s="2"/>
    </row>
    <row r="452" spans="1:19" x14ac:dyDescent="0.2">
      <c r="A452" s="2">
        <v>708</v>
      </c>
      <c r="B452" s="6" t="s">
        <v>2767</v>
      </c>
      <c r="C452" s="2" t="s">
        <v>6891</v>
      </c>
      <c r="D452" s="2" t="s">
        <v>6892</v>
      </c>
      <c r="E452" s="2" t="s">
        <v>523</v>
      </c>
      <c r="F452" s="2" t="s">
        <v>523</v>
      </c>
      <c r="G452" s="2"/>
      <c r="H452" s="2" t="s">
        <v>6433</v>
      </c>
      <c r="I452" s="2" t="s">
        <v>2770</v>
      </c>
      <c r="J452" s="2"/>
      <c r="K452" s="2" t="s">
        <v>26</v>
      </c>
      <c r="L452" s="2" t="s">
        <v>5078</v>
      </c>
      <c r="M452" s="2" t="s">
        <v>5679</v>
      </c>
      <c r="N452" s="2" t="s">
        <v>5325</v>
      </c>
      <c r="O452" s="2" t="s">
        <v>5517</v>
      </c>
      <c r="P452" s="2" t="s">
        <v>6893</v>
      </c>
      <c r="Q452" s="2" t="s">
        <v>5091</v>
      </c>
      <c r="R452" s="2" t="s">
        <v>5679</v>
      </c>
      <c r="S452" s="2"/>
    </row>
    <row r="453" spans="1:19" x14ac:dyDescent="0.2">
      <c r="A453" s="2">
        <v>230</v>
      </c>
      <c r="B453" s="6" t="s">
        <v>2773</v>
      </c>
      <c r="C453" s="2" t="s">
        <v>6894</v>
      </c>
      <c r="D453" s="2" t="s">
        <v>6895</v>
      </c>
      <c r="E453" s="2" t="s">
        <v>2369</v>
      </c>
      <c r="F453" s="2" t="s">
        <v>2776</v>
      </c>
      <c r="G453" s="2"/>
      <c r="H453" s="6" t="s">
        <v>2777</v>
      </c>
      <c r="I453" s="2" t="s">
        <v>2778</v>
      </c>
      <c r="J453" s="2"/>
      <c r="K453" s="2" t="s">
        <v>26</v>
      </c>
      <c r="L453" s="2" t="s">
        <v>5078</v>
      </c>
      <c r="M453" s="2" t="s">
        <v>6896</v>
      </c>
      <c r="N453" s="2" t="s">
        <v>5840</v>
      </c>
      <c r="O453" s="2" t="s">
        <v>5081</v>
      </c>
      <c r="P453" s="2" t="s">
        <v>6897</v>
      </c>
      <c r="Q453" s="2" t="s">
        <v>5091</v>
      </c>
      <c r="R453" s="2" t="s">
        <v>6898</v>
      </c>
      <c r="S453" s="2"/>
    </row>
    <row r="454" spans="1:19" x14ac:dyDescent="0.2">
      <c r="A454" s="2">
        <v>1812</v>
      </c>
      <c r="B454" s="6" t="s">
        <v>2782</v>
      </c>
      <c r="C454" s="2" t="s">
        <v>6899</v>
      </c>
      <c r="D454" s="2" t="s">
        <v>6900</v>
      </c>
      <c r="E454" s="2" t="s">
        <v>657</v>
      </c>
      <c r="F454" s="2" t="s">
        <v>2213</v>
      </c>
      <c r="G454" s="2" t="s">
        <v>1087</v>
      </c>
      <c r="H454" s="2" t="s">
        <v>110</v>
      </c>
      <c r="I454" s="2" t="s">
        <v>2785</v>
      </c>
      <c r="J454" s="2"/>
      <c r="K454" s="2" t="s">
        <v>26</v>
      </c>
      <c r="L454" s="2" t="s">
        <v>5078</v>
      </c>
      <c r="M454" s="2" t="s">
        <v>5297</v>
      </c>
      <c r="N454" s="2" t="s">
        <v>6756</v>
      </c>
      <c r="O454" s="2" t="s">
        <v>5081</v>
      </c>
      <c r="P454" s="2" t="s">
        <v>6901</v>
      </c>
      <c r="Q454" s="2" t="s">
        <v>6902</v>
      </c>
      <c r="R454" s="2" t="s">
        <v>5994</v>
      </c>
      <c r="S454" s="2"/>
    </row>
    <row r="455" spans="1:19" x14ac:dyDescent="0.2">
      <c r="A455" s="2">
        <v>942</v>
      </c>
      <c r="B455" s="6" t="s">
        <v>2789</v>
      </c>
      <c r="C455" s="2" t="s">
        <v>6903</v>
      </c>
      <c r="D455" s="2" t="s">
        <v>6904</v>
      </c>
      <c r="E455" s="2" t="s">
        <v>2792</v>
      </c>
      <c r="F455" s="2" t="s">
        <v>2793</v>
      </c>
      <c r="G455" s="2" t="s">
        <v>2794</v>
      </c>
      <c r="H455" s="2" t="s">
        <v>5098</v>
      </c>
      <c r="I455" s="2" t="s">
        <v>6766</v>
      </c>
      <c r="J455" s="2"/>
      <c r="K455" s="2" t="s">
        <v>39</v>
      </c>
      <c r="L455" s="2" t="s">
        <v>5087</v>
      </c>
      <c r="M455" s="2" t="s">
        <v>5100</v>
      </c>
      <c r="N455" s="2" t="s">
        <v>5080</v>
      </c>
      <c r="O455" s="2" t="s">
        <v>5081</v>
      </c>
      <c r="P455" s="2" t="s">
        <v>6905</v>
      </c>
      <c r="Q455" s="2"/>
      <c r="R455" s="2" t="s">
        <v>5100</v>
      </c>
      <c r="S455" s="2"/>
    </row>
    <row r="456" spans="1:19" x14ac:dyDescent="0.2">
      <c r="A456" s="2">
        <v>943</v>
      </c>
      <c r="B456" s="6" t="s">
        <v>2796</v>
      </c>
      <c r="C456" s="2" t="s">
        <v>6906</v>
      </c>
      <c r="D456" s="2" t="s">
        <v>6907</v>
      </c>
      <c r="E456" s="2" t="s">
        <v>2799</v>
      </c>
      <c r="F456" s="2" t="s">
        <v>2800</v>
      </c>
      <c r="G456" s="2" t="s">
        <v>156</v>
      </c>
      <c r="H456" s="2" t="s">
        <v>5098</v>
      </c>
      <c r="I456" s="2" t="s">
        <v>6766</v>
      </c>
      <c r="J456" s="2"/>
      <c r="K456" s="2" t="s">
        <v>39</v>
      </c>
      <c r="L456" s="2" t="s">
        <v>5087</v>
      </c>
      <c r="M456" s="2" t="s">
        <v>5100</v>
      </c>
      <c r="N456" s="2" t="s">
        <v>5080</v>
      </c>
      <c r="O456" s="2" t="s">
        <v>5081</v>
      </c>
      <c r="P456" s="2" t="s">
        <v>6908</v>
      </c>
      <c r="Q456" s="2" t="s">
        <v>6909</v>
      </c>
      <c r="R456" s="2" t="s">
        <v>6910</v>
      </c>
      <c r="S456" s="2" t="s">
        <v>5801</v>
      </c>
    </row>
    <row r="457" spans="1:19" x14ac:dyDescent="0.2">
      <c r="A457" s="2">
        <v>1685</v>
      </c>
      <c r="B457" s="6" t="s">
        <v>2804</v>
      </c>
      <c r="C457" s="2" t="s">
        <v>6911</v>
      </c>
      <c r="D457" s="2" t="s">
        <v>6912</v>
      </c>
      <c r="E457" s="2" t="s">
        <v>2163</v>
      </c>
      <c r="F457" s="2" t="s">
        <v>1002</v>
      </c>
      <c r="G457" s="2" t="s">
        <v>1727</v>
      </c>
      <c r="H457" s="2" t="s">
        <v>2807</v>
      </c>
      <c r="I457" s="2" t="s">
        <v>6913</v>
      </c>
      <c r="J457" s="2"/>
      <c r="K457" s="2" t="s">
        <v>26</v>
      </c>
      <c r="L457" s="2" t="s">
        <v>5078</v>
      </c>
      <c r="M457" s="2" t="s">
        <v>5297</v>
      </c>
      <c r="N457" s="2" t="s">
        <v>6160</v>
      </c>
      <c r="O457" s="2" t="s">
        <v>5081</v>
      </c>
      <c r="P457" s="2" t="s">
        <v>6914</v>
      </c>
      <c r="Q457" s="2" t="s">
        <v>5123</v>
      </c>
      <c r="R457" s="2" t="s">
        <v>5079</v>
      </c>
      <c r="S457" s="2" t="s">
        <v>6737</v>
      </c>
    </row>
    <row r="458" spans="1:19" x14ac:dyDescent="0.2">
      <c r="A458" s="2">
        <v>911</v>
      </c>
      <c r="B458" s="6" t="s">
        <v>2809</v>
      </c>
      <c r="C458" s="2" t="s">
        <v>6915</v>
      </c>
      <c r="D458" s="2" t="s">
        <v>6916</v>
      </c>
      <c r="E458" s="2" t="s">
        <v>1512</v>
      </c>
      <c r="F458" s="2"/>
      <c r="G458" s="2"/>
      <c r="H458" s="2" t="s">
        <v>5085</v>
      </c>
      <c r="I458" s="2" t="s">
        <v>6917</v>
      </c>
      <c r="J458" s="2" t="s">
        <v>2813</v>
      </c>
      <c r="K458" s="2" t="s">
        <v>39</v>
      </c>
      <c r="L458" s="2" t="s">
        <v>5087</v>
      </c>
      <c r="M458" s="2" t="s">
        <v>5079</v>
      </c>
      <c r="N458" s="2" t="s">
        <v>5080</v>
      </c>
      <c r="O458" s="2" t="s">
        <v>5081</v>
      </c>
      <c r="P458" s="2" t="s">
        <v>6918</v>
      </c>
      <c r="Q458" s="2" t="s">
        <v>6919</v>
      </c>
      <c r="R458" s="2" t="s">
        <v>5994</v>
      </c>
      <c r="S458" s="2"/>
    </row>
    <row r="459" spans="1:19" x14ac:dyDescent="0.2">
      <c r="A459" s="2">
        <v>324</v>
      </c>
      <c r="B459" s="6" t="s">
        <v>2817</v>
      </c>
      <c r="C459" s="2" t="s">
        <v>6920</v>
      </c>
      <c r="D459" s="2" t="s">
        <v>6921</v>
      </c>
      <c r="E459" s="2" t="s">
        <v>2820</v>
      </c>
      <c r="F459" s="2" t="s">
        <v>2608</v>
      </c>
      <c r="G459" s="2"/>
      <c r="H459" s="2" t="s">
        <v>2821</v>
      </c>
      <c r="I459" s="2" t="s">
        <v>6922</v>
      </c>
      <c r="J459" s="2" t="s">
        <v>2823</v>
      </c>
      <c r="K459" s="2" t="s">
        <v>26</v>
      </c>
      <c r="L459" s="2" t="s">
        <v>5078</v>
      </c>
      <c r="M459" s="2" t="s">
        <v>5079</v>
      </c>
      <c r="N459" s="2" t="s">
        <v>5108</v>
      </c>
      <c r="O459" s="2" t="s">
        <v>5326</v>
      </c>
      <c r="P459" s="2" t="s">
        <v>6923</v>
      </c>
      <c r="Q459" s="2" t="s">
        <v>5091</v>
      </c>
      <c r="R459" s="2" t="s">
        <v>5079</v>
      </c>
      <c r="S459" s="2"/>
    </row>
    <row r="460" spans="1:19" x14ac:dyDescent="0.2">
      <c r="A460" s="2">
        <v>1637</v>
      </c>
      <c r="B460" s="6" t="s">
        <v>2826</v>
      </c>
      <c r="C460" s="2" t="s">
        <v>6924</v>
      </c>
      <c r="D460" s="2" t="s">
        <v>6925</v>
      </c>
      <c r="E460" s="2" t="s">
        <v>2829</v>
      </c>
      <c r="F460" s="2" t="s">
        <v>2830</v>
      </c>
      <c r="G460" s="2"/>
      <c r="H460" s="2" t="s">
        <v>2831</v>
      </c>
      <c r="I460" s="2" t="s">
        <v>6926</v>
      </c>
      <c r="J460" s="2" t="s">
        <v>2833</v>
      </c>
      <c r="K460" s="2" t="s">
        <v>26</v>
      </c>
      <c r="L460" s="2" t="s">
        <v>5078</v>
      </c>
      <c r="M460" s="2" t="s">
        <v>5079</v>
      </c>
      <c r="N460" s="2" t="s">
        <v>5108</v>
      </c>
      <c r="O460" s="2" t="s">
        <v>5081</v>
      </c>
      <c r="P460" s="2" t="s">
        <v>6927</v>
      </c>
      <c r="Q460" s="2" t="s">
        <v>6928</v>
      </c>
      <c r="R460" s="2" t="s">
        <v>5994</v>
      </c>
      <c r="S460" s="2" t="s">
        <v>6929</v>
      </c>
    </row>
    <row r="461" spans="1:19" x14ac:dyDescent="0.2">
      <c r="A461" s="2">
        <v>138</v>
      </c>
      <c r="B461" s="6" t="s">
        <v>2838</v>
      </c>
      <c r="C461" s="2" t="s">
        <v>6930</v>
      </c>
      <c r="D461" s="2" t="s">
        <v>6931</v>
      </c>
      <c r="E461" s="2" t="s">
        <v>531</v>
      </c>
      <c r="F461" s="2" t="s">
        <v>2608</v>
      </c>
      <c r="G461" s="2" t="s">
        <v>531</v>
      </c>
      <c r="H461" s="2" t="s">
        <v>173</v>
      </c>
      <c r="I461" s="2" t="s">
        <v>6932</v>
      </c>
      <c r="J461" s="2"/>
      <c r="K461" s="2" t="s">
        <v>26</v>
      </c>
      <c r="L461" s="2" t="s">
        <v>5078</v>
      </c>
      <c r="M461" s="2" t="s">
        <v>5079</v>
      </c>
      <c r="N461" s="2" t="s">
        <v>5108</v>
      </c>
      <c r="O461" s="2" t="s">
        <v>5081</v>
      </c>
      <c r="P461" s="2" t="s">
        <v>6933</v>
      </c>
      <c r="Q461" s="2" t="s">
        <v>5091</v>
      </c>
      <c r="R461" s="2" t="s">
        <v>6934</v>
      </c>
      <c r="S461" s="2"/>
    </row>
    <row r="462" spans="1:19" x14ac:dyDescent="0.2">
      <c r="A462" s="2">
        <v>136</v>
      </c>
      <c r="B462" s="6" t="s">
        <v>2844</v>
      </c>
      <c r="C462" s="2" t="s">
        <v>6935</v>
      </c>
      <c r="D462" s="2" t="s">
        <v>6936</v>
      </c>
      <c r="E462" s="2" t="s">
        <v>2847</v>
      </c>
      <c r="F462" s="2"/>
      <c r="G462" s="2"/>
      <c r="H462" s="2" t="s">
        <v>173</v>
      </c>
      <c r="I462" s="2" t="s">
        <v>6937</v>
      </c>
      <c r="J462" s="2"/>
      <c r="K462" s="2" t="s">
        <v>26</v>
      </c>
      <c r="L462" s="2" t="s">
        <v>5078</v>
      </c>
      <c r="M462" s="2" t="s">
        <v>5079</v>
      </c>
      <c r="N462" s="2" t="s">
        <v>5108</v>
      </c>
      <c r="O462" s="2" t="s">
        <v>5081</v>
      </c>
      <c r="P462" s="2" t="s">
        <v>6938</v>
      </c>
      <c r="Q462" s="2" t="s">
        <v>6939</v>
      </c>
      <c r="R462" s="2" t="s">
        <v>5079</v>
      </c>
      <c r="S462" s="2"/>
    </row>
    <row r="463" spans="1:19" x14ac:dyDescent="0.2">
      <c r="A463" s="2">
        <v>938</v>
      </c>
      <c r="B463" s="6" t="s">
        <v>2851</v>
      </c>
      <c r="C463" s="2" t="s">
        <v>6940</v>
      </c>
      <c r="D463" s="2" t="s">
        <v>6941</v>
      </c>
      <c r="E463" s="2" t="s">
        <v>1631</v>
      </c>
      <c r="F463" s="2" t="s">
        <v>523</v>
      </c>
      <c r="G463" s="2" t="s">
        <v>927</v>
      </c>
      <c r="H463" s="2" t="s">
        <v>5098</v>
      </c>
      <c r="I463" s="2" t="s">
        <v>6766</v>
      </c>
      <c r="J463" s="2"/>
      <c r="K463" s="2" t="s">
        <v>39</v>
      </c>
      <c r="L463" s="2" t="s">
        <v>5087</v>
      </c>
      <c r="M463" s="2" t="s">
        <v>5100</v>
      </c>
      <c r="N463" s="2" t="s">
        <v>6756</v>
      </c>
      <c r="O463" s="2" t="s">
        <v>5081</v>
      </c>
      <c r="P463" s="2" t="s">
        <v>6942</v>
      </c>
      <c r="Q463" s="2" t="s">
        <v>5341</v>
      </c>
      <c r="R463" s="2" t="s">
        <v>5100</v>
      </c>
      <c r="S463" s="2" t="s">
        <v>6943</v>
      </c>
    </row>
    <row r="464" spans="1:19" x14ac:dyDescent="0.2">
      <c r="A464" s="2">
        <v>313</v>
      </c>
      <c r="B464" s="6" t="s">
        <v>2856</v>
      </c>
      <c r="C464" s="2" t="s">
        <v>6944</v>
      </c>
      <c r="D464" s="2" t="s">
        <v>6945</v>
      </c>
      <c r="E464" s="2" t="s">
        <v>2859</v>
      </c>
      <c r="F464" s="2" t="s">
        <v>2860</v>
      </c>
      <c r="G464" s="2" t="s">
        <v>2860</v>
      </c>
      <c r="H464" s="2" t="s">
        <v>5819</v>
      </c>
      <c r="I464" s="2" t="s">
        <v>6946</v>
      </c>
      <c r="J464" s="2" t="s">
        <v>6947</v>
      </c>
      <c r="K464" s="2" t="s">
        <v>39</v>
      </c>
      <c r="L464" s="2" t="s">
        <v>5087</v>
      </c>
      <c r="M464" s="2" t="s">
        <v>5100</v>
      </c>
      <c r="N464" s="2" t="s">
        <v>6756</v>
      </c>
      <c r="O464" s="2" t="s">
        <v>5081</v>
      </c>
      <c r="P464" s="2" t="s">
        <v>6948</v>
      </c>
      <c r="Q464" s="2"/>
      <c r="R464" s="2" t="s">
        <v>5100</v>
      </c>
      <c r="S464" s="2"/>
    </row>
    <row r="465" spans="1:19" x14ac:dyDescent="0.2">
      <c r="A465" s="2">
        <v>238</v>
      </c>
      <c r="B465" s="6" t="s">
        <v>2864</v>
      </c>
      <c r="C465" s="2" t="s">
        <v>6949</v>
      </c>
      <c r="D465" s="2" t="s">
        <v>6950</v>
      </c>
      <c r="E465" s="2" t="s">
        <v>2867</v>
      </c>
      <c r="F465" s="2"/>
      <c r="G465" s="2"/>
      <c r="H465" s="2" t="s">
        <v>393</v>
      </c>
      <c r="I465" s="2" t="s">
        <v>411</v>
      </c>
      <c r="J465" s="2"/>
      <c r="K465" s="2" t="s">
        <v>26</v>
      </c>
      <c r="L465" s="2" t="s">
        <v>5078</v>
      </c>
      <c r="M465" s="2" t="s">
        <v>5079</v>
      </c>
      <c r="N465" s="2" t="s">
        <v>5325</v>
      </c>
      <c r="O465" s="2" t="s">
        <v>5335</v>
      </c>
      <c r="P465" s="2" t="s">
        <v>6951</v>
      </c>
      <c r="Q465" s="2" t="s">
        <v>5091</v>
      </c>
      <c r="R465" s="2" t="s">
        <v>5079</v>
      </c>
      <c r="S465" s="2"/>
    </row>
    <row r="466" spans="1:19" x14ac:dyDescent="0.2">
      <c r="A466" s="2">
        <v>239</v>
      </c>
      <c r="B466" s="6" t="s">
        <v>2869</v>
      </c>
      <c r="C466" s="2" t="s">
        <v>6952</v>
      </c>
      <c r="D466" s="2" t="s">
        <v>6953</v>
      </c>
      <c r="E466" s="2" t="s">
        <v>1127</v>
      </c>
      <c r="F466" s="2"/>
      <c r="G466" s="2"/>
      <c r="H466" s="2" t="s">
        <v>393</v>
      </c>
      <c r="I466" s="2" t="s">
        <v>802</v>
      </c>
      <c r="J466" s="2"/>
      <c r="K466" s="2" t="s">
        <v>39</v>
      </c>
      <c r="L466" s="2" t="s">
        <v>5087</v>
      </c>
      <c r="M466" s="2" t="s">
        <v>5079</v>
      </c>
      <c r="N466" s="2" t="s">
        <v>5325</v>
      </c>
      <c r="O466" s="2" t="s">
        <v>5335</v>
      </c>
      <c r="P466" s="2" t="s">
        <v>6954</v>
      </c>
      <c r="Q466" s="2" t="s">
        <v>5091</v>
      </c>
      <c r="R466" s="2" t="s">
        <v>5079</v>
      </c>
      <c r="S466" s="2"/>
    </row>
    <row r="467" spans="1:19" x14ac:dyDescent="0.2">
      <c r="A467" s="2">
        <v>240</v>
      </c>
      <c r="B467" s="6" t="s">
        <v>2873</v>
      </c>
      <c r="C467" s="2" t="s">
        <v>6955</v>
      </c>
      <c r="D467" s="2" t="s">
        <v>6956</v>
      </c>
      <c r="E467" s="2" t="s">
        <v>1069</v>
      </c>
      <c r="F467" s="2"/>
      <c r="G467" s="2"/>
      <c r="H467" s="2" t="s">
        <v>393</v>
      </c>
      <c r="I467" s="2" t="s">
        <v>6957</v>
      </c>
      <c r="J467" s="2"/>
      <c r="K467" s="2" t="s">
        <v>39</v>
      </c>
      <c r="L467" s="2" t="s">
        <v>5087</v>
      </c>
      <c r="M467" s="2" t="s">
        <v>5079</v>
      </c>
      <c r="N467" s="2" t="s">
        <v>5325</v>
      </c>
      <c r="O467" s="2" t="s">
        <v>5335</v>
      </c>
      <c r="P467" s="2" t="s">
        <v>6958</v>
      </c>
      <c r="Q467" s="2" t="s">
        <v>5091</v>
      </c>
      <c r="R467" s="2" t="s">
        <v>6959</v>
      </c>
      <c r="S467" s="2"/>
    </row>
    <row r="468" spans="1:19" x14ac:dyDescent="0.2">
      <c r="A468" s="2">
        <v>241</v>
      </c>
      <c r="B468" s="6" t="s">
        <v>2879</v>
      </c>
      <c r="C468" s="2" t="s">
        <v>6960</v>
      </c>
      <c r="D468" s="2" t="s">
        <v>6961</v>
      </c>
      <c r="E468" s="2" t="s">
        <v>2882</v>
      </c>
      <c r="F468" s="2"/>
      <c r="G468" s="2"/>
      <c r="H468" s="2" t="s">
        <v>393</v>
      </c>
      <c r="I468" s="2" t="s">
        <v>6957</v>
      </c>
      <c r="J468" s="2"/>
      <c r="K468" s="2" t="s">
        <v>39</v>
      </c>
      <c r="L468" s="2" t="s">
        <v>5087</v>
      </c>
      <c r="M468" s="2" t="s">
        <v>5100</v>
      </c>
      <c r="N468" s="2" t="s">
        <v>5325</v>
      </c>
      <c r="O468" s="2" t="s">
        <v>5335</v>
      </c>
      <c r="P468" s="2" t="s">
        <v>6962</v>
      </c>
      <c r="Q468" s="2"/>
      <c r="R468" s="2" t="s">
        <v>5079</v>
      </c>
      <c r="S468" s="2"/>
    </row>
    <row r="469" spans="1:19" x14ac:dyDescent="0.2">
      <c r="A469" s="2">
        <v>2013</v>
      </c>
      <c r="B469" s="6" t="s">
        <v>2884</v>
      </c>
      <c r="C469" s="2" t="s">
        <v>6963</v>
      </c>
      <c r="D469" s="2" t="s">
        <v>6964</v>
      </c>
      <c r="E469" s="2" t="s">
        <v>1314</v>
      </c>
      <c r="F469" s="2" t="s">
        <v>2799</v>
      </c>
      <c r="G469" s="2" t="s">
        <v>1314</v>
      </c>
      <c r="H469" s="2" t="s">
        <v>2887</v>
      </c>
      <c r="I469" s="2" t="s">
        <v>6965</v>
      </c>
      <c r="J469" s="2"/>
      <c r="K469" s="2" t="s">
        <v>26</v>
      </c>
      <c r="L469" s="2" t="s">
        <v>5078</v>
      </c>
      <c r="M469" s="2" t="s">
        <v>5193</v>
      </c>
      <c r="N469" s="2" t="s">
        <v>5108</v>
      </c>
      <c r="O469" s="2" t="s">
        <v>5326</v>
      </c>
      <c r="P469" s="2" t="s">
        <v>6966</v>
      </c>
      <c r="Q469" s="2" t="s">
        <v>5091</v>
      </c>
      <c r="R469" s="2" t="s">
        <v>6967</v>
      </c>
      <c r="S469" s="2" t="s">
        <v>6608</v>
      </c>
    </row>
    <row r="470" spans="1:19" x14ac:dyDescent="0.2">
      <c r="A470" s="2">
        <v>991</v>
      </c>
      <c r="B470" s="6" t="s">
        <v>2891</v>
      </c>
      <c r="C470" s="2" t="s">
        <v>6968</v>
      </c>
      <c r="D470" s="2" t="s">
        <v>6969</v>
      </c>
      <c r="E470" s="2" t="s">
        <v>2894</v>
      </c>
      <c r="F470" s="2" t="s">
        <v>2753</v>
      </c>
      <c r="G470" s="2" t="s">
        <v>683</v>
      </c>
      <c r="H470" s="2" t="s">
        <v>110</v>
      </c>
      <c r="I470" s="2" t="s">
        <v>6970</v>
      </c>
      <c r="J470" s="2" t="s">
        <v>2813</v>
      </c>
      <c r="K470" s="2" t="s">
        <v>26</v>
      </c>
      <c r="L470" s="2" t="s">
        <v>5078</v>
      </c>
      <c r="M470" s="2" t="s">
        <v>5079</v>
      </c>
      <c r="N470" s="2" t="s">
        <v>5108</v>
      </c>
      <c r="O470" s="2" t="s">
        <v>5326</v>
      </c>
      <c r="P470" s="2" t="s">
        <v>6971</v>
      </c>
      <c r="Q470" s="2" t="s">
        <v>6972</v>
      </c>
      <c r="R470" s="2" t="s">
        <v>5079</v>
      </c>
      <c r="S470" s="2"/>
    </row>
    <row r="471" spans="1:19" x14ac:dyDescent="0.2">
      <c r="A471" s="2">
        <v>1996</v>
      </c>
      <c r="B471" s="6" t="s">
        <v>2899</v>
      </c>
      <c r="C471" s="2" t="s">
        <v>6973</v>
      </c>
      <c r="D471" s="2" t="s">
        <v>6974</v>
      </c>
      <c r="E471" s="2" t="s">
        <v>2902</v>
      </c>
      <c r="F471" s="2" t="s">
        <v>2903</v>
      </c>
      <c r="G471" s="2" t="s">
        <v>2902</v>
      </c>
      <c r="H471" s="2" t="s">
        <v>275</v>
      </c>
      <c r="I471" s="2" t="s">
        <v>2747</v>
      </c>
      <c r="J471" s="2"/>
      <c r="K471" s="2" t="s">
        <v>26</v>
      </c>
      <c r="L471" s="2" t="s">
        <v>5078</v>
      </c>
      <c r="M471" s="2" t="s">
        <v>5193</v>
      </c>
      <c r="N471" s="2" t="s">
        <v>6386</v>
      </c>
      <c r="O471" s="2" t="s">
        <v>5326</v>
      </c>
      <c r="P471" s="2" t="s">
        <v>6975</v>
      </c>
      <c r="Q471" s="2" t="s">
        <v>6976</v>
      </c>
      <c r="R471" s="2" t="s">
        <v>5193</v>
      </c>
      <c r="S471" s="2"/>
    </row>
    <row r="472" spans="1:19" x14ac:dyDescent="0.2">
      <c r="A472" s="2">
        <v>170</v>
      </c>
      <c r="B472" s="6" t="s">
        <v>2906</v>
      </c>
      <c r="C472" s="2" t="s">
        <v>6977</v>
      </c>
      <c r="D472" s="2" t="s">
        <v>6978</v>
      </c>
      <c r="E472" s="2" t="s">
        <v>797</v>
      </c>
      <c r="F472" s="2" t="s">
        <v>2561</v>
      </c>
      <c r="G472" s="2" t="s">
        <v>797</v>
      </c>
      <c r="H472" s="2" t="s">
        <v>110</v>
      </c>
      <c r="I472" s="2" t="s">
        <v>6979</v>
      </c>
      <c r="J472" s="2"/>
      <c r="K472" s="2" t="s">
        <v>26</v>
      </c>
      <c r="L472" s="2" t="s">
        <v>5078</v>
      </c>
      <c r="M472" s="2" t="s">
        <v>5079</v>
      </c>
      <c r="N472" s="2" t="s">
        <v>5108</v>
      </c>
      <c r="O472" s="2" t="s">
        <v>5326</v>
      </c>
      <c r="P472" s="2" t="s">
        <v>6980</v>
      </c>
      <c r="Q472" s="2" t="s">
        <v>6342</v>
      </c>
      <c r="R472" s="2" t="s">
        <v>6981</v>
      </c>
      <c r="S472" s="2" t="s">
        <v>6135</v>
      </c>
    </row>
    <row r="473" spans="1:19" x14ac:dyDescent="0.2">
      <c r="A473" s="2">
        <v>1154</v>
      </c>
      <c r="B473" s="6" t="s">
        <v>2912</v>
      </c>
      <c r="C473" s="2" t="s">
        <v>6982</v>
      </c>
      <c r="D473" s="2" t="s">
        <v>6983</v>
      </c>
      <c r="E473" s="2" t="s">
        <v>1268</v>
      </c>
      <c r="F473" s="2" t="s">
        <v>2608</v>
      </c>
      <c r="G473" s="2" t="s">
        <v>1268</v>
      </c>
      <c r="H473" s="2" t="s">
        <v>135</v>
      </c>
      <c r="I473" s="2" t="s">
        <v>6984</v>
      </c>
      <c r="J473" s="2"/>
      <c r="K473" s="2" t="s">
        <v>26</v>
      </c>
      <c r="L473" s="2" t="s">
        <v>5078</v>
      </c>
      <c r="M473" s="2" t="s">
        <v>5079</v>
      </c>
      <c r="N473" s="2" t="s">
        <v>5108</v>
      </c>
      <c r="O473" s="2" t="s">
        <v>5326</v>
      </c>
      <c r="P473" s="2" t="s">
        <v>6985</v>
      </c>
      <c r="Q473" s="2" t="s">
        <v>5091</v>
      </c>
      <c r="R473" s="2" t="s">
        <v>5079</v>
      </c>
      <c r="S473" s="2" t="s">
        <v>6737</v>
      </c>
    </row>
    <row r="474" spans="1:19" x14ac:dyDescent="0.2">
      <c r="A474" s="2">
        <v>414</v>
      </c>
      <c r="B474" s="6" t="s">
        <v>2917</v>
      </c>
      <c r="C474" s="2" t="s">
        <v>6986</v>
      </c>
      <c r="D474" s="2" t="s">
        <v>6987</v>
      </c>
      <c r="E474" s="2" t="s">
        <v>2920</v>
      </c>
      <c r="F474" s="2"/>
      <c r="G474" s="2"/>
      <c r="H474" s="2" t="s">
        <v>2921</v>
      </c>
      <c r="I474" s="2" t="s">
        <v>6988</v>
      </c>
      <c r="J474" s="2"/>
      <c r="K474" s="2" t="s">
        <v>26</v>
      </c>
      <c r="L474" s="2" t="s">
        <v>5078</v>
      </c>
      <c r="M474" s="2" t="s">
        <v>5100</v>
      </c>
      <c r="N474" s="2" t="s">
        <v>5121</v>
      </c>
      <c r="O474" s="2" t="s">
        <v>5326</v>
      </c>
      <c r="P474" s="2" t="s">
        <v>6989</v>
      </c>
      <c r="Q474" s="2" t="s">
        <v>6990</v>
      </c>
      <c r="R474" s="2" t="s">
        <v>6991</v>
      </c>
      <c r="S474" s="2"/>
    </row>
    <row r="475" spans="1:19" x14ac:dyDescent="0.2">
      <c r="A475" s="2">
        <v>1490</v>
      </c>
      <c r="B475" s="6" t="s">
        <v>2927</v>
      </c>
      <c r="C475" s="2" t="s">
        <v>6992</v>
      </c>
      <c r="D475" s="2" t="s">
        <v>6993</v>
      </c>
      <c r="E475" s="2" t="s">
        <v>2930</v>
      </c>
      <c r="F475" s="2" t="s">
        <v>2930</v>
      </c>
      <c r="G475" s="2" t="s">
        <v>2930</v>
      </c>
      <c r="H475" s="2" t="s">
        <v>5085</v>
      </c>
      <c r="I475" s="2" t="s">
        <v>5085</v>
      </c>
      <c r="J475" s="2"/>
      <c r="K475" s="2" t="s">
        <v>39</v>
      </c>
      <c r="L475" s="2" t="s">
        <v>5087</v>
      </c>
      <c r="M475" s="2" t="s">
        <v>5100</v>
      </c>
      <c r="N475" s="2" t="s">
        <v>6386</v>
      </c>
      <c r="O475" s="2" t="s">
        <v>5326</v>
      </c>
      <c r="P475" s="2" t="s">
        <v>6994</v>
      </c>
      <c r="Q475" s="2"/>
      <c r="R475" s="2" t="s">
        <v>5100</v>
      </c>
      <c r="S475" s="2"/>
    </row>
    <row r="476" spans="1:19" x14ac:dyDescent="0.2">
      <c r="A476" s="2">
        <v>1260</v>
      </c>
      <c r="B476" s="6" t="s">
        <v>2932</v>
      </c>
      <c r="C476" s="2" t="s">
        <v>6995</v>
      </c>
      <c r="D476" s="2" t="s">
        <v>6996</v>
      </c>
      <c r="E476" s="2" t="s">
        <v>476</v>
      </c>
      <c r="F476" s="2"/>
      <c r="G476" s="2"/>
      <c r="H476" s="2" t="s">
        <v>2935</v>
      </c>
      <c r="I476" s="2" t="s">
        <v>6997</v>
      </c>
      <c r="J476" s="2"/>
      <c r="K476" s="2" t="s">
        <v>26</v>
      </c>
      <c r="L476" s="2" t="s">
        <v>5078</v>
      </c>
      <c r="M476" s="2" t="s">
        <v>5079</v>
      </c>
      <c r="N476" s="2" t="s">
        <v>5108</v>
      </c>
      <c r="O476" s="2" t="s">
        <v>5335</v>
      </c>
      <c r="P476" s="2" t="s">
        <v>6998</v>
      </c>
      <c r="Q476" s="2" t="s">
        <v>6844</v>
      </c>
      <c r="R476" s="2" t="s">
        <v>5324</v>
      </c>
      <c r="S476" s="2"/>
    </row>
    <row r="477" spans="1:19" x14ac:dyDescent="0.2">
      <c r="A477" s="2">
        <v>890</v>
      </c>
      <c r="B477" s="6" t="s">
        <v>2938</v>
      </c>
      <c r="C477" s="2" t="s">
        <v>6999</v>
      </c>
      <c r="D477" s="2" t="s">
        <v>7000</v>
      </c>
      <c r="E477" s="2" t="s">
        <v>2792</v>
      </c>
      <c r="F477" s="2"/>
      <c r="G477" s="2"/>
      <c r="H477" s="2" t="s">
        <v>2941</v>
      </c>
      <c r="I477" s="2" t="s">
        <v>7001</v>
      </c>
      <c r="J477" s="2"/>
      <c r="K477" s="2" t="s">
        <v>26</v>
      </c>
      <c r="L477" s="2" t="s">
        <v>5078</v>
      </c>
      <c r="M477" s="2" t="s">
        <v>5079</v>
      </c>
      <c r="N477" s="2" t="s">
        <v>6160</v>
      </c>
      <c r="O477" s="2" t="s">
        <v>5081</v>
      </c>
      <c r="P477" s="2" t="s">
        <v>7002</v>
      </c>
      <c r="Q477" s="2"/>
      <c r="R477" s="2" t="s">
        <v>5079</v>
      </c>
      <c r="S477" s="2"/>
    </row>
    <row r="478" spans="1:19" x14ac:dyDescent="0.2">
      <c r="A478" s="2">
        <v>1247</v>
      </c>
      <c r="B478" s="6" t="s">
        <v>2944</v>
      </c>
      <c r="C478" s="2" t="s">
        <v>7003</v>
      </c>
      <c r="D478" s="2" t="s">
        <v>7004</v>
      </c>
      <c r="E478" s="2" t="s">
        <v>1275</v>
      </c>
      <c r="F478" s="2" t="s">
        <v>2947</v>
      </c>
      <c r="G478" s="2" t="s">
        <v>2948</v>
      </c>
      <c r="H478" s="2" t="s">
        <v>2941</v>
      </c>
      <c r="I478" s="2" t="s">
        <v>7005</v>
      </c>
      <c r="J478" s="2"/>
      <c r="K478" s="2" t="s">
        <v>26</v>
      </c>
      <c r="L478" s="2" t="s">
        <v>5078</v>
      </c>
      <c r="M478" s="2" t="s">
        <v>5352</v>
      </c>
      <c r="N478" s="2" t="s">
        <v>5080</v>
      </c>
      <c r="O478" s="2" t="s">
        <v>5081</v>
      </c>
      <c r="P478" s="2" t="s">
        <v>7006</v>
      </c>
      <c r="Q478" s="2" t="s">
        <v>5091</v>
      </c>
      <c r="R478" s="2" t="s">
        <v>7007</v>
      </c>
      <c r="S478" s="2"/>
    </row>
    <row r="479" spans="1:19" x14ac:dyDescent="0.2">
      <c r="A479" s="2">
        <v>286</v>
      </c>
      <c r="B479" s="6" t="s">
        <v>2951</v>
      </c>
      <c r="C479" s="2" t="s">
        <v>7008</v>
      </c>
      <c r="D479" s="2" t="s">
        <v>7009</v>
      </c>
      <c r="E479" s="2" t="s">
        <v>2954</v>
      </c>
      <c r="F479" s="2" t="s">
        <v>2776</v>
      </c>
      <c r="G479" s="2" t="s">
        <v>2955</v>
      </c>
      <c r="H479" s="2" t="s">
        <v>2941</v>
      </c>
      <c r="I479" s="2" t="s">
        <v>7001</v>
      </c>
      <c r="J479" s="2"/>
      <c r="K479" s="2" t="s">
        <v>26</v>
      </c>
      <c r="L479" s="2" t="s">
        <v>5078</v>
      </c>
      <c r="M479" s="2" t="s">
        <v>5536</v>
      </c>
      <c r="N479" s="2" t="s">
        <v>5080</v>
      </c>
      <c r="O479" s="2" t="s">
        <v>5326</v>
      </c>
      <c r="P479" s="2" t="s">
        <v>7010</v>
      </c>
      <c r="Q479" s="2" t="s">
        <v>6844</v>
      </c>
      <c r="R479" s="2" t="s">
        <v>5536</v>
      </c>
      <c r="S479" s="2"/>
    </row>
    <row r="480" spans="1:19" x14ac:dyDescent="0.2">
      <c r="A480" s="2">
        <v>721</v>
      </c>
      <c r="B480" s="6" t="s">
        <v>2957</v>
      </c>
      <c r="C480" s="2" t="s">
        <v>7011</v>
      </c>
      <c r="D480" s="2" t="s">
        <v>7012</v>
      </c>
      <c r="E480" s="2" t="s">
        <v>2960</v>
      </c>
      <c r="F480" s="2" t="s">
        <v>2961</v>
      </c>
      <c r="G480" s="2" t="s">
        <v>2961</v>
      </c>
      <c r="H480" s="2" t="s">
        <v>2589</v>
      </c>
      <c r="I480" s="2" t="s">
        <v>7013</v>
      </c>
      <c r="J480" s="2"/>
      <c r="K480" s="2" t="s">
        <v>26</v>
      </c>
      <c r="L480" s="2" t="s">
        <v>5078</v>
      </c>
      <c r="M480" s="2" t="s">
        <v>5100</v>
      </c>
      <c r="N480" s="2" t="s">
        <v>5108</v>
      </c>
      <c r="O480" s="2" t="s">
        <v>5326</v>
      </c>
      <c r="P480" s="2" t="s">
        <v>7014</v>
      </c>
      <c r="Q480" s="2"/>
      <c r="R480" s="2" t="s">
        <v>5994</v>
      </c>
      <c r="S480" s="2" t="s">
        <v>5995</v>
      </c>
    </row>
    <row r="481" spans="1:19" x14ac:dyDescent="0.2">
      <c r="A481" s="2">
        <v>1284</v>
      </c>
      <c r="B481" s="6" t="s">
        <v>2964</v>
      </c>
      <c r="C481" s="2" t="s">
        <v>7015</v>
      </c>
      <c r="D481" s="2" t="s">
        <v>7016</v>
      </c>
      <c r="E481" s="2" t="s">
        <v>1292</v>
      </c>
      <c r="F481" s="2" t="s">
        <v>824</v>
      </c>
      <c r="G481" s="2" t="s">
        <v>1292</v>
      </c>
      <c r="H481" s="2" t="s">
        <v>2967</v>
      </c>
      <c r="I481" s="2" t="s">
        <v>7017</v>
      </c>
      <c r="J481" s="2"/>
      <c r="K481" s="2" t="s">
        <v>26</v>
      </c>
      <c r="L481" s="2" t="s">
        <v>5078</v>
      </c>
      <c r="M481" s="2" t="s">
        <v>5352</v>
      </c>
      <c r="N481" s="2" t="s">
        <v>5840</v>
      </c>
      <c r="O481" s="2" t="s">
        <v>5081</v>
      </c>
      <c r="P481" s="2" t="s">
        <v>7018</v>
      </c>
      <c r="Q481" s="2" t="s">
        <v>6844</v>
      </c>
      <c r="R481" s="2" t="s">
        <v>5352</v>
      </c>
      <c r="S481" s="2"/>
    </row>
    <row r="482" spans="1:19" x14ac:dyDescent="0.2">
      <c r="A482" s="2">
        <v>1148</v>
      </c>
      <c r="B482" s="6" t="s">
        <v>2970</v>
      </c>
      <c r="C482" s="2" t="s">
        <v>7019</v>
      </c>
      <c r="D482" s="2" t="s">
        <v>7020</v>
      </c>
      <c r="E482" s="2" t="s">
        <v>2973</v>
      </c>
      <c r="F482" s="2"/>
      <c r="G482" s="2"/>
      <c r="H482" s="2" t="s">
        <v>1684</v>
      </c>
      <c r="I482" s="2" t="s">
        <v>7021</v>
      </c>
      <c r="J482" s="2"/>
      <c r="K482" s="2" t="s">
        <v>26</v>
      </c>
      <c r="L482" s="2" t="s">
        <v>5078</v>
      </c>
      <c r="M482" s="2" t="s">
        <v>5079</v>
      </c>
      <c r="N482" s="2" t="s">
        <v>5101</v>
      </c>
      <c r="O482" s="2" t="s">
        <v>5326</v>
      </c>
      <c r="P482" s="2" t="s">
        <v>7022</v>
      </c>
      <c r="Q482" s="2" t="s">
        <v>7023</v>
      </c>
      <c r="R482" s="2" t="s">
        <v>5079</v>
      </c>
      <c r="S482" s="2"/>
    </row>
    <row r="483" spans="1:19" x14ac:dyDescent="0.2">
      <c r="A483" s="2">
        <v>1270</v>
      </c>
      <c r="B483" s="6" t="s">
        <v>2977</v>
      </c>
      <c r="C483" s="2" t="s">
        <v>7024</v>
      </c>
      <c r="D483" s="2" t="s">
        <v>7025</v>
      </c>
      <c r="E483" s="2" t="s">
        <v>431</v>
      </c>
      <c r="F483" s="2" t="s">
        <v>846</v>
      </c>
      <c r="G483" s="2" t="s">
        <v>846</v>
      </c>
      <c r="H483" s="2" t="s">
        <v>5085</v>
      </c>
      <c r="I483" s="2" t="s">
        <v>7026</v>
      </c>
      <c r="J483" s="2"/>
      <c r="K483" s="2" t="s">
        <v>39</v>
      </c>
      <c r="L483" s="2" t="s">
        <v>5087</v>
      </c>
      <c r="M483" s="2" t="s">
        <v>5352</v>
      </c>
      <c r="N483" s="2" t="s">
        <v>5108</v>
      </c>
      <c r="O483" s="2" t="s">
        <v>5081</v>
      </c>
      <c r="P483" s="2" t="s">
        <v>7027</v>
      </c>
      <c r="Q483" s="2" t="s">
        <v>7028</v>
      </c>
      <c r="R483" s="2" t="s">
        <v>5352</v>
      </c>
      <c r="S483" s="2"/>
    </row>
    <row r="484" spans="1:19" x14ac:dyDescent="0.2">
      <c r="A484" s="2">
        <v>671</v>
      </c>
      <c r="B484" s="6" t="s">
        <v>2982</v>
      </c>
      <c r="C484" s="2" t="s">
        <v>7029</v>
      </c>
      <c r="D484" s="2" t="s">
        <v>7030</v>
      </c>
      <c r="E484" s="2" t="s">
        <v>927</v>
      </c>
      <c r="F484" s="2"/>
      <c r="G484" s="2"/>
      <c r="H484" s="2" t="s">
        <v>5824</v>
      </c>
      <c r="I484" s="2" t="s">
        <v>7031</v>
      </c>
      <c r="J484" s="2"/>
      <c r="K484" s="2" t="s">
        <v>39</v>
      </c>
      <c r="L484" s="2" t="s">
        <v>5087</v>
      </c>
      <c r="M484" s="2" t="s">
        <v>5100</v>
      </c>
      <c r="N484" s="2" t="s">
        <v>5108</v>
      </c>
      <c r="O484" s="2" t="s">
        <v>5326</v>
      </c>
      <c r="P484" s="2" t="s">
        <v>7032</v>
      </c>
      <c r="Q484" s="2" t="s">
        <v>5091</v>
      </c>
      <c r="R484" s="2" t="s">
        <v>5524</v>
      </c>
      <c r="S484" s="2" t="s">
        <v>7033</v>
      </c>
    </row>
    <row r="485" spans="1:19" x14ac:dyDescent="0.2">
      <c r="A485" s="2">
        <v>1611</v>
      </c>
      <c r="B485" s="6" t="s">
        <v>2988</v>
      </c>
      <c r="C485" s="2" t="s">
        <v>7034</v>
      </c>
      <c r="D485" s="2" t="s">
        <v>7035</v>
      </c>
      <c r="E485" s="2" t="s">
        <v>2829</v>
      </c>
      <c r="F485" s="2" t="s">
        <v>2608</v>
      </c>
      <c r="G485" s="2" t="s">
        <v>2829</v>
      </c>
      <c r="H485" s="2" t="s">
        <v>110</v>
      </c>
      <c r="I485" s="2" t="s">
        <v>6778</v>
      </c>
      <c r="J485" s="2"/>
      <c r="K485" s="2" t="s">
        <v>26</v>
      </c>
      <c r="L485" s="2" t="s">
        <v>5078</v>
      </c>
      <c r="M485" s="2" t="s">
        <v>7036</v>
      </c>
      <c r="N485" s="2" t="s">
        <v>5108</v>
      </c>
      <c r="O485" s="2" t="s">
        <v>5326</v>
      </c>
      <c r="P485" s="2" t="s">
        <v>7037</v>
      </c>
      <c r="Q485" s="2" t="s">
        <v>7038</v>
      </c>
      <c r="R485" s="2" t="s">
        <v>5079</v>
      </c>
      <c r="S485" s="2"/>
    </row>
    <row r="486" spans="1:19" x14ac:dyDescent="0.2">
      <c r="A486" s="2">
        <v>678</v>
      </c>
      <c r="B486" s="6" t="s">
        <v>2995</v>
      </c>
      <c r="C486" s="2" t="s">
        <v>7039</v>
      </c>
      <c r="D486" s="2" t="s">
        <v>7040</v>
      </c>
      <c r="E486" s="2" t="s">
        <v>1692</v>
      </c>
      <c r="F486" s="2"/>
      <c r="G486" s="2"/>
      <c r="H486" s="2" t="s">
        <v>5085</v>
      </c>
      <c r="I486" s="2" t="s">
        <v>7041</v>
      </c>
      <c r="J486" s="2"/>
      <c r="K486" s="2" t="s">
        <v>39</v>
      </c>
      <c r="L486" s="2" t="s">
        <v>5087</v>
      </c>
      <c r="M486" s="2" t="s">
        <v>6731</v>
      </c>
      <c r="N486" s="2" t="s">
        <v>5108</v>
      </c>
      <c r="O486" s="2" t="s">
        <v>5326</v>
      </c>
      <c r="P486" s="2" t="s">
        <v>7042</v>
      </c>
      <c r="Q486" s="2" t="s">
        <v>7043</v>
      </c>
      <c r="R486" s="2" t="s">
        <v>6731</v>
      </c>
      <c r="S486" s="2"/>
    </row>
    <row r="487" spans="1:19" x14ac:dyDescent="0.2">
      <c r="A487" s="2">
        <v>694</v>
      </c>
      <c r="B487" s="6" t="s">
        <v>3003</v>
      </c>
      <c r="C487" s="2" t="s">
        <v>7044</v>
      </c>
      <c r="D487" s="2" t="s">
        <v>7045</v>
      </c>
      <c r="E487" s="2" t="s">
        <v>2642</v>
      </c>
      <c r="F487" s="2" t="s">
        <v>1727</v>
      </c>
      <c r="G487" s="2" t="s">
        <v>810</v>
      </c>
      <c r="H487" s="2" t="s">
        <v>5085</v>
      </c>
      <c r="I487" s="2" t="s">
        <v>7046</v>
      </c>
      <c r="J487" s="2"/>
      <c r="K487" s="2" t="s">
        <v>39</v>
      </c>
      <c r="L487" s="2" t="s">
        <v>5087</v>
      </c>
      <c r="M487" s="2" t="s">
        <v>5524</v>
      </c>
      <c r="N487" s="2" t="s">
        <v>5108</v>
      </c>
      <c r="O487" s="2" t="s">
        <v>5326</v>
      </c>
      <c r="P487" s="2" t="s">
        <v>7047</v>
      </c>
      <c r="Q487" s="2" t="s">
        <v>7048</v>
      </c>
      <c r="R487" s="2" t="s">
        <v>7049</v>
      </c>
      <c r="S487" s="2"/>
    </row>
    <row r="488" spans="1:19" x14ac:dyDescent="0.2">
      <c r="A488" s="2">
        <v>100</v>
      </c>
      <c r="B488" s="6" t="s">
        <v>3016</v>
      </c>
      <c r="C488" s="2" t="s">
        <v>7050</v>
      </c>
      <c r="D488" s="2" t="s">
        <v>7051</v>
      </c>
      <c r="E488" s="2" t="s">
        <v>2369</v>
      </c>
      <c r="F488" s="2" t="s">
        <v>3019</v>
      </c>
      <c r="G488" s="2" t="s">
        <v>3019</v>
      </c>
      <c r="H488" s="2" t="s">
        <v>135</v>
      </c>
      <c r="I488" s="2" t="s">
        <v>7052</v>
      </c>
      <c r="J488" s="2"/>
      <c r="K488" s="2" t="s">
        <v>26</v>
      </c>
      <c r="L488" s="2" t="s">
        <v>5078</v>
      </c>
      <c r="M488" s="2" t="s">
        <v>5128</v>
      </c>
      <c r="N488" s="2" t="s">
        <v>5108</v>
      </c>
      <c r="O488" s="2" t="s">
        <v>5335</v>
      </c>
      <c r="P488" s="2" t="s">
        <v>7053</v>
      </c>
      <c r="Q488" s="2"/>
      <c r="R488" s="2" t="s">
        <v>5128</v>
      </c>
      <c r="S488" s="2"/>
    </row>
    <row r="489" spans="1:19" x14ac:dyDescent="0.2">
      <c r="A489" s="2">
        <v>2055</v>
      </c>
      <c r="B489" s="6" t="s">
        <v>3022</v>
      </c>
      <c r="C489" s="2" t="s">
        <v>7054</v>
      </c>
      <c r="D489" s="2" t="s">
        <v>7055</v>
      </c>
      <c r="E489" s="2" t="s">
        <v>650</v>
      </c>
      <c r="F489" s="2" t="s">
        <v>650</v>
      </c>
      <c r="G489" s="2" t="s">
        <v>650</v>
      </c>
      <c r="H489" s="2" t="s">
        <v>2589</v>
      </c>
      <c r="I489" s="2"/>
      <c r="J489" s="2" t="s">
        <v>1324</v>
      </c>
      <c r="K489" s="2" t="s">
        <v>26</v>
      </c>
      <c r="L489" s="2" t="s">
        <v>5078</v>
      </c>
      <c r="M489" s="2" t="s">
        <v>5128</v>
      </c>
      <c r="N489" s="2" t="s">
        <v>5108</v>
      </c>
      <c r="O489" s="2" t="s">
        <v>5326</v>
      </c>
      <c r="P489" s="2" t="s">
        <v>7056</v>
      </c>
      <c r="Q489" s="2" t="s">
        <v>5091</v>
      </c>
      <c r="R489" s="2" t="s">
        <v>6452</v>
      </c>
      <c r="S489" s="2"/>
    </row>
    <row r="490" spans="1:19" x14ac:dyDescent="0.2">
      <c r="A490" s="2">
        <v>670</v>
      </c>
      <c r="B490" s="6" t="s">
        <v>3026</v>
      </c>
      <c r="C490" s="2" t="s">
        <v>7057</v>
      </c>
      <c r="D490" s="2" t="s">
        <v>7058</v>
      </c>
      <c r="E490" s="2" t="s">
        <v>2163</v>
      </c>
      <c r="F490" s="2"/>
      <c r="G490" s="2"/>
      <c r="H490" s="2" t="s">
        <v>7059</v>
      </c>
      <c r="I490" s="2" t="s">
        <v>7060</v>
      </c>
      <c r="J490" s="2"/>
      <c r="K490" s="2" t="s">
        <v>26</v>
      </c>
      <c r="L490" s="2" t="s">
        <v>5078</v>
      </c>
      <c r="M490" s="2" t="s">
        <v>5079</v>
      </c>
      <c r="N490" s="2" t="s">
        <v>5108</v>
      </c>
      <c r="O490" s="2" t="s">
        <v>6377</v>
      </c>
      <c r="P490" s="2" t="s">
        <v>7061</v>
      </c>
      <c r="Q490" s="2" t="s">
        <v>5091</v>
      </c>
      <c r="R490" s="2" t="s">
        <v>5079</v>
      </c>
      <c r="S490" s="2"/>
    </row>
    <row r="491" spans="1:19" x14ac:dyDescent="0.2">
      <c r="A491" s="2">
        <v>1817</v>
      </c>
      <c r="B491" s="6" t="s">
        <v>3032</v>
      </c>
      <c r="C491" s="2" t="s">
        <v>7062</v>
      </c>
      <c r="D491" s="2" t="s">
        <v>7063</v>
      </c>
      <c r="E491" s="2" t="s">
        <v>2829</v>
      </c>
      <c r="F491" s="2"/>
      <c r="G491" s="2"/>
      <c r="H491" s="2" t="s">
        <v>110</v>
      </c>
      <c r="I491" s="2" t="s">
        <v>7064</v>
      </c>
      <c r="J491" s="2"/>
      <c r="K491" s="2" t="s">
        <v>26</v>
      </c>
      <c r="L491" s="2" t="s">
        <v>5078</v>
      </c>
      <c r="M491" s="2" t="s">
        <v>5100</v>
      </c>
      <c r="N491" s="2" t="s">
        <v>5108</v>
      </c>
      <c r="O491" s="2" t="s">
        <v>5326</v>
      </c>
      <c r="P491" s="2" t="s">
        <v>7065</v>
      </c>
      <c r="Q491" s="2" t="s">
        <v>7066</v>
      </c>
      <c r="R491" s="2" t="s">
        <v>5218</v>
      </c>
      <c r="S491" s="2" t="s">
        <v>5269</v>
      </c>
    </row>
    <row r="492" spans="1:19" x14ac:dyDescent="0.2">
      <c r="A492" s="2">
        <v>1929</v>
      </c>
      <c r="B492" s="6" t="s">
        <v>3038</v>
      </c>
      <c r="C492" s="2" t="s">
        <v>7067</v>
      </c>
      <c r="D492" s="2" t="s">
        <v>7068</v>
      </c>
      <c r="E492" s="2" t="s">
        <v>483</v>
      </c>
      <c r="F492" s="2"/>
      <c r="G492" s="2"/>
      <c r="H492" s="2" t="s">
        <v>2821</v>
      </c>
      <c r="I492" s="2" t="s">
        <v>7069</v>
      </c>
      <c r="J492" s="2"/>
      <c r="K492" s="2" t="s">
        <v>26</v>
      </c>
      <c r="L492" s="2" t="s">
        <v>5078</v>
      </c>
      <c r="M492" s="2" t="s">
        <v>5297</v>
      </c>
      <c r="N492" s="2" t="s">
        <v>5108</v>
      </c>
      <c r="O492" s="2" t="s">
        <v>6176</v>
      </c>
      <c r="P492" s="2" t="s">
        <v>7070</v>
      </c>
      <c r="Q492" s="2" t="s">
        <v>5123</v>
      </c>
      <c r="R492" s="2" t="s">
        <v>5079</v>
      </c>
      <c r="S492" s="2" t="s">
        <v>5995</v>
      </c>
    </row>
    <row r="493" spans="1:19" x14ac:dyDescent="0.2">
      <c r="A493" s="2">
        <v>1253</v>
      </c>
      <c r="B493" s="6" t="s">
        <v>3043</v>
      </c>
      <c r="C493" s="2" t="s">
        <v>7071</v>
      </c>
      <c r="D493" s="2" t="s">
        <v>7072</v>
      </c>
      <c r="E493" s="2" t="s">
        <v>3046</v>
      </c>
      <c r="F493" s="2" t="s">
        <v>2714</v>
      </c>
      <c r="G493" s="2" t="s">
        <v>3046</v>
      </c>
      <c r="H493" s="2" t="s">
        <v>3047</v>
      </c>
      <c r="I493" s="2" t="s">
        <v>7073</v>
      </c>
      <c r="J493" s="2"/>
      <c r="K493" s="2" t="s">
        <v>26</v>
      </c>
      <c r="L493" s="2" t="s">
        <v>5078</v>
      </c>
      <c r="M493" s="2" t="s">
        <v>7074</v>
      </c>
      <c r="N493" s="2" t="s">
        <v>5108</v>
      </c>
      <c r="O493" s="2" t="s">
        <v>5326</v>
      </c>
      <c r="P493" s="2" t="s">
        <v>7075</v>
      </c>
      <c r="Q493" s="2" t="s">
        <v>5091</v>
      </c>
      <c r="R493" s="2" t="s">
        <v>5914</v>
      </c>
      <c r="S493" s="2"/>
    </row>
    <row r="494" spans="1:19" x14ac:dyDescent="0.2">
      <c r="A494" s="2">
        <v>96</v>
      </c>
      <c r="B494" s="6" t="s">
        <v>3051</v>
      </c>
      <c r="C494" s="2" t="s">
        <v>7076</v>
      </c>
      <c r="D494" s="2" t="s">
        <v>7077</v>
      </c>
      <c r="E494" s="2" t="s">
        <v>1722</v>
      </c>
      <c r="F494" s="2"/>
      <c r="G494" s="2"/>
      <c r="H494" s="6" t="s">
        <v>7078</v>
      </c>
      <c r="I494" s="2" t="s">
        <v>7079</v>
      </c>
      <c r="J494" s="2"/>
      <c r="K494" s="2" t="s">
        <v>26</v>
      </c>
      <c r="L494" s="2" t="s">
        <v>5078</v>
      </c>
      <c r="M494" s="2" t="s">
        <v>5079</v>
      </c>
      <c r="N494" s="2" t="s">
        <v>5101</v>
      </c>
      <c r="O494" s="2" t="s">
        <v>5326</v>
      </c>
      <c r="P494" s="2" t="s">
        <v>7080</v>
      </c>
      <c r="Q494" s="2"/>
      <c r="R494" s="2" t="s">
        <v>7081</v>
      </c>
      <c r="S494" s="2"/>
    </row>
    <row r="495" spans="1:19" x14ac:dyDescent="0.2">
      <c r="A495" s="2">
        <v>1416</v>
      </c>
      <c r="B495" s="6" t="s">
        <v>3058</v>
      </c>
      <c r="C495" s="2" t="s">
        <v>7082</v>
      </c>
      <c r="D495" s="2" t="s">
        <v>7083</v>
      </c>
      <c r="E495" s="2" t="s">
        <v>1727</v>
      </c>
      <c r="F495" s="2" t="s">
        <v>816</v>
      </c>
      <c r="G495" s="2" t="s">
        <v>816</v>
      </c>
      <c r="H495" s="2" t="s">
        <v>3061</v>
      </c>
      <c r="I495" s="2" t="s">
        <v>7084</v>
      </c>
      <c r="J495" s="2"/>
      <c r="K495" s="2" t="s">
        <v>26</v>
      </c>
      <c r="L495" s="2" t="s">
        <v>5078</v>
      </c>
      <c r="M495" s="2" t="s">
        <v>7085</v>
      </c>
      <c r="N495" s="2" t="s">
        <v>5108</v>
      </c>
      <c r="O495" s="2" t="s">
        <v>5326</v>
      </c>
      <c r="P495" s="2" t="s">
        <v>7086</v>
      </c>
      <c r="Q495" s="2" t="s">
        <v>5224</v>
      </c>
      <c r="R495" s="2" t="s">
        <v>5079</v>
      </c>
      <c r="S495" s="2"/>
    </row>
    <row r="496" spans="1:19" x14ac:dyDescent="0.2">
      <c r="A496" s="2">
        <v>1588</v>
      </c>
      <c r="B496" s="6" t="s">
        <v>3065</v>
      </c>
      <c r="C496" s="2" t="s">
        <v>7087</v>
      </c>
      <c r="D496" s="2" t="s">
        <v>7088</v>
      </c>
      <c r="E496" s="2" t="s">
        <v>2609</v>
      </c>
      <c r="F496" s="2"/>
      <c r="G496" s="2"/>
      <c r="H496" s="2" t="s">
        <v>3068</v>
      </c>
      <c r="I496" s="2" t="s">
        <v>7089</v>
      </c>
      <c r="J496" s="2" t="s">
        <v>3061</v>
      </c>
      <c r="K496" s="2" t="s">
        <v>26</v>
      </c>
      <c r="L496" s="2" t="s">
        <v>5078</v>
      </c>
      <c r="M496" s="2" t="s">
        <v>5167</v>
      </c>
      <c r="N496" s="2" t="s">
        <v>5108</v>
      </c>
      <c r="O496" s="2" t="s">
        <v>5081</v>
      </c>
      <c r="P496" s="2" t="s">
        <v>7090</v>
      </c>
      <c r="Q496" s="2"/>
      <c r="R496" s="2" t="s">
        <v>7091</v>
      </c>
      <c r="S496" s="2"/>
    </row>
    <row r="497" spans="1:19" x14ac:dyDescent="0.2">
      <c r="A497" s="2">
        <v>1609</v>
      </c>
      <c r="B497" s="6" t="s">
        <v>3073</v>
      </c>
      <c r="C497" s="2" t="s">
        <v>7092</v>
      </c>
      <c r="D497" s="2" t="s">
        <v>7093</v>
      </c>
      <c r="E497" s="2" t="s">
        <v>3076</v>
      </c>
      <c r="F497" s="2"/>
      <c r="G497" s="2"/>
      <c r="H497" s="2" t="s">
        <v>110</v>
      </c>
      <c r="I497" s="2" t="s">
        <v>7094</v>
      </c>
      <c r="J497" s="2"/>
      <c r="K497" s="2" t="s">
        <v>26</v>
      </c>
      <c r="L497" s="2" t="s">
        <v>5078</v>
      </c>
      <c r="M497" s="2"/>
      <c r="N497" s="2" t="s">
        <v>5108</v>
      </c>
      <c r="O497" s="2" t="s">
        <v>5081</v>
      </c>
      <c r="P497" s="2" t="s">
        <v>7095</v>
      </c>
      <c r="Q497" s="2" t="s">
        <v>6860</v>
      </c>
      <c r="R497" s="2" t="s">
        <v>5524</v>
      </c>
      <c r="S497" s="2"/>
    </row>
    <row r="498" spans="1:19" x14ac:dyDescent="0.2">
      <c r="A498" s="2">
        <v>1916</v>
      </c>
      <c r="B498" s="6" t="s">
        <v>3079</v>
      </c>
      <c r="C498" s="2" t="s">
        <v>7096</v>
      </c>
      <c r="D498" s="2" t="s">
        <v>7097</v>
      </c>
      <c r="E498" s="2" t="s">
        <v>2829</v>
      </c>
      <c r="F498" s="2" t="s">
        <v>2829</v>
      </c>
      <c r="G498" s="2" t="s">
        <v>2829</v>
      </c>
      <c r="H498" s="2" t="s">
        <v>135</v>
      </c>
      <c r="I498" s="2" t="s">
        <v>7098</v>
      </c>
      <c r="J498" s="2"/>
      <c r="K498" s="2" t="s">
        <v>26</v>
      </c>
      <c r="L498" s="2" t="s">
        <v>5078</v>
      </c>
      <c r="M498" s="2" t="s">
        <v>7099</v>
      </c>
      <c r="N498" s="2" t="s">
        <v>5108</v>
      </c>
      <c r="O498" s="2" t="s">
        <v>5326</v>
      </c>
      <c r="P498" s="2" t="s">
        <v>7100</v>
      </c>
      <c r="Q498" s="2" t="s">
        <v>5123</v>
      </c>
      <c r="R498" s="2" t="s">
        <v>5297</v>
      </c>
      <c r="S498" s="2"/>
    </row>
    <row r="499" spans="1:19" x14ac:dyDescent="0.2">
      <c r="A499" s="2">
        <v>1920</v>
      </c>
      <c r="B499" s="6" t="s">
        <v>3085</v>
      </c>
      <c r="C499" s="2" t="s">
        <v>7101</v>
      </c>
      <c r="D499" s="2" t="s">
        <v>7102</v>
      </c>
      <c r="E499" s="2" t="s">
        <v>3088</v>
      </c>
      <c r="F499" s="2"/>
      <c r="G499" s="2"/>
      <c r="H499" s="2" t="s">
        <v>3089</v>
      </c>
      <c r="I499" s="2" t="s">
        <v>7103</v>
      </c>
      <c r="J499" s="2"/>
      <c r="K499" s="2" t="s">
        <v>26</v>
      </c>
      <c r="L499" s="2" t="s">
        <v>5078</v>
      </c>
      <c r="M499" s="2" t="s">
        <v>7099</v>
      </c>
      <c r="N499" s="2" t="s">
        <v>5108</v>
      </c>
      <c r="O499" s="2" t="s">
        <v>5335</v>
      </c>
      <c r="P499" s="2" t="s">
        <v>7104</v>
      </c>
      <c r="Q499" s="2" t="s">
        <v>5123</v>
      </c>
      <c r="R499" s="2" t="s">
        <v>5297</v>
      </c>
      <c r="S499" s="2"/>
    </row>
    <row r="500" spans="1:19" x14ac:dyDescent="0.2">
      <c r="A500" s="2">
        <v>1918</v>
      </c>
      <c r="B500" s="6" t="s">
        <v>3092</v>
      </c>
      <c r="C500" s="2" t="s">
        <v>7105</v>
      </c>
      <c r="D500" s="2" t="s">
        <v>7106</v>
      </c>
      <c r="E500" s="2" t="s">
        <v>1031</v>
      </c>
      <c r="F500" s="2" t="s">
        <v>1031</v>
      </c>
      <c r="G500" s="2" t="s">
        <v>1031</v>
      </c>
      <c r="H500" s="2" t="s">
        <v>135</v>
      </c>
      <c r="I500" s="2" t="s">
        <v>7107</v>
      </c>
      <c r="J500" s="2"/>
      <c r="K500" s="2" t="s">
        <v>26</v>
      </c>
      <c r="L500" s="2" t="s">
        <v>5078</v>
      </c>
      <c r="M500" s="2" t="s">
        <v>5297</v>
      </c>
      <c r="N500" s="2" t="s">
        <v>5840</v>
      </c>
      <c r="O500" s="2" t="s">
        <v>5326</v>
      </c>
      <c r="P500" s="2" t="s">
        <v>7108</v>
      </c>
      <c r="Q500" s="2" t="s">
        <v>5123</v>
      </c>
      <c r="R500" s="2" t="s">
        <v>5297</v>
      </c>
      <c r="S500" s="2"/>
    </row>
    <row r="501" spans="1:19" x14ac:dyDescent="0.2">
      <c r="A501" s="2">
        <v>1326</v>
      </c>
      <c r="B501" s="6" t="s">
        <v>3097</v>
      </c>
      <c r="C501" s="2" t="s">
        <v>7109</v>
      </c>
      <c r="D501" s="2" t="s">
        <v>7110</v>
      </c>
      <c r="E501" s="2" t="s">
        <v>569</v>
      </c>
      <c r="F501" s="2"/>
      <c r="G501" s="2"/>
      <c r="H501" s="2" t="s">
        <v>110</v>
      </c>
      <c r="I501" s="2" t="s">
        <v>7094</v>
      </c>
      <c r="J501" s="2"/>
      <c r="K501" s="2" t="s">
        <v>26</v>
      </c>
      <c r="L501" s="2" t="s">
        <v>5078</v>
      </c>
      <c r="M501" s="2" t="s">
        <v>5079</v>
      </c>
      <c r="N501" s="2" t="s">
        <v>5108</v>
      </c>
      <c r="O501" s="2" t="s">
        <v>5326</v>
      </c>
      <c r="P501" s="2" t="s">
        <v>7111</v>
      </c>
      <c r="Q501" s="2" t="s">
        <v>5091</v>
      </c>
      <c r="R501" s="2" t="s">
        <v>5079</v>
      </c>
      <c r="S501" s="2"/>
    </row>
    <row r="502" spans="1:19" x14ac:dyDescent="0.2">
      <c r="A502" s="2">
        <v>1245</v>
      </c>
      <c r="B502" s="6" t="s">
        <v>3101</v>
      </c>
      <c r="C502" s="2" t="s">
        <v>7112</v>
      </c>
      <c r="D502" s="2" t="s">
        <v>7113</v>
      </c>
      <c r="E502" s="2" t="s">
        <v>1722</v>
      </c>
      <c r="F502" s="2" t="s">
        <v>1722</v>
      </c>
      <c r="G502" s="2" t="s">
        <v>1722</v>
      </c>
      <c r="H502" s="2" t="s">
        <v>1324</v>
      </c>
      <c r="I502" s="2" t="s">
        <v>7114</v>
      </c>
      <c r="J502" s="2"/>
      <c r="K502" s="2" t="s">
        <v>26</v>
      </c>
      <c r="L502" s="2" t="s">
        <v>5078</v>
      </c>
      <c r="M502" s="2" t="s">
        <v>7115</v>
      </c>
      <c r="N502" s="2" t="s">
        <v>5108</v>
      </c>
      <c r="O502" s="2" t="s">
        <v>5326</v>
      </c>
      <c r="P502" s="2" t="s">
        <v>7116</v>
      </c>
      <c r="Q502" s="2" t="s">
        <v>5091</v>
      </c>
      <c r="R502" s="2" t="s">
        <v>5107</v>
      </c>
      <c r="S502" s="2"/>
    </row>
    <row r="503" spans="1:19" x14ac:dyDescent="0.2">
      <c r="A503" s="2">
        <v>2036</v>
      </c>
      <c r="B503" s="6" t="s">
        <v>3107</v>
      </c>
      <c r="C503" s="2" t="s">
        <v>7117</v>
      </c>
      <c r="D503" s="2" t="s">
        <v>7118</v>
      </c>
      <c r="E503" s="2" t="s">
        <v>1176</v>
      </c>
      <c r="F503" s="2" t="s">
        <v>3110</v>
      </c>
      <c r="G503" s="2" t="s">
        <v>1176</v>
      </c>
      <c r="H503" s="2" t="s">
        <v>5085</v>
      </c>
      <c r="I503" s="2" t="s">
        <v>7119</v>
      </c>
      <c r="J503" s="2"/>
      <c r="K503" s="2" t="s">
        <v>39</v>
      </c>
      <c r="L503" s="2" t="s">
        <v>5087</v>
      </c>
      <c r="M503" s="2" t="s">
        <v>5095</v>
      </c>
      <c r="N503" s="2" t="s">
        <v>5108</v>
      </c>
      <c r="O503" s="2" t="s">
        <v>6377</v>
      </c>
      <c r="P503" s="2" t="s">
        <v>7120</v>
      </c>
      <c r="Q503" s="2" t="s">
        <v>5091</v>
      </c>
      <c r="R503" s="2" t="s">
        <v>7121</v>
      </c>
      <c r="S503" s="2" t="s">
        <v>5471</v>
      </c>
    </row>
    <row r="504" spans="1:19" x14ac:dyDescent="0.2">
      <c r="A504" s="2">
        <v>1282</v>
      </c>
      <c r="B504" s="6" t="s">
        <v>3114</v>
      </c>
      <c r="C504" s="2" t="s">
        <v>7122</v>
      </c>
      <c r="D504" s="2" t="s">
        <v>7123</v>
      </c>
      <c r="E504" s="2" t="s">
        <v>1191</v>
      </c>
      <c r="F504" s="2" t="s">
        <v>3117</v>
      </c>
      <c r="G504" s="2" t="s">
        <v>1191</v>
      </c>
      <c r="H504" s="2" t="s">
        <v>660</v>
      </c>
      <c r="I504" s="2" t="s">
        <v>7124</v>
      </c>
      <c r="J504" s="2"/>
      <c r="K504" s="2" t="s">
        <v>26</v>
      </c>
      <c r="L504" s="2" t="s">
        <v>5078</v>
      </c>
      <c r="M504" s="2" t="s">
        <v>7125</v>
      </c>
      <c r="N504" s="2" t="s">
        <v>5108</v>
      </c>
      <c r="O504" s="2" t="s">
        <v>6592</v>
      </c>
      <c r="P504" s="2" t="s">
        <v>7126</v>
      </c>
      <c r="Q504" s="2" t="s">
        <v>5091</v>
      </c>
      <c r="R504" s="2" t="s">
        <v>7127</v>
      </c>
      <c r="S504" s="2"/>
    </row>
    <row r="505" spans="1:19" x14ac:dyDescent="0.2">
      <c r="A505" s="2">
        <v>1902</v>
      </c>
      <c r="B505" s="6" t="s">
        <v>3122</v>
      </c>
      <c r="C505" s="2" t="s">
        <v>7128</v>
      </c>
      <c r="D505" s="2" t="s">
        <v>7129</v>
      </c>
      <c r="E505" s="2" t="s">
        <v>1761</v>
      </c>
      <c r="F505" s="2" t="s">
        <v>1717</v>
      </c>
      <c r="G505" s="2" t="s">
        <v>1717</v>
      </c>
      <c r="H505" s="2" t="s">
        <v>1684</v>
      </c>
      <c r="I505" s="2" t="s">
        <v>7130</v>
      </c>
      <c r="J505" s="2"/>
      <c r="K505" s="2" t="s">
        <v>26</v>
      </c>
      <c r="L505" s="2" t="s">
        <v>5078</v>
      </c>
      <c r="M505" s="2" t="s">
        <v>5297</v>
      </c>
      <c r="N505" s="2" t="s">
        <v>5108</v>
      </c>
      <c r="O505" s="2" t="s">
        <v>5326</v>
      </c>
      <c r="P505" s="2" t="s">
        <v>7104</v>
      </c>
      <c r="Q505" s="2" t="s">
        <v>5123</v>
      </c>
      <c r="R505" s="2" t="s">
        <v>5297</v>
      </c>
      <c r="S505" s="2"/>
    </row>
    <row r="506" spans="1:19" x14ac:dyDescent="0.2">
      <c r="A506" s="2">
        <v>320</v>
      </c>
      <c r="B506" s="6" t="s">
        <v>3126</v>
      </c>
      <c r="C506" s="2" t="s">
        <v>7131</v>
      </c>
      <c r="D506" s="2" t="s">
        <v>7132</v>
      </c>
      <c r="E506" s="2" t="s">
        <v>2168</v>
      </c>
      <c r="F506" s="2"/>
      <c r="G506" s="2"/>
      <c r="H506" s="2" t="s">
        <v>2589</v>
      </c>
      <c r="I506" s="2" t="s">
        <v>7133</v>
      </c>
      <c r="J506" s="2"/>
      <c r="K506" s="2" t="s">
        <v>26</v>
      </c>
      <c r="L506" s="2" t="s">
        <v>5078</v>
      </c>
      <c r="M506" s="2" t="s">
        <v>7134</v>
      </c>
      <c r="N506" s="2" t="s">
        <v>5108</v>
      </c>
      <c r="O506" s="2" t="s">
        <v>6592</v>
      </c>
      <c r="P506" s="2" t="s">
        <v>7135</v>
      </c>
      <c r="Q506" s="2" t="s">
        <v>7134</v>
      </c>
      <c r="R506" s="2" t="s">
        <v>7136</v>
      </c>
      <c r="S506" s="2"/>
    </row>
    <row r="507" spans="1:19" x14ac:dyDescent="0.2">
      <c r="A507" s="2">
        <v>1494</v>
      </c>
      <c r="B507" s="6" t="s">
        <v>3133</v>
      </c>
      <c r="C507" s="2" t="s">
        <v>7137</v>
      </c>
      <c r="D507" s="2" t="s">
        <v>7138</v>
      </c>
      <c r="E507" s="2" t="s">
        <v>1692</v>
      </c>
      <c r="F507" s="2" t="s">
        <v>1692</v>
      </c>
      <c r="G507" s="2" t="s">
        <v>1692</v>
      </c>
      <c r="H507" s="2" t="s">
        <v>5085</v>
      </c>
      <c r="I507" s="2" t="s">
        <v>7139</v>
      </c>
      <c r="J507" s="2" t="s">
        <v>5310</v>
      </c>
      <c r="K507" s="2" t="s">
        <v>39</v>
      </c>
      <c r="L507" s="2" t="s">
        <v>5087</v>
      </c>
      <c r="M507" s="2" t="s">
        <v>5100</v>
      </c>
      <c r="N507" s="2" t="s">
        <v>5108</v>
      </c>
      <c r="O507" s="2" t="s">
        <v>5326</v>
      </c>
      <c r="P507" s="2" t="s">
        <v>7140</v>
      </c>
      <c r="Q507" s="2"/>
      <c r="R507" s="2" t="s">
        <v>5100</v>
      </c>
      <c r="S507" s="2"/>
    </row>
    <row r="508" spans="1:19" x14ac:dyDescent="0.2">
      <c r="A508" s="2">
        <v>1162</v>
      </c>
      <c r="B508" s="6" t="s">
        <v>3137</v>
      </c>
      <c r="C508" s="2" t="s">
        <v>7141</v>
      </c>
      <c r="D508" s="2" t="s">
        <v>7142</v>
      </c>
      <c r="E508" s="2" t="s">
        <v>3140</v>
      </c>
      <c r="F508" s="2"/>
      <c r="G508" s="2"/>
      <c r="H508" s="2" t="s">
        <v>2678</v>
      </c>
      <c r="I508" s="2" t="s">
        <v>6834</v>
      </c>
      <c r="J508" s="2"/>
      <c r="K508" s="2" t="s">
        <v>26</v>
      </c>
      <c r="L508" s="2" t="s">
        <v>5078</v>
      </c>
      <c r="M508" s="2" t="s">
        <v>7115</v>
      </c>
      <c r="N508" s="2" t="s">
        <v>6160</v>
      </c>
      <c r="O508" s="2" t="s">
        <v>5326</v>
      </c>
      <c r="P508" s="2" t="s">
        <v>7143</v>
      </c>
      <c r="Q508" s="2" t="s">
        <v>5091</v>
      </c>
      <c r="R508" s="2" t="s">
        <v>5107</v>
      </c>
      <c r="S508" s="2"/>
    </row>
    <row r="509" spans="1:19" x14ac:dyDescent="0.2">
      <c r="A509" s="2">
        <v>1159</v>
      </c>
      <c r="B509" s="6" t="s">
        <v>3142</v>
      </c>
      <c r="C509" s="2" t="s">
        <v>7144</v>
      </c>
      <c r="D509" s="2" t="s">
        <v>7145</v>
      </c>
      <c r="E509" s="2" t="s">
        <v>1057</v>
      </c>
      <c r="F509" s="2" t="s">
        <v>2608</v>
      </c>
      <c r="G509" s="2" t="s">
        <v>1057</v>
      </c>
      <c r="H509" s="2" t="s">
        <v>2678</v>
      </c>
      <c r="I509" s="2" t="s">
        <v>6834</v>
      </c>
      <c r="J509" s="2"/>
      <c r="K509" s="2" t="s">
        <v>26</v>
      </c>
      <c r="L509" s="2" t="s">
        <v>5078</v>
      </c>
      <c r="M509" s="2" t="s">
        <v>5079</v>
      </c>
      <c r="N509" s="2" t="s">
        <v>6160</v>
      </c>
      <c r="O509" s="2" t="s">
        <v>5326</v>
      </c>
      <c r="P509" s="2" t="s">
        <v>7146</v>
      </c>
      <c r="Q509" s="2" t="s">
        <v>5091</v>
      </c>
      <c r="R509" s="2" t="s">
        <v>5079</v>
      </c>
      <c r="S509" s="2"/>
    </row>
    <row r="510" spans="1:19" x14ac:dyDescent="0.2">
      <c r="A510" s="2">
        <v>1158</v>
      </c>
      <c r="B510" s="6" t="s">
        <v>3146</v>
      </c>
      <c r="C510" s="2" t="s">
        <v>7147</v>
      </c>
      <c r="D510" s="2" t="s">
        <v>7148</v>
      </c>
      <c r="E510" s="2" t="s">
        <v>2649</v>
      </c>
      <c r="F510" s="2" t="s">
        <v>2608</v>
      </c>
      <c r="G510" s="2" t="s">
        <v>3149</v>
      </c>
      <c r="H510" s="2" t="s">
        <v>2678</v>
      </c>
      <c r="I510" s="2" t="s">
        <v>6834</v>
      </c>
      <c r="J510" s="2"/>
      <c r="K510" s="2" t="s">
        <v>26</v>
      </c>
      <c r="L510" s="2" t="s">
        <v>5078</v>
      </c>
      <c r="M510" s="2" t="s">
        <v>5079</v>
      </c>
      <c r="N510" s="2" t="s">
        <v>6160</v>
      </c>
      <c r="O510" s="2" t="s">
        <v>5081</v>
      </c>
      <c r="P510" s="2" t="s">
        <v>7149</v>
      </c>
      <c r="Q510" s="2" t="s">
        <v>5091</v>
      </c>
      <c r="R510" s="2" t="s">
        <v>5079</v>
      </c>
      <c r="S510" s="2"/>
    </row>
    <row r="511" spans="1:19" x14ac:dyDescent="0.2">
      <c r="A511" s="2">
        <v>877</v>
      </c>
      <c r="B511" s="6" t="s">
        <v>3151</v>
      </c>
      <c r="C511" s="2" t="s">
        <v>7150</v>
      </c>
      <c r="D511" s="2" t="s">
        <v>7151</v>
      </c>
      <c r="E511" s="2" t="s">
        <v>3154</v>
      </c>
      <c r="F511" s="2" t="s">
        <v>2608</v>
      </c>
      <c r="G511" s="2" t="s">
        <v>3154</v>
      </c>
      <c r="H511" s="2" t="s">
        <v>3155</v>
      </c>
      <c r="I511" s="2" t="s">
        <v>7152</v>
      </c>
      <c r="J511" s="2"/>
      <c r="K511" s="2" t="s">
        <v>26</v>
      </c>
      <c r="L511" s="2" t="s">
        <v>5078</v>
      </c>
      <c r="M511" s="2" t="s">
        <v>5079</v>
      </c>
      <c r="N511" s="2" t="s">
        <v>5101</v>
      </c>
      <c r="O511" s="2" t="s">
        <v>6377</v>
      </c>
      <c r="P511" s="2" t="s">
        <v>7153</v>
      </c>
      <c r="Q511" s="2" t="s">
        <v>7154</v>
      </c>
      <c r="R511" s="2" t="s">
        <v>5079</v>
      </c>
      <c r="S511" s="2" t="s">
        <v>5529</v>
      </c>
    </row>
    <row r="512" spans="1:19" x14ac:dyDescent="0.2">
      <c r="A512" s="2">
        <v>396</v>
      </c>
      <c r="B512" s="6" t="s">
        <v>3159</v>
      </c>
      <c r="C512" s="2" t="s">
        <v>7155</v>
      </c>
      <c r="D512" s="2" t="s">
        <v>7156</v>
      </c>
      <c r="E512" s="2" t="s">
        <v>2340</v>
      </c>
      <c r="F512" s="2" t="s">
        <v>2340</v>
      </c>
      <c r="G512" s="2" t="s">
        <v>2340</v>
      </c>
      <c r="H512" s="2" t="s">
        <v>5227</v>
      </c>
      <c r="I512" s="2" t="s">
        <v>7157</v>
      </c>
      <c r="J512" s="2"/>
      <c r="K512" s="2" t="s">
        <v>39</v>
      </c>
      <c r="L512" s="2" t="s">
        <v>5087</v>
      </c>
      <c r="M512" s="2" t="s">
        <v>5100</v>
      </c>
      <c r="N512" s="2" t="s">
        <v>5108</v>
      </c>
      <c r="O512" s="2" t="s">
        <v>6377</v>
      </c>
      <c r="P512" s="2" t="s">
        <v>7158</v>
      </c>
      <c r="Q512" s="2"/>
      <c r="R512" s="2" t="s">
        <v>5100</v>
      </c>
      <c r="S512" s="2" t="s">
        <v>5995</v>
      </c>
    </row>
    <row r="513" spans="1:19" x14ac:dyDescent="0.2">
      <c r="A513" s="2">
        <v>295</v>
      </c>
      <c r="B513" s="6" t="s">
        <v>3164</v>
      </c>
      <c r="C513" s="2" t="s">
        <v>7159</v>
      </c>
      <c r="D513" s="2" t="s">
        <v>7160</v>
      </c>
      <c r="E513" s="2" t="s">
        <v>683</v>
      </c>
      <c r="F513" s="2" t="s">
        <v>2327</v>
      </c>
      <c r="G513" s="2" t="s">
        <v>2327</v>
      </c>
      <c r="H513" s="2" t="s">
        <v>5085</v>
      </c>
      <c r="I513" s="2" t="s">
        <v>5177</v>
      </c>
      <c r="J513" s="2"/>
      <c r="K513" s="2" t="s">
        <v>39</v>
      </c>
      <c r="L513" s="2" t="s">
        <v>5087</v>
      </c>
      <c r="M513" s="2" t="s">
        <v>5100</v>
      </c>
      <c r="N513" s="2" t="s">
        <v>5108</v>
      </c>
      <c r="O513" s="2" t="s">
        <v>5335</v>
      </c>
      <c r="P513" s="2" t="s">
        <v>7161</v>
      </c>
      <c r="Q513" s="2" t="s">
        <v>5224</v>
      </c>
      <c r="R513" s="2" t="s">
        <v>7162</v>
      </c>
      <c r="S513" s="2" t="s">
        <v>5230</v>
      </c>
    </row>
    <row r="514" spans="1:19" x14ac:dyDescent="0.2">
      <c r="A514" s="2">
        <v>2103</v>
      </c>
      <c r="B514" s="6" t="s">
        <v>3170</v>
      </c>
      <c r="C514" s="2" t="s">
        <v>7163</v>
      </c>
      <c r="D514" s="2" t="s">
        <v>7164</v>
      </c>
      <c r="E514" s="2" t="s">
        <v>650</v>
      </c>
      <c r="F514" s="2" t="s">
        <v>650</v>
      </c>
      <c r="G514" s="2" t="s">
        <v>650</v>
      </c>
      <c r="H514" s="2" t="s">
        <v>5227</v>
      </c>
      <c r="I514" s="2" t="s">
        <v>7165</v>
      </c>
      <c r="J514" s="2"/>
      <c r="K514" s="2" t="s">
        <v>39</v>
      </c>
      <c r="L514" s="2" t="s">
        <v>5087</v>
      </c>
      <c r="M514" s="2" t="s">
        <v>5100</v>
      </c>
      <c r="N514" s="2" t="s">
        <v>5108</v>
      </c>
      <c r="O514" s="2" t="s">
        <v>5081</v>
      </c>
      <c r="P514" s="2" t="s">
        <v>7166</v>
      </c>
      <c r="Q514" s="2" t="s">
        <v>7043</v>
      </c>
      <c r="R514" s="2" t="s">
        <v>5079</v>
      </c>
      <c r="S514" s="2" t="s">
        <v>5230</v>
      </c>
    </row>
    <row r="515" spans="1:19" x14ac:dyDescent="0.2">
      <c r="A515" s="2">
        <v>879</v>
      </c>
      <c r="B515" s="6" t="s">
        <v>3175</v>
      </c>
      <c r="C515" s="2" t="s">
        <v>7167</v>
      </c>
      <c r="D515" s="2" t="s">
        <v>7168</v>
      </c>
      <c r="E515" s="2" t="s">
        <v>200</v>
      </c>
      <c r="F515" s="2" t="s">
        <v>2608</v>
      </c>
      <c r="G515" s="2" t="s">
        <v>1415</v>
      </c>
      <c r="H515" s="2" t="s">
        <v>3178</v>
      </c>
      <c r="I515" s="2" t="s">
        <v>7169</v>
      </c>
      <c r="J515" s="2"/>
      <c r="K515" s="2" t="s">
        <v>26</v>
      </c>
      <c r="L515" s="2" t="s">
        <v>5078</v>
      </c>
      <c r="M515" s="2" t="s">
        <v>7170</v>
      </c>
      <c r="N515" s="2" t="s">
        <v>5108</v>
      </c>
      <c r="O515" s="2" t="s">
        <v>5326</v>
      </c>
      <c r="P515" s="2" t="s">
        <v>7171</v>
      </c>
      <c r="Q515" s="2" t="s">
        <v>5242</v>
      </c>
      <c r="R515" s="2" t="s">
        <v>5079</v>
      </c>
      <c r="S515" s="2" t="s">
        <v>7172</v>
      </c>
    </row>
    <row r="516" spans="1:19" x14ac:dyDescent="0.2">
      <c r="A516" s="2">
        <v>997</v>
      </c>
      <c r="B516" s="6" t="s">
        <v>3183</v>
      </c>
      <c r="C516" s="2" t="s">
        <v>7173</v>
      </c>
      <c r="D516" s="2" t="s">
        <v>7174</v>
      </c>
      <c r="E516" s="2" t="s">
        <v>192</v>
      </c>
      <c r="F516" s="2"/>
      <c r="G516" s="2"/>
      <c r="H516" s="2" t="s">
        <v>110</v>
      </c>
      <c r="I516" s="2" t="s">
        <v>7175</v>
      </c>
      <c r="J516" s="2"/>
      <c r="K516" s="2" t="s">
        <v>26</v>
      </c>
      <c r="L516" s="2" t="s">
        <v>5078</v>
      </c>
      <c r="M516" s="2" t="s">
        <v>7099</v>
      </c>
      <c r="N516" s="2" t="s">
        <v>5108</v>
      </c>
      <c r="O516" s="2" t="s">
        <v>5326</v>
      </c>
      <c r="P516" s="2" t="s">
        <v>7176</v>
      </c>
      <c r="Q516" s="2" t="s">
        <v>7177</v>
      </c>
      <c r="R516" s="2" t="s">
        <v>5297</v>
      </c>
      <c r="S516" s="2" t="s">
        <v>7172</v>
      </c>
    </row>
    <row r="517" spans="1:19" x14ac:dyDescent="0.2">
      <c r="A517" s="2">
        <v>304</v>
      </c>
      <c r="B517" s="6" t="s">
        <v>3189</v>
      </c>
      <c r="C517" s="2" t="s">
        <v>7178</v>
      </c>
      <c r="D517" s="2" t="s">
        <v>7179</v>
      </c>
      <c r="E517" s="2" t="s">
        <v>2753</v>
      </c>
      <c r="F517" s="2" t="s">
        <v>2753</v>
      </c>
      <c r="G517" s="2" t="s">
        <v>2753</v>
      </c>
      <c r="H517" s="2" t="s">
        <v>7180</v>
      </c>
      <c r="I517" s="2" t="s">
        <v>7180</v>
      </c>
      <c r="J517" s="2"/>
      <c r="K517" s="2" t="s">
        <v>39</v>
      </c>
      <c r="L517" s="2" t="s">
        <v>5087</v>
      </c>
      <c r="M517" s="2"/>
      <c r="N517" s="2" t="s">
        <v>5108</v>
      </c>
      <c r="O517" s="2" t="s">
        <v>5081</v>
      </c>
      <c r="P517" s="2" t="s">
        <v>7181</v>
      </c>
      <c r="Q517" s="2" t="s">
        <v>5924</v>
      </c>
      <c r="R517" s="2" t="s">
        <v>6731</v>
      </c>
      <c r="S517" s="2"/>
    </row>
    <row r="518" spans="1:19" x14ac:dyDescent="0.2">
      <c r="A518" s="2">
        <v>669</v>
      </c>
      <c r="B518" s="6" t="s">
        <v>3195</v>
      </c>
      <c r="C518" s="2" t="s">
        <v>7182</v>
      </c>
      <c r="D518" s="2" t="s">
        <v>7183</v>
      </c>
      <c r="E518" s="2" t="s">
        <v>2519</v>
      </c>
      <c r="F518" s="2" t="s">
        <v>3198</v>
      </c>
      <c r="G518" s="2" t="s">
        <v>3199</v>
      </c>
      <c r="H518" s="2" t="s">
        <v>1213</v>
      </c>
      <c r="I518" s="2" t="s">
        <v>7184</v>
      </c>
      <c r="J518" s="2"/>
      <c r="K518" s="2" t="s">
        <v>26</v>
      </c>
      <c r="L518" s="2" t="s">
        <v>5078</v>
      </c>
      <c r="M518" s="2" t="s">
        <v>6340</v>
      </c>
      <c r="N518" s="2" t="s">
        <v>5108</v>
      </c>
      <c r="O518" s="2" t="s">
        <v>6592</v>
      </c>
      <c r="P518" s="2" t="s">
        <v>7185</v>
      </c>
      <c r="Q518" s="2" t="s">
        <v>7186</v>
      </c>
      <c r="R518" s="2" t="s">
        <v>7187</v>
      </c>
      <c r="S518" s="2"/>
    </row>
    <row r="519" spans="1:19" x14ac:dyDescent="0.2">
      <c r="A519" s="2">
        <v>1556</v>
      </c>
      <c r="B519" s="6" t="s">
        <v>3205</v>
      </c>
      <c r="C519" s="2" t="s">
        <v>7188</v>
      </c>
      <c r="D519" s="2" t="s">
        <v>7189</v>
      </c>
      <c r="E519" s="2" t="s">
        <v>1722</v>
      </c>
      <c r="F519" s="2" t="s">
        <v>2608</v>
      </c>
      <c r="G519" s="2" t="s">
        <v>1722</v>
      </c>
      <c r="H519" s="2" t="s">
        <v>2821</v>
      </c>
      <c r="I519" s="2" t="s">
        <v>7190</v>
      </c>
      <c r="J519" s="2"/>
      <c r="K519" s="2" t="s">
        <v>26</v>
      </c>
      <c r="L519" s="2" t="s">
        <v>5078</v>
      </c>
      <c r="M519" s="2" t="s">
        <v>5079</v>
      </c>
      <c r="N519" s="2" t="s">
        <v>5108</v>
      </c>
      <c r="O519" s="2" t="s">
        <v>5326</v>
      </c>
      <c r="P519" s="2" t="s">
        <v>7191</v>
      </c>
      <c r="Q519" s="2" t="s">
        <v>7192</v>
      </c>
      <c r="R519" s="2" t="s">
        <v>7193</v>
      </c>
      <c r="S519" s="2"/>
    </row>
    <row r="520" spans="1:19" x14ac:dyDescent="0.2">
      <c r="A520" s="2">
        <v>225</v>
      </c>
      <c r="B520" s="6" t="s">
        <v>3212</v>
      </c>
      <c r="C520" s="2" t="s">
        <v>7194</v>
      </c>
      <c r="D520" s="2" t="s">
        <v>7195</v>
      </c>
      <c r="E520" s="2" t="s">
        <v>3215</v>
      </c>
      <c r="F520" s="2" t="s">
        <v>3215</v>
      </c>
      <c r="G520" s="2" t="s">
        <v>3215</v>
      </c>
      <c r="H520" s="2" t="s">
        <v>3216</v>
      </c>
      <c r="I520" s="2" t="s">
        <v>7196</v>
      </c>
      <c r="J520" s="2"/>
      <c r="K520" s="2" t="s">
        <v>26</v>
      </c>
      <c r="L520" s="2" t="s">
        <v>5078</v>
      </c>
      <c r="M520" s="2" t="s">
        <v>5079</v>
      </c>
      <c r="N520" s="2" t="s">
        <v>5108</v>
      </c>
      <c r="O520" s="2" t="s">
        <v>5326</v>
      </c>
      <c r="P520" s="2" t="s">
        <v>7197</v>
      </c>
      <c r="Q520" s="2" t="s">
        <v>6990</v>
      </c>
      <c r="R520" s="2" t="s">
        <v>5107</v>
      </c>
      <c r="S520" s="2"/>
    </row>
    <row r="521" spans="1:19" x14ac:dyDescent="0.2">
      <c r="A521" s="2">
        <v>1330</v>
      </c>
      <c r="B521" s="6" t="s">
        <v>3219</v>
      </c>
      <c r="C521" s="2" t="s">
        <v>7198</v>
      </c>
      <c r="D521" s="2" t="s">
        <v>7199</v>
      </c>
      <c r="E521" s="2" t="s">
        <v>1150</v>
      </c>
      <c r="F521" s="2" t="s">
        <v>824</v>
      </c>
      <c r="G521" s="2"/>
      <c r="H521" s="2" t="s">
        <v>110</v>
      </c>
      <c r="I521" s="2" t="s">
        <v>7200</v>
      </c>
      <c r="J521" s="2"/>
      <c r="K521" s="2" t="s">
        <v>26</v>
      </c>
      <c r="L521" s="2" t="s">
        <v>5078</v>
      </c>
      <c r="M521" s="2" t="s">
        <v>5107</v>
      </c>
      <c r="N521" s="2" t="s">
        <v>5108</v>
      </c>
      <c r="O521" s="2" t="s">
        <v>6592</v>
      </c>
      <c r="P521" s="2" t="s">
        <v>7201</v>
      </c>
      <c r="Q521" s="2" t="s">
        <v>7202</v>
      </c>
      <c r="R521" s="2" t="s">
        <v>5107</v>
      </c>
      <c r="S521" s="2"/>
    </row>
    <row r="522" spans="1:19" x14ac:dyDescent="0.2">
      <c r="A522" s="2">
        <v>1471</v>
      </c>
      <c r="B522" s="6" t="s">
        <v>3225</v>
      </c>
      <c r="C522" s="2" t="s">
        <v>7203</v>
      </c>
      <c r="D522" s="2" t="s">
        <v>7204</v>
      </c>
      <c r="E522" s="2" t="s">
        <v>927</v>
      </c>
      <c r="F522" s="2"/>
      <c r="G522" s="2"/>
      <c r="H522" s="2" t="s">
        <v>5824</v>
      </c>
      <c r="I522" s="2" t="s">
        <v>7031</v>
      </c>
      <c r="J522" s="2"/>
      <c r="K522" s="2" t="s">
        <v>39</v>
      </c>
      <c r="L522" s="2" t="s">
        <v>5087</v>
      </c>
      <c r="M522" s="2" t="s">
        <v>5100</v>
      </c>
      <c r="N522" s="2" t="s">
        <v>5108</v>
      </c>
      <c r="O522" s="2" t="s">
        <v>5326</v>
      </c>
      <c r="P522" s="2" t="s">
        <v>7205</v>
      </c>
      <c r="Q522" s="2" t="s">
        <v>6860</v>
      </c>
      <c r="R522" s="2" t="s">
        <v>5100</v>
      </c>
      <c r="S522" s="2" t="s">
        <v>7206</v>
      </c>
    </row>
    <row r="523" spans="1:19" x14ac:dyDescent="0.2">
      <c r="A523" s="2">
        <v>21</v>
      </c>
      <c r="B523" s="6" t="s">
        <v>3230</v>
      </c>
      <c r="C523" s="2" t="s">
        <v>7207</v>
      </c>
      <c r="D523" s="2" t="s">
        <v>7208</v>
      </c>
      <c r="E523" s="2" t="s">
        <v>1815</v>
      </c>
      <c r="F523" s="2" t="s">
        <v>1140</v>
      </c>
      <c r="G523" s="2" t="s">
        <v>1140</v>
      </c>
      <c r="H523" s="2" t="s">
        <v>135</v>
      </c>
      <c r="I523" s="2" t="s">
        <v>7209</v>
      </c>
      <c r="J523" s="2"/>
      <c r="K523" s="2" t="s">
        <v>26</v>
      </c>
      <c r="L523" s="2" t="s">
        <v>5078</v>
      </c>
      <c r="M523" s="2" t="s">
        <v>5193</v>
      </c>
      <c r="N523" s="2" t="s">
        <v>5108</v>
      </c>
      <c r="O523" s="2" t="s">
        <v>5522</v>
      </c>
      <c r="P523" s="2" t="s">
        <v>7210</v>
      </c>
      <c r="Q523" s="2" t="s">
        <v>7211</v>
      </c>
      <c r="R523" s="2" t="s">
        <v>7212</v>
      </c>
      <c r="S523" s="2"/>
    </row>
    <row r="524" spans="1:19" x14ac:dyDescent="0.2">
      <c r="A524" s="2">
        <v>192</v>
      </c>
      <c r="B524" s="6" t="s">
        <v>525</v>
      </c>
      <c r="C524" s="2" t="s">
        <v>7213</v>
      </c>
      <c r="D524" s="2" t="s">
        <v>7214</v>
      </c>
      <c r="E524" s="2" t="s">
        <v>523</v>
      </c>
      <c r="F524" s="2" t="s">
        <v>1727</v>
      </c>
      <c r="G524" s="2" t="s">
        <v>523</v>
      </c>
      <c r="H524" s="2" t="s">
        <v>3239</v>
      </c>
      <c r="I524" s="2" t="s">
        <v>7215</v>
      </c>
      <c r="J524" s="2"/>
      <c r="K524" s="2" t="s">
        <v>26</v>
      </c>
      <c r="L524" s="2" t="s">
        <v>5078</v>
      </c>
      <c r="M524" s="2" t="s">
        <v>5193</v>
      </c>
      <c r="N524" s="2" t="s">
        <v>5080</v>
      </c>
      <c r="O524" s="2" t="s">
        <v>5081</v>
      </c>
      <c r="P524" s="2" t="s">
        <v>7216</v>
      </c>
      <c r="Q524" s="2" t="s">
        <v>7217</v>
      </c>
      <c r="R524" s="2" t="s">
        <v>5193</v>
      </c>
      <c r="S524" s="2"/>
    </row>
    <row r="525" spans="1:19" x14ac:dyDescent="0.2">
      <c r="A525" s="2">
        <v>1764</v>
      </c>
      <c r="B525" s="6" t="s">
        <v>3242</v>
      </c>
      <c r="C525" s="2" t="s">
        <v>7218</v>
      </c>
      <c r="D525" s="2" t="s">
        <v>7219</v>
      </c>
      <c r="E525" s="2" t="s">
        <v>77</v>
      </c>
      <c r="F525" s="2" t="s">
        <v>3245</v>
      </c>
      <c r="G525" s="2" t="s">
        <v>3246</v>
      </c>
      <c r="H525" s="2" t="s">
        <v>7220</v>
      </c>
      <c r="I525" s="2" t="s">
        <v>7221</v>
      </c>
      <c r="J525" s="2" t="s">
        <v>3249</v>
      </c>
      <c r="K525" s="2" t="s">
        <v>26</v>
      </c>
      <c r="L525" s="2" t="s">
        <v>5078</v>
      </c>
      <c r="M525" s="2" t="s">
        <v>5297</v>
      </c>
      <c r="N525" s="2" t="s">
        <v>6756</v>
      </c>
      <c r="O525" s="2" t="s">
        <v>5326</v>
      </c>
      <c r="P525" s="2" t="s">
        <v>7222</v>
      </c>
      <c r="Q525" s="2" t="s">
        <v>5123</v>
      </c>
      <c r="R525" s="2" t="s">
        <v>7223</v>
      </c>
      <c r="S525" s="2" t="s">
        <v>6737</v>
      </c>
    </row>
    <row r="526" spans="1:19" x14ac:dyDescent="0.2">
      <c r="A526" s="2">
        <v>223</v>
      </c>
      <c r="B526" s="6" t="s">
        <v>3252</v>
      </c>
      <c r="C526" s="2" t="s">
        <v>7224</v>
      </c>
      <c r="D526" s="2" t="s">
        <v>7225</v>
      </c>
      <c r="E526" s="2" t="s">
        <v>3255</v>
      </c>
      <c r="F526" s="2"/>
      <c r="G526" s="2"/>
      <c r="H526" s="2" t="s">
        <v>3256</v>
      </c>
      <c r="I526" s="2" t="s">
        <v>7226</v>
      </c>
      <c r="J526" s="2"/>
      <c r="K526" s="2" t="s">
        <v>26</v>
      </c>
      <c r="L526" s="2" t="s">
        <v>5078</v>
      </c>
      <c r="M526" s="2" t="s">
        <v>5088</v>
      </c>
      <c r="N526" s="2" t="s">
        <v>5108</v>
      </c>
      <c r="O526" s="2" t="s">
        <v>5326</v>
      </c>
      <c r="P526" s="2" t="s">
        <v>7227</v>
      </c>
      <c r="Q526" s="2" t="s">
        <v>6990</v>
      </c>
      <c r="R526" s="2" t="s">
        <v>5088</v>
      </c>
      <c r="S526" s="2" t="s">
        <v>7033</v>
      </c>
    </row>
    <row r="527" spans="1:19" x14ac:dyDescent="0.2">
      <c r="A527" s="2">
        <v>137</v>
      </c>
      <c r="B527" s="6" t="s">
        <v>3259</v>
      </c>
      <c r="C527" s="2" t="s">
        <v>7228</v>
      </c>
      <c r="D527" s="2" t="s">
        <v>7229</v>
      </c>
      <c r="E527" s="2" t="s">
        <v>523</v>
      </c>
      <c r="F527" s="2" t="s">
        <v>523</v>
      </c>
      <c r="G527" s="2" t="s">
        <v>523</v>
      </c>
      <c r="H527" s="2" t="s">
        <v>173</v>
      </c>
      <c r="I527" s="2" t="s">
        <v>7230</v>
      </c>
      <c r="J527" s="2" t="s">
        <v>3263</v>
      </c>
      <c r="K527" s="2" t="s">
        <v>26</v>
      </c>
      <c r="L527" s="2" t="s">
        <v>5078</v>
      </c>
      <c r="M527" s="2" t="s">
        <v>5193</v>
      </c>
      <c r="N527" s="2" t="s">
        <v>5108</v>
      </c>
      <c r="O527" s="2" t="s">
        <v>5081</v>
      </c>
      <c r="P527" s="2" t="s">
        <v>7231</v>
      </c>
      <c r="Q527" s="2"/>
      <c r="R527" s="2" t="s">
        <v>5079</v>
      </c>
      <c r="S527" s="2"/>
    </row>
    <row r="528" spans="1:19" x14ac:dyDescent="0.2">
      <c r="A528" s="2">
        <v>1547</v>
      </c>
      <c r="B528" s="6" t="s">
        <v>3266</v>
      </c>
      <c r="C528" s="2" t="s">
        <v>7232</v>
      </c>
      <c r="D528" s="2" t="s">
        <v>7233</v>
      </c>
      <c r="E528" s="2" t="s">
        <v>2359</v>
      </c>
      <c r="F528" s="2" t="s">
        <v>2359</v>
      </c>
      <c r="G528" s="2" t="s">
        <v>2359</v>
      </c>
      <c r="H528" s="2" t="s">
        <v>5819</v>
      </c>
      <c r="I528" s="2" t="s">
        <v>7234</v>
      </c>
      <c r="J528" s="2"/>
      <c r="K528" s="2" t="s">
        <v>39</v>
      </c>
      <c r="L528" s="2" t="s">
        <v>5087</v>
      </c>
      <c r="M528" s="2" t="s">
        <v>7235</v>
      </c>
      <c r="N528" s="2" t="s">
        <v>5108</v>
      </c>
      <c r="O528" s="2" t="s">
        <v>5326</v>
      </c>
      <c r="P528" s="2" t="s">
        <v>7236</v>
      </c>
      <c r="Q528" s="2" t="s">
        <v>7237</v>
      </c>
      <c r="R528" s="2" t="s">
        <v>5100</v>
      </c>
      <c r="S528" s="2"/>
    </row>
    <row r="529" spans="1:19" x14ac:dyDescent="0.2">
      <c r="A529" s="2">
        <v>1403</v>
      </c>
      <c r="B529" s="6" t="s">
        <v>3272</v>
      </c>
      <c r="C529" s="2" t="s">
        <v>7238</v>
      </c>
      <c r="D529" s="2" t="s">
        <v>7239</v>
      </c>
      <c r="E529" s="2" t="s">
        <v>2359</v>
      </c>
      <c r="F529" s="2" t="s">
        <v>2359</v>
      </c>
      <c r="G529" s="2" t="s">
        <v>2359</v>
      </c>
      <c r="H529" s="2" t="s">
        <v>3275</v>
      </c>
      <c r="I529" s="2" t="s">
        <v>7240</v>
      </c>
      <c r="J529" s="2"/>
      <c r="K529" s="2" t="s">
        <v>39</v>
      </c>
      <c r="L529" s="2" t="s">
        <v>5087</v>
      </c>
      <c r="M529" s="2" t="s">
        <v>7235</v>
      </c>
      <c r="N529" s="2" t="s">
        <v>5108</v>
      </c>
      <c r="O529" s="2" t="s">
        <v>5081</v>
      </c>
      <c r="P529" s="2" t="s">
        <v>7236</v>
      </c>
      <c r="Q529" s="2" t="s">
        <v>7237</v>
      </c>
      <c r="R529" s="2" t="s">
        <v>5100</v>
      </c>
      <c r="S529" s="2"/>
    </row>
    <row r="530" spans="1:19" x14ac:dyDescent="0.2">
      <c r="A530" s="2">
        <v>1906</v>
      </c>
      <c r="B530" s="6" t="s">
        <v>3277</v>
      </c>
      <c r="C530" s="2" t="s">
        <v>7241</v>
      </c>
      <c r="D530" s="2" t="s">
        <v>7242</v>
      </c>
      <c r="E530" s="2" t="s">
        <v>2528</v>
      </c>
      <c r="F530" s="2" t="s">
        <v>683</v>
      </c>
      <c r="G530" s="2" t="s">
        <v>683</v>
      </c>
      <c r="H530" s="2" t="s">
        <v>3280</v>
      </c>
      <c r="I530" s="2" t="s">
        <v>7243</v>
      </c>
      <c r="J530" s="2"/>
      <c r="K530" s="2" t="s">
        <v>26</v>
      </c>
      <c r="L530" s="2" t="s">
        <v>5078</v>
      </c>
      <c r="M530" s="2" t="s">
        <v>7244</v>
      </c>
      <c r="N530" s="2" t="s">
        <v>5840</v>
      </c>
      <c r="O530" s="2" t="s">
        <v>5326</v>
      </c>
      <c r="P530" s="2" t="s">
        <v>7245</v>
      </c>
      <c r="Q530" s="2" t="s">
        <v>5123</v>
      </c>
      <c r="R530" s="2" t="s">
        <v>5297</v>
      </c>
      <c r="S530" s="2"/>
    </row>
    <row r="531" spans="1:19" x14ac:dyDescent="0.2">
      <c r="A531" s="2">
        <v>1105</v>
      </c>
      <c r="B531" s="6" t="s">
        <v>3284</v>
      </c>
      <c r="C531" s="2" t="s">
        <v>7246</v>
      </c>
      <c r="D531" s="2" t="s">
        <v>7247</v>
      </c>
      <c r="E531" s="2" t="s">
        <v>3287</v>
      </c>
      <c r="F531" s="2" t="s">
        <v>2608</v>
      </c>
      <c r="G531" s="2" t="s">
        <v>2753</v>
      </c>
      <c r="H531" s="2" t="s">
        <v>2941</v>
      </c>
      <c r="I531" s="2" t="s">
        <v>7248</v>
      </c>
      <c r="J531" s="2"/>
      <c r="K531" s="2" t="s">
        <v>26</v>
      </c>
      <c r="L531" s="2" t="s">
        <v>5078</v>
      </c>
      <c r="M531" s="2" t="s">
        <v>7249</v>
      </c>
      <c r="N531" s="2" t="s">
        <v>5080</v>
      </c>
      <c r="O531" s="2" t="s">
        <v>5081</v>
      </c>
      <c r="P531" s="2" t="s">
        <v>7250</v>
      </c>
      <c r="Q531" s="2" t="s">
        <v>7251</v>
      </c>
      <c r="R531" s="2" t="s">
        <v>7252</v>
      </c>
      <c r="S531" s="2"/>
    </row>
    <row r="532" spans="1:19" x14ac:dyDescent="0.2">
      <c r="A532" s="2">
        <v>889</v>
      </c>
      <c r="B532" s="6" t="s">
        <v>3293</v>
      </c>
      <c r="C532" s="2" t="s">
        <v>7253</v>
      </c>
      <c r="D532" s="2" t="s">
        <v>7254</v>
      </c>
      <c r="E532" s="2" t="s">
        <v>3296</v>
      </c>
      <c r="F532" s="2"/>
      <c r="G532" s="2"/>
      <c r="H532" s="2" t="s">
        <v>2941</v>
      </c>
      <c r="I532" s="2" t="s">
        <v>7005</v>
      </c>
      <c r="J532" s="2"/>
      <c r="K532" s="2" t="s">
        <v>26</v>
      </c>
      <c r="L532" s="2" t="s">
        <v>5078</v>
      </c>
      <c r="M532" s="2" t="s">
        <v>7249</v>
      </c>
      <c r="N532" s="2" t="s">
        <v>5080</v>
      </c>
      <c r="O532" s="2" t="s">
        <v>5326</v>
      </c>
      <c r="P532" s="2" t="s">
        <v>7255</v>
      </c>
      <c r="Q532" s="2"/>
      <c r="R532" s="2" t="s">
        <v>7256</v>
      </c>
      <c r="S532" s="2"/>
    </row>
    <row r="533" spans="1:19" x14ac:dyDescent="0.2">
      <c r="A533" s="2">
        <v>684</v>
      </c>
      <c r="B533" s="6" t="s">
        <v>3300</v>
      </c>
      <c r="C533" s="2" t="s">
        <v>7257</v>
      </c>
      <c r="D533" s="2" t="s">
        <v>7258</v>
      </c>
      <c r="E533" s="2" t="s">
        <v>2689</v>
      </c>
      <c r="F533" s="2" t="s">
        <v>3303</v>
      </c>
      <c r="G533" s="2" t="s">
        <v>1075</v>
      </c>
      <c r="H533" s="2" t="s">
        <v>5085</v>
      </c>
      <c r="I533" s="2" t="s">
        <v>7259</v>
      </c>
      <c r="J533" s="2"/>
      <c r="K533" s="2" t="s">
        <v>39</v>
      </c>
      <c r="L533" s="2" t="s">
        <v>5087</v>
      </c>
      <c r="M533" s="2" t="s">
        <v>7260</v>
      </c>
      <c r="N533" s="2" t="s">
        <v>5108</v>
      </c>
      <c r="O533" s="2" t="s">
        <v>6788</v>
      </c>
      <c r="P533" s="2" t="s">
        <v>7261</v>
      </c>
      <c r="Q533" s="2" t="s">
        <v>7262</v>
      </c>
      <c r="R533" s="2" t="s">
        <v>7263</v>
      </c>
      <c r="S533" s="2"/>
    </row>
    <row r="534" spans="1:19" x14ac:dyDescent="0.2">
      <c r="A534" s="2">
        <v>693</v>
      </c>
      <c r="B534" s="6" t="s">
        <v>3309</v>
      </c>
      <c r="C534" s="2" t="s">
        <v>7264</v>
      </c>
      <c r="D534" s="2" t="s">
        <v>7265</v>
      </c>
      <c r="E534" s="2" t="s">
        <v>403</v>
      </c>
      <c r="F534" s="2"/>
      <c r="G534" s="2"/>
      <c r="H534" s="2" t="s">
        <v>5085</v>
      </c>
      <c r="I534" s="2" t="s">
        <v>5253</v>
      </c>
      <c r="J534" s="2" t="s">
        <v>7266</v>
      </c>
      <c r="K534" s="2" t="s">
        <v>39</v>
      </c>
      <c r="L534" s="2" t="s">
        <v>5087</v>
      </c>
      <c r="M534" s="2" t="s">
        <v>5100</v>
      </c>
      <c r="N534" s="2" t="s">
        <v>5108</v>
      </c>
      <c r="O534" s="2" t="s">
        <v>5326</v>
      </c>
      <c r="P534" s="2" t="s">
        <v>7267</v>
      </c>
      <c r="Q534" s="2" t="s">
        <v>7268</v>
      </c>
      <c r="R534" s="2" t="s">
        <v>5100</v>
      </c>
      <c r="S534" s="2"/>
    </row>
    <row r="535" spans="1:19" x14ac:dyDescent="0.2">
      <c r="A535" s="2">
        <v>1376</v>
      </c>
      <c r="B535" s="6" t="s">
        <v>3315</v>
      </c>
      <c r="C535" s="2" t="s">
        <v>7269</v>
      </c>
      <c r="D535" s="2" t="s">
        <v>7270</v>
      </c>
      <c r="E535" s="2" t="s">
        <v>3318</v>
      </c>
      <c r="F535" s="2" t="s">
        <v>3318</v>
      </c>
      <c r="G535" s="2" t="s">
        <v>3318</v>
      </c>
      <c r="H535" s="2" t="s">
        <v>1684</v>
      </c>
      <c r="I535" s="2"/>
      <c r="J535" s="2"/>
      <c r="K535" s="2" t="s">
        <v>26</v>
      </c>
      <c r="L535" s="2" t="s">
        <v>5078</v>
      </c>
      <c r="M535" s="2" t="s">
        <v>7271</v>
      </c>
      <c r="N535" s="2" t="s">
        <v>5108</v>
      </c>
      <c r="O535" s="2" t="s">
        <v>5326</v>
      </c>
      <c r="P535" s="2" t="s">
        <v>7272</v>
      </c>
      <c r="Q535" s="2" t="s">
        <v>7273</v>
      </c>
      <c r="R535" s="2" t="s">
        <v>5079</v>
      </c>
      <c r="S535" s="2"/>
    </row>
    <row r="536" spans="1:19" x14ac:dyDescent="0.2">
      <c r="A536" s="2">
        <v>1590</v>
      </c>
      <c r="B536" s="6" t="s">
        <v>3322</v>
      </c>
      <c r="C536" s="2" t="s">
        <v>7274</v>
      </c>
      <c r="D536" s="2" t="s">
        <v>7275</v>
      </c>
      <c r="E536" s="2" t="s">
        <v>3325</v>
      </c>
      <c r="F536" s="2"/>
      <c r="G536" s="2"/>
      <c r="H536" s="2" t="s">
        <v>3326</v>
      </c>
      <c r="I536" s="2" t="s">
        <v>7276</v>
      </c>
      <c r="J536" s="2"/>
      <c r="K536" s="2" t="s">
        <v>26</v>
      </c>
      <c r="L536" s="2" t="s">
        <v>5078</v>
      </c>
      <c r="M536" s="2" t="s">
        <v>5297</v>
      </c>
      <c r="N536" s="2" t="s">
        <v>5108</v>
      </c>
      <c r="O536" s="2" t="s">
        <v>5081</v>
      </c>
      <c r="P536" s="2" t="s">
        <v>7277</v>
      </c>
      <c r="Q536" s="2" t="s">
        <v>7278</v>
      </c>
      <c r="R536" s="2" t="s">
        <v>5079</v>
      </c>
      <c r="S536" s="2"/>
    </row>
    <row r="537" spans="1:19" x14ac:dyDescent="0.2">
      <c r="A537" s="2">
        <v>1953</v>
      </c>
      <c r="B537" s="6" t="s">
        <v>3330</v>
      </c>
      <c r="C537" s="2" t="s">
        <v>7279</v>
      </c>
      <c r="D537" s="2" t="s">
        <v>7280</v>
      </c>
      <c r="E537" s="2" t="s">
        <v>979</v>
      </c>
      <c r="F537" s="2"/>
      <c r="G537" s="2"/>
      <c r="H537" s="2" t="s">
        <v>2831</v>
      </c>
      <c r="I537" s="2" t="s">
        <v>7281</v>
      </c>
      <c r="J537" s="2"/>
      <c r="K537" s="2" t="s">
        <v>26</v>
      </c>
      <c r="L537" s="2" t="s">
        <v>5078</v>
      </c>
      <c r="M537" s="2" t="s">
        <v>7099</v>
      </c>
      <c r="N537" s="2" t="s">
        <v>5108</v>
      </c>
      <c r="O537" s="2" t="s">
        <v>5326</v>
      </c>
      <c r="P537" s="2" t="s">
        <v>7282</v>
      </c>
      <c r="Q537" s="2" t="s">
        <v>5123</v>
      </c>
      <c r="R537" s="2" t="s">
        <v>5079</v>
      </c>
      <c r="S537" s="2"/>
    </row>
    <row r="538" spans="1:19" x14ac:dyDescent="0.2">
      <c r="A538" s="2">
        <v>1265</v>
      </c>
      <c r="B538" s="6" t="s">
        <v>3336</v>
      </c>
      <c r="C538" s="2" t="s">
        <v>7283</v>
      </c>
      <c r="D538" s="2" t="s">
        <v>7284</v>
      </c>
      <c r="E538" s="2" t="s">
        <v>973</v>
      </c>
      <c r="F538" s="2"/>
      <c r="G538" s="2"/>
      <c r="H538" s="2" t="s">
        <v>5085</v>
      </c>
      <c r="I538" s="2"/>
      <c r="J538" s="2"/>
      <c r="K538" s="2" t="s">
        <v>39</v>
      </c>
      <c r="L538" s="2" t="s">
        <v>5087</v>
      </c>
      <c r="M538" s="2" t="s">
        <v>7074</v>
      </c>
      <c r="N538" s="2" t="s">
        <v>5108</v>
      </c>
      <c r="O538" s="2" t="s">
        <v>5326</v>
      </c>
      <c r="P538" s="2" t="s">
        <v>7285</v>
      </c>
      <c r="Q538" s="2"/>
      <c r="R538" s="2" t="s">
        <v>5079</v>
      </c>
      <c r="S538" s="2"/>
    </row>
    <row r="539" spans="1:19" x14ac:dyDescent="0.2">
      <c r="A539" s="2">
        <v>348</v>
      </c>
      <c r="B539" s="6" t="s">
        <v>3340</v>
      </c>
      <c r="C539" s="2" t="s">
        <v>7286</v>
      </c>
      <c r="D539" s="2" t="s">
        <v>7287</v>
      </c>
      <c r="E539" s="2" t="s">
        <v>1955</v>
      </c>
      <c r="F539" s="2"/>
      <c r="G539" s="2"/>
      <c r="H539" s="2" t="s">
        <v>7288</v>
      </c>
      <c r="I539" s="2" t="s">
        <v>7289</v>
      </c>
      <c r="J539" s="2"/>
      <c r="K539" s="2" t="s">
        <v>26</v>
      </c>
      <c r="L539" s="2" t="s">
        <v>5078</v>
      </c>
      <c r="M539" s="2" t="s">
        <v>5100</v>
      </c>
      <c r="N539" s="2" t="s">
        <v>5108</v>
      </c>
      <c r="O539" s="2" t="s">
        <v>5691</v>
      </c>
      <c r="P539" s="2" t="s">
        <v>7290</v>
      </c>
      <c r="Q539" s="2" t="s">
        <v>7291</v>
      </c>
      <c r="R539" s="2" t="s">
        <v>6731</v>
      </c>
      <c r="S539" s="2" t="s">
        <v>7292</v>
      </c>
    </row>
    <row r="540" spans="1:19" x14ac:dyDescent="0.2">
      <c r="A540" s="2">
        <v>668</v>
      </c>
      <c r="B540" s="6" t="s">
        <v>3348</v>
      </c>
      <c r="C540" s="2" t="s">
        <v>7293</v>
      </c>
      <c r="D540" s="2" t="s">
        <v>7294</v>
      </c>
      <c r="E540" s="2" t="s">
        <v>2519</v>
      </c>
      <c r="F540" s="2" t="s">
        <v>2168</v>
      </c>
      <c r="G540" s="2" t="s">
        <v>1815</v>
      </c>
      <c r="H540" s="2" t="s">
        <v>1213</v>
      </c>
      <c r="I540" s="2" t="s">
        <v>7295</v>
      </c>
      <c r="J540" s="2"/>
      <c r="K540" s="2" t="s">
        <v>26</v>
      </c>
      <c r="L540" s="2" t="s">
        <v>5078</v>
      </c>
      <c r="M540" s="2" t="s">
        <v>6340</v>
      </c>
      <c r="N540" s="2" t="s">
        <v>5108</v>
      </c>
      <c r="O540" s="2" t="s">
        <v>6377</v>
      </c>
      <c r="P540" s="2" t="s">
        <v>7296</v>
      </c>
      <c r="Q540" s="2" t="s">
        <v>7297</v>
      </c>
      <c r="R540" s="2" t="s">
        <v>7298</v>
      </c>
      <c r="S540" s="2"/>
    </row>
    <row r="541" spans="1:19" x14ac:dyDescent="0.2">
      <c r="A541" s="2">
        <v>168</v>
      </c>
      <c r="B541" s="6" t="s">
        <v>3355</v>
      </c>
      <c r="C541" s="2" t="s">
        <v>7299</v>
      </c>
      <c r="D541" s="2" t="s">
        <v>7300</v>
      </c>
      <c r="E541" s="2" t="s">
        <v>927</v>
      </c>
      <c r="F541" s="2"/>
      <c r="G541" s="2"/>
      <c r="H541" s="2" t="s">
        <v>110</v>
      </c>
      <c r="I541" s="2" t="s">
        <v>7175</v>
      </c>
      <c r="J541" s="2"/>
      <c r="K541" s="2" t="s">
        <v>26</v>
      </c>
      <c r="L541" s="2" t="s">
        <v>5078</v>
      </c>
      <c r="M541" s="2"/>
      <c r="N541" s="2" t="s">
        <v>5108</v>
      </c>
      <c r="O541" s="2" t="s">
        <v>6592</v>
      </c>
      <c r="P541" s="2" t="s">
        <v>7301</v>
      </c>
      <c r="Q541" s="2" t="s">
        <v>7297</v>
      </c>
      <c r="R541" s="2" t="s">
        <v>5994</v>
      </c>
      <c r="S541" s="2"/>
    </row>
    <row r="542" spans="1:19" x14ac:dyDescent="0.2">
      <c r="A542" s="2">
        <v>382</v>
      </c>
      <c r="B542" s="6" t="s">
        <v>3359</v>
      </c>
      <c r="C542" s="2" t="s">
        <v>7302</v>
      </c>
      <c r="D542" s="2" t="s">
        <v>7303</v>
      </c>
      <c r="E542" s="2" t="s">
        <v>1773</v>
      </c>
      <c r="F542" s="2" t="s">
        <v>1773</v>
      </c>
      <c r="G542" s="2" t="s">
        <v>1773</v>
      </c>
      <c r="H542" s="2" t="s">
        <v>5291</v>
      </c>
      <c r="I542" s="2" t="s">
        <v>7304</v>
      </c>
      <c r="J542" s="2"/>
      <c r="K542" s="2" t="s">
        <v>39</v>
      </c>
      <c r="L542" s="2" t="s">
        <v>5087</v>
      </c>
      <c r="M542" s="2" t="s">
        <v>6043</v>
      </c>
      <c r="N542" s="2" t="s">
        <v>5108</v>
      </c>
      <c r="O542" s="2" t="s">
        <v>5335</v>
      </c>
      <c r="P542" s="2" t="s">
        <v>7305</v>
      </c>
      <c r="Q542" s="2"/>
      <c r="R542" s="2" t="s">
        <v>5100</v>
      </c>
      <c r="S542" s="2"/>
    </row>
    <row r="543" spans="1:19" x14ac:dyDescent="0.2">
      <c r="A543" s="2">
        <v>1479</v>
      </c>
      <c r="B543" s="6" t="s">
        <v>3364</v>
      </c>
      <c r="C543" s="2" t="s">
        <v>7306</v>
      </c>
      <c r="D543" s="2" t="s">
        <v>7307</v>
      </c>
      <c r="E543" s="2" t="s">
        <v>506</v>
      </c>
      <c r="F543" s="2" t="s">
        <v>506</v>
      </c>
      <c r="G543" s="2" t="s">
        <v>506</v>
      </c>
      <c r="H543" s="2" t="s">
        <v>2935</v>
      </c>
      <c r="I543" s="2" t="s">
        <v>7308</v>
      </c>
      <c r="J543" s="2"/>
      <c r="K543" s="2" t="s">
        <v>26</v>
      </c>
      <c r="L543" s="2" t="s">
        <v>5078</v>
      </c>
      <c r="M543" s="2" t="s">
        <v>5100</v>
      </c>
      <c r="N543" s="2" t="s">
        <v>5840</v>
      </c>
      <c r="O543" s="2" t="s">
        <v>5335</v>
      </c>
      <c r="P543" s="2" t="s">
        <v>7309</v>
      </c>
      <c r="Q543" s="2"/>
      <c r="R543" s="2" t="s">
        <v>5100</v>
      </c>
      <c r="S543" s="2"/>
    </row>
    <row r="544" spans="1:19" x14ac:dyDescent="0.2">
      <c r="A544" s="2">
        <v>314</v>
      </c>
      <c r="B544" s="6" t="s">
        <v>3369</v>
      </c>
      <c r="C544" s="2" t="s">
        <v>7310</v>
      </c>
      <c r="D544" s="2" t="s">
        <v>7311</v>
      </c>
      <c r="E544" s="2" t="s">
        <v>1113</v>
      </c>
      <c r="F544" s="2" t="s">
        <v>1113</v>
      </c>
      <c r="G544" s="2" t="s">
        <v>1113</v>
      </c>
      <c r="H544" s="2" t="s">
        <v>5819</v>
      </c>
      <c r="I544" s="2" t="s">
        <v>7312</v>
      </c>
      <c r="J544" s="2"/>
      <c r="K544" s="2" t="s">
        <v>39</v>
      </c>
      <c r="L544" s="2" t="s">
        <v>5087</v>
      </c>
      <c r="M544" s="2" t="s">
        <v>5167</v>
      </c>
      <c r="N544" s="2" t="s">
        <v>6386</v>
      </c>
      <c r="O544" s="2" t="s">
        <v>5326</v>
      </c>
      <c r="P544" s="2" t="s">
        <v>7313</v>
      </c>
      <c r="Q544" s="2" t="s">
        <v>5224</v>
      </c>
      <c r="R544" s="2" t="s">
        <v>5524</v>
      </c>
      <c r="S544" s="2" t="s">
        <v>7314</v>
      </c>
    </row>
    <row r="545" spans="1:19" x14ac:dyDescent="0.2">
      <c r="A545" s="2">
        <v>1482</v>
      </c>
      <c r="B545" s="6" t="s">
        <v>3375</v>
      </c>
      <c r="C545" s="2" t="s">
        <v>7315</v>
      </c>
      <c r="D545" s="2" t="s">
        <v>7316</v>
      </c>
      <c r="E545" s="2" t="s">
        <v>3378</v>
      </c>
      <c r="F545" s="2"/>
      <c r="G545" s="2"/>
      <c r="H545" s="2" t="s">
        <v>3379</v>
      </c>
      <c r="I545" s="2" t="s">
        <v>7317</v>
      </c>
      <c r="J545" s="2"/>
      <c r="K545" s="2" t="s">
        <v>26</v>
      </c>
      <c r="L545" s="2" t="s">
        <v>5078</v>
      </c>
      <c r="M545" s="2"/>
      <c r="N545" s="2" t="s">
        <v>5108</v>
      </c>
      <c r="O545" s="2" t="s">
        <v>5326</v>
      </c>
      <c r="P545" s="2" t="s">
        <v>7318</v>
      </c>
      <c r="Q545" s="2" t="s">
        <v>5268</v>
      </c>
      <c r="R545" s="2" t="s">
        <v>5524</v>
      </c>
      <c r="S545" s="2"/>
    </row>
    <row r="546" spans="1:19" x14ac:dyDescent="0.2">
      <c r="A546" s="2">
        <v>378</v>
      </c>
      <c r="B546" s="6" t="s">
        <v>3382</v>
      </c>
      <c r="C546" s="2" t="s">
        <v>7319</v>
      </c>
      <c r="D546" s="2" t="s">
        <v>7320</v>
      </c>
      <c r="E546" s="2" t="s">
        <v>2714</v>
      </c>
      <c r="F546" s="2" t="s">
        <v>2714</v>
      </c>
      <c r="G546" s="2" t="s">
        <v>2714</v>
      </c>
      <c r="H546" s="2" t="s">
        <v>5085</v>
      </c>
      <c r="I546" s="2" t="s">
        <v>7321</v>
      </c>
      <c r="J546" s="2"/>
      <c r="K546" s="2" t="s">
        <v>39</v>
      </c>
      <c r="L546" s="2" t="s">
        <v>5087</v>
      </c>
      <c r="M546" s="2" t="s">
        <v>5994</v>
      </c>
      <c r="N546" s="2" t="s">
        <v>5108</v>
      </c>
      <c r="O546" s="2" t="s">
        <v>5326</v>
      </c>
      <c r="P546" s="2" t="s">
        <v>7322</v>
      </c>
      <c r="Q546" s="2" t="s">
        <v>7323</v>
      </c>
      <c r="R546" s="2" t="s">
        <v>5994</v>
      </c>
      <c r="S546" s="2" t="s">
        <v>5538</v>
      </c>
    </row>
    <row r="547" spans="1:19" x14ac:dyDescent="0.2">
      <c r="A547" s="2">
        <v>1943</v>
      </c>
      <c r="B547" s="6" t="s">
        <v>3388</v>
      </c>
      <c r="C547" s="2" t="s">
        <v>7324</v>
      </c>
      <c r="D547" s="2" t="s">
        <v>7325</v>
      </c>
      <c r="E547" s="2" t="s">
        <v>2642</v>
      </c>
      <c r="F547" s="2"/>
      <c r="G547" s="2"/>
      <c r="H547" s="2" t="s">
        <v>110</v>
      </c>
      <c r="I547" s="2" t="s">
        <v>7326</v>
      </c>
      <c r="J547" s="2"/>
      <c r="K547" s="2" t="s">
        <v>26</v>
      </c>
      <c r="L547" s="2" t="s">
        <v>5078</v>
      </c>
      <c r="M547" s="2" t="s">
        <v>7327</v>
      </c>
      <c r="N547" s="2" t="s">
        <v>5108</v>
      </c>
      <c r="O547" s="2" t="s">
        <v>5326</v>
      </c>
      <c r="P547" s="2" t="s">
        <v>7328</v>
      </c>
      <c r="Q547" s="2"/>
      <c r="R547" s="2" t="s">
        <v>7329</v>
      </c>
      <c r="S547" s="2"/>
    </row>
    <row r="548" spans="1:19" x14ac:dyDescent="0.2">
      <c r="A548" s="2">
        <v>1275</v>
      </c>
      <c r="B548" s="6" t="s">
        <v>3395</v>
      </c>
      <c r="C548" s="2" t="s">
        <v>7330</v>
      </c>
      <c r="D548" s="2" t="s">
        <v>7331</v>
      </c>
      <c r="E548" s="2" t="s">
        <v>2669</v>
      </c>
      <c r="F548" s="2" t="s">
        <v>3398</v>
      </c>
      <c r="G548" s="2" t="s">
        <v>3398</v>
      </c>
      <c r="H548" s="2" t="s">
        <v>3399</v>
      </c>
      <c r="I548" s="2"/>
      <c r="J548" s="2"/>
      <c r="K548" s="2" t="s">
        <v>26</v>
      </c>
      <c r="L548" s="2" t="s">
        <v>5078</v>
      </c>
      <c r="M548" s="2" t="s">
        <v>7332</v>
      </c>
      <c r="N548" s="2" t="s">
        <v>5108</v>
      </c>
      <c r="O548" s="2" t="s">
        <v>6377</v>
      </c>
      <c r="P548" s="2" t="s">
        <v>7333</v>
      </c>
      <c r="Q548" s="2" t="s">
        <v>7334</v>
      </c>
      <c r="R548" s="2" t="s">
        <v>7335</v>
      </c>
      <c r="S548" s="2"/>
    </row>
    <row r="549" spans="1:19" x14ac:dyDescent="0.2">
      <c r="A549" s="2">
        <v>920</v>
      </c>
      <c r="B549" s="6" t="s">
        <v>3404</v>
      </c>
      <c r="C549" s="2" t="s">
        <v>7336</v>
      </c>
      <c r="D549" s="2" t="s">
        <v>7337</v>
      </c>
      <c r="E549" s="2" t="s">
        <v>3407</v>
      </c>
      <c r="F549" s="2" t="s">
        <v>3408</v>
      </c>
      <c r="G549" s="2" t="s">
        <v>3407</v>
      </c>
      <c r="H549" s="2" t="s">
        <v>3399</v>
      </c>
      <c r="I549" s="2"/>
      <c r="J549" s="2"/>
      <c r="K549" s="2" t="s">
        <v>26</v>
      </c>
      <c r="L549" s="2" t="s">
        <v>5078</v>
      </c>
      <c r="M549" s="2" t="s">
        <v>5994</v>
      </c>
      <c r="N549" s="2" t="s">
        <v>5080</v>
      </c>
      <c r="O549" s="2" t="s">
        <v>5326</v>
      </c>
      <c r="P549" s="2" t="s">
        <v>7338</v>
      </c>
      <c r="Q549" s="2" t="s">
        <v>7339</v>
      </c>
      <c r="R549" s="2" t="s">
        <v>5079</v>
      </c>
      <c r="S549" s="2"/>
    </row>
    <row r="550" spans="1:19" x14ac:dyDescent="0.2">
      <c r="A550" s="2">
        <v>995</v>
      </c>
      <c r="B550" s="6" t="s">
        <v>3411</v>
      </c>
      <c r="C550" s="2" t="s">
        <v>7340</v>
      </c>
      <c r="D550" s="2" t="s">
        <v>7341</v>
      </c>
      <c r="E550" s="2" t="s">
        <v>1257</v>
      </c>
      <c r="F550" s="2" t="s">
        <v>3414</v>
      </c>
      <c r="G550" s="2"/>
      <c r="H550" s="2" t="s">
        <v>110</v>
      </c>
      <c r="I550" s="2" t="s">
        <v>7064</v>
      </c>
      <c r="J550" s="2" t="s">
        <v>3399</v>
      </c>
      <c r="K550" s="2" t="s">
        <v>26</v>
      </c>
      <c r="L550" s="2" t="s">
        <v>5078</v>
      </c>
      <c r="M550" s="2" t="s">
        <v>5994</v>
      </c>
      <c r="N550" s="2" t="s">
        <v>5108</v>
      </c>
      <c r="O550" s="2" t="s">
        <v>5326</v>
      </c>
      <c r="P550" s="2" t="s">
        <v>7342</v>
      </c>
      <c r="Q550" s="2" t="s">
        <v>7343</v>
      </c>
      <c r="R550" s="2" t="s">
        <v>5079</v>
      </c>
      <c r="S550" s="2"/>
    </row>
    <row r="551" spans="1:19" x14ac:dyDescent="0.2">
      <c r="A551" s="2">
        <v>1120</v>
      </c>
      <c r="B551" s="6" t="s">
        <v>3418</v>
      </c>
      <c r="C551" s="2" t="s">
        <v>7344</v>
      </c>
      <c r="D551" s="2" t="s">
        <v>7345</v>
      </c>
      <c r="E551" s="2" t="s">
        <v>1552</v>
      </c>
      <c r="F551" s="2" t="s">
        <v>3421</v>
      </c>
      <c r="G551" s="2" t="s">
        <v>994</v>
      </c>
      <c r="H551" s="2" t="s">
        <v>1223</v>
      </c>
      <c r="I551" s="2" t="s">
        <v>7346</v>
      </c>
      <c r="J551" s="2"/>
      <c r="K551" s="2" t="s">
        <v>26</v>
      </c>
      <c r="L551" s="2" t="s">
        <v>5078</v>
      </c>
      <c r="M551" s="2" t="s">
        <v>5218</v>
      </c>
      <c r="N551" s="2" t="s">
        <v>5080</v>
      </c>
      <c r="O551" s="2" t="s">
        <v>5326</v>
      </c>
      <c r="P551" s="2" t="s">
        <v>7347</v>
      </c>
      <c r="Q551" s="2" t="s">
        <v>7348</v>
      </c>
      <c r="R551" s="2" t="s">
        <v>5218</v>
      </c>
      <c r="S551" s="2"/>
    </row>
    <row r="552" spans="1:19" x14ac:dyDescent="0.2">
      <c r="A552" s="2">
        <v>403</v>
      </c>
      <c r="B552" s="6" t="s">
        <v>3424</v>
      </c>
      <c r="C552" s="2" t="s">
        <v>7349</v>
      </c>
      <c r="D552" s="2" t="s">
        <v>7350</v>
      </c>
      <c r="E552" s="2" t="s">
        <v>3088</v>
      </c>
      <c r="F552" s="2" t="s">
        <v>2608</v>
      </c>
      <c r="G552" s="2" t="s">
        <v>2136</v>
      </c>
      <c r="H552" s="2" t="s">
        <v>7351</v>
      </c>
      <c r="I552" s="2" t="s">
        <v>7352</v>
      </c>
      <c r="J552" s="2"/>
      <c r="K552" s="2" t="s">
        <v>39</v>
      </c>
      <c r="L552" s="2" t="s">
        <v>5087</v>
      </c>
      <c r="M552" s="2" t="s">
        <v>7353</v>
      </c>
      <c r="N552" s="2" t="s">
        <v>5108</v>
      </c>
      <c r="O552" s="2" t="s">
        <v>5326</v>
      </c>
      <c r="P552" s="2" t="s">
        <v>7354</v>
      </c>
      <c r="Q552" s="2" t="s">
        <v>7355</v>
      </c>
      <c r="R552" s="2" t="s">
        <v>5524</v>
      </c>
      <c r="S552" s="2" t="s">
        <v>5995</v>
      </c>
    </row>
    <row r="553" spans="1:19" x14ac:dyDescent="0.2">
      <c r="A553" s="2">
        <v>292</v>
      </c>
      <c r="B553" s="6" t="s">
        <v>3432</v>
      </c>
      <c r="C553" s="2" t="s">
        <v>7356</v>
      </c>
      <c r="D553" s="2" t="s">
        <v>7357</v>
      </c>
      <c r="E553" s="2" t="s">
        <v>3149</v>
      </c>
      <c r="F553" s="2" t="s">
        <v>2608</v>
      </c>
      <c r="G553" s="2" t="s">
        <v>3435</v>
      </c>
      <c r="H553" s="2" t="s">
        <v>135</v>
      </c>
      <c r="I553" s="2" t="s">
        <v>7358</v>
      </c>
      <c r="J553" s="2"/>
      <c r="K553" s="2" t="s">
        <v>26</v>
      </c>
      <c r="L553" s="2" t="s">
        <v>5078</v>
      </c>
      <c r="M553" s="2" t="s">
        <v>5079</v>
      </c>
      <c r="N553" s="2" t="s">
        <v>5108</v>
      </c>
      <c r="O553" s="2" t="s">
        <v>6592</v>
      </c>
      <c r="P553" s="2" t="s">
        <v>7359</v>
      </c>
      <c r="Q553" s="2" t="s">
        <v>6990</v>
      </c>
      <c r="R553" s="2" t="s">
        <v>7360</v>
      </c>
      <c r="S553" s="2"/>
    </row>
    <row r="554" spans="1:19" x14ac:dyDescent="0.2">
      <c r="A554" s="2">
        <v>1507</v>
      </c>
      <c r="B554" s="6" t="s">
        <v>3439</v>
      </c>
      <c r="C554" s="2" t="s">
        <v>7361</v>
      </c>
      <c r="D554" s="2" t="s">
        <v>7362</v>
      </c>
      <c r="E554" s="2" t="s">
        <v>2520</v>
      </c>
      <c r="F554" s="2"/>
      <c r="G554" s="2"/>
      <c r="H554" s="2" t="s">
        <v>5085</v>
      </c>
      <c r="I554" s="2" t="s">
        <v>7363</v>
      </c>
      <c r="J554" s="2"/>
      <c r="K554" s="2" t="s">
        <v>39</v>
      </c>
      <c r="L554" s="2" t="s">
        <v>5087</v>
      </c>
      <c r="M554" s="2" t="s">
        <v>7364</v>
      </c>
      <c r="N554" s="2" t="s">
        <v>5108</v>
      </c>
      <c r="O554" s="2" t="s">
        <v>5326</v>
      </c>
      <c r="P554" s="2" t="s">
        <v>7365</v>
      </c>
      <c r="Q554" s="2" t="s">
        <v>7366</v>
      </c>
      <c r="R554" s="2" t="s">
        <v>7367</v>
      </c>
      <c r="S554" s="2"/>
    </row>
    <row r="555" spans="1:19" x14ac:dyDescent="0.2">
      <c r="A555" s="2">
        <v>748</v>
      </c>
      <c r="B555" s="6" t="s">
        <v>3447</v>
      </c>
      <c r="C555" s="2" t="s">
        <v>7368</v>
      </c>
      <c r="D555" s="2" t="s">
        <v>7369</v>
      </c>
      <c r="E555" s="2" t="s">
        <v>1955</v>
      </c>
      <c r="F555" s="2" t="s">
        <v>1955</v>
      </c>
      <c r="G555" s="2"/>
      <c r="H555" s="2" t="s">
        <v>5227</v>
      </c>
      <c r="I555" s="2" t="s">
        <v>7370</v>
      </c>
      <c r="J555" s="2"/>
      <c r="K555" s="2" t="s">
        <v>39</v>
      </c>
      <c r="L555" s="2" t="s">
        <v>5087</v>
      </c>
      <c r="M555" s="2" t="s">
        <v>7371</v>
      </c>
      <c r="N555" s="2" t="s">
        <v>5108</v>
      </c>
      <c r="O555" s="2" t="s">
        <v>5081</v>
      </c>
      <c r="P555" s="2" t="s">
        <v>7372</v>
      </c>
      <c r="Q555" s="2" t="s">
        <v>7373</v>
      </c>
      <c r="R555" s="2" t="s">
        <v>7374</v>
      </c>
      <c r="S555" s="2"/>
    </row>
    <row r="556" spans="1:19" x14ac:dyDescent="0.2">
      <c r="A556" s="2">
        <v>2043</v>
      </c>
      <c r="B556" s="6" t="s">
        <v>3455</v>
      </c>
      <c r="C556" s="2" t="s">
        <v>7375</v>
      </c>
      <c r="D556" s="2" t="s">
        <v>7376</v>
      </c>
      <c r="E556" s="2" t="s">
        <v>192</v>
      </c>
      <c r="F556" s="2" t="s">
        <v>100</v>
      </c>
      <c r="G556" s="2" t="s">
        <v>100</v>
      </c>
      <c r="H556" s="2" t="s">
        <v>5085</v>
      </c>
      <c r="I556" s="2" t="s">
        <v>7139</v>
      </c>
      <c r="J556" s="2"/>
      <c r="K556" s="2" t="s">
        <v>26</v>
      </c>
      <c r="L556" s="2" t="s">
        <v>5078</v>
      </c>
      <c r="M556" s="2" t="s">
        <v>5100</v>
      </c>
      <c r="N556" s="2" t="s">
        <v>5108</v>
      </c>
      <c r="O556" s="2" t="s">
        <v>5326</v>
      </c>
      <c r="P556" s="2" t="s">
        <v>7377</v>
      </c>
      <c r="Q556" s="2" t="s">
        <v>6860</v>
      </c>
      <c r="R556" s="2" t="s">
        <v>5100</v>
      </c>
      <c r="S556" s="2"/>
    </row>
    <row r="557" spans="1:19" x14ac:dyDescent="0.2">
      <c r="A557" s="2">
        <v>1578</v>
      </c>
      <c r="B557" s="6" t="s">
        <v>3459</v>
      </c>
      <c r="C557" s="2" t="s">
        <v>7378</v>
      </c>
      <c r="D557" s="2" t="s">
        <v>7379</v>
      </c>
      <c r="E557" s="2" t="s">
        <v>3462</v>
      </c>
      <c r="F557" s="2"/>
      <c r="G557" s="2"/>
      <c r="H557" s="2" t="s">
        <v>3463</v>
      </c>
      <c r="I557" s="2" t="s">
        <v>7380</v>
      </c>
      <c r="J557" s="2"/>
      <c r="K557" s="2" t="s">
        <v>26</v>
      </c>
      <c r="L557" s="2" t="s">
        <v>5078</v>
      </c>
      <c r="M557" s="2" t="s">
        <v>7036</v>
      </c>
      <c r="N557" s="2" t="s">
        <v>5108</v>
      </c>
      <c r="O557" s="2" t="s">
        <v>5326</v>
      </c>
      <c r="P557" s="2" t="s">
        <v>7381</v>
      </c>
      <c r="Q557" s="2" t="s">
        <v>7382</v>
      </c>
      <c r="R557" s="2" t="s">
        <v>5079</v>
      </c>
      <c r="S557" s="2"/>
    </row>
    <row r="558" spans="1:19" x14ac:dyDescent="0.2">
      <c r="A558" s="2">
        <v>135</v>
      </c>
      <c r="B558" s="6" t="s">
        <v>3467</v>
      </c>
      <c r="C558" s="2" t="s">
        <v>7383</v>
      </c>
      <c r="D558" s="2" t="s">
        <v>7384</v>
      </c>
      <c r="E558" s="2" t="s">
        <v>2725</v>
      </c>
      <c r="F558" s="2"/>
      <c r="G558" s="2"/>
      <c r="H558" s="2" t="s">
        <v>173</v>
      </c>
      <c r="I558" s="2" t="s">
        <v>7385</v>
      </c>
      <c r="J558" s="2"/>
      <c r="K558" s="2" t="s">
        <v>26</v>
      </c>
      <c r="L558" s="2" t="s">
        <v>5078</v>
      </c>
      <c r="M558" s="2" t="s">
        <v>5079</v>
      </c>
      <c r="N558" s="2" t="s">
        <v>5108</v>
      </c>
      <c r="O558" s="2" t="s">
        <v>5326</v>
      </c>
      <c r="P558" s="2" t="s">
        <v>7386</v>
      </c>
      <c r="Q558" s="2" t="s">
        <v>7387</v>
      </c>
      <c r="R558" s="2" t="s">
        <v>5079</v>
      </c>
      <c r="S558" s="2" t="s">
        <v>7388</v>
      </c>
    </row>
    <row r="559" spans="1:19" x14ac:dyDescent="0.2">
      <c r="A559" s="2">
        <v>142</v>
      </c>
      <c r="B559" s="6" t="s">
        <v>3475</v>
      </c>
      <c r="C559" s="2" t="s">
        <v>7389</v>
      </c>
      <c r="D559" s="2" t="s">
        <v>7390</v>
      </c>
      <c r="E559" s="2" t="s">
        <v>1291</v>
      </c>
      <c r="F559" s="2" t="s">
        <v>1291</v>
      </c>
      <c r="G559" s="2" t="s">
        <v>1291</v>
      </c>
      <c r="H559" s="2" t="s">
        <v>173</v>
      </c>
      <c r="I559" s="2" t="s">
        <v>7391</v>
      </c>
      <c r="J559" s="2"/>
      <c r="K559" s="2" t="s">
        <v>26</v>
      </c>
      <c r="L559" s="2" t="s">
        <v>5078</v>
      </c>
      <c r="M559" s="2" t="s">
        <v>6340</v>
      </c>
      <c r="N559" s="2" t="s">
        <v>5108</v>
      </c>
      <c r="O559" s="2" t="s">
        <v>5326</v>
      </c>
      <c r="P559" s="2" t="s">
        <v>7392</v>
      </c>
      <c r="Q559" s="2" t="s">
        <v>7393</v>
      </c>
      <c r="R559" s="2" t="s">
        <v>6340</v>
      </c>
      <c r="S559" s="2"/>
    </row>
    <row r="560" spans="1:19" x14ac:dyDescent="0.2">
      <c r="A560" s="2">
        <v>148</v>
      </c>
      <c r="B560" s="6" t="s">
        <v>3481</v>
      </c>
      <c r="C560" s="2" t="s">
        <v>7394</v>
      </c>
      <c r="D560" s="2" t="s">
        <v>7395</v>
      </c>
      <c r="E560" s="2" t="s">
        <v>2561</v>
      </c>
      <c r="F560" s="2" t="s">
        <v>2561</v>
      </c>
      <c r="G560" s="2" t="s">
        <v>2561</v>
      </c>
      <c r="H560" s="2" t="s">
        <v>1223</v>
      </c>
      <c r="I560" s="2" t="s">
        <v>7346</v>
      </c>
      <c r="J560" s="2"/>
      <c r="K560" s="2" t="s">
        <v>26</v>
      </c>
      <c r="L560" s="2" t="s">
        <v>5078</v>
      </c>
      <c r="M560" s="2" t="s">
        <v>5524</v>
      </c>
      <c r="N560" s="2" t="s">
        <v>5080</v>
      </c>
      <c r="O560" s="2" t="s">
        <v>5081</v>
      </c>
      <c r="P560" s="2" t="s">
        <v>7396</v>
      </c>
      <c r="Q560" s="2" t="s">
        <v>7397</v>
      </c>
      <c r="R560" s="2" t="s">
        <v>5079</v>
      </c>
      <c r="S560" s="2"/>
    </row>
    <row r="561" spans="1:19" x14ac:dyDescent="0.2">
      <c r="A561" s="2">
        <v>147</v>
      </c>
      <c r="B561" s="6" t="s">
        <v>3486</v>
      </c>
      <c r="C561" s="2" t="s">
        <v>7394</v>
      </c>
      <c r="D561" s="2" t="s">
        <v>7398</v>
      </c>
      <c r="E561" s="2" t="s">
        <v>1145</v>
      </c>
      <c r="F561" s="2" t="s">
        <v>1145</v>
      </c>
      <c r="G561" s="2" t="s">
        <v>1145</v>
      </c>
      <c r="H561" s="2" t="s">
        <v>1223</v>
      </c>
      <c r="I561" s="2" t="s">
        <v>7399</v>
      </c>
      <c r="J561" s="2"/>
      <c r="K561" s="2" t="s">
        <v>26</v>
      </c>
      <c r="L561" s="2" t="s">
        <v>5078</v>
      </c>
      <c r="M561" s="2" t="s">
        <v>5524</v>
      </c>
      <c r="N561" s="2" t="s">
        <v>5080</v>
      </c>
      <c r="O561" s="2" t="s">
        <v>5081</v>
      </c>
      <c r="P561" s="2" t="s">
        <v>7396</v>
      </c>
      <c r="Q561" s="2" t="s">
        <v>7397</v>
      </c>
      <c r="R561" s="2" t="s">
        <v>5079</v>
      </c>
      <c r="S561" s="2"/>
    </row>
    <row r="562" spans="1:19" x14ac:dyDescent="0.2">
      <c r="A562" s="2">
        <v>150</v>
      </c>
      <c r="B562" s="6" t="s">
        <v>3488</v>
      </c>
      <c r="C562" s="2" t="s">
        <v>7400</v>
      </c>
      <c r="D562" s="2" t="s">
        <v>7401</v>
      </c>
      <c r="E562" s="2" t="s">
        <v>3491</v>
      </c>
      <c r="F562" s="2" t="s">
        <v>3491</v>
      </c>
      <c r="G562" s="2" t="s">
        <v>3491</v>
      </c>
      <c r="H562" s="2" t="s">
        <v>1223</v>
      </c>
      <c r="I562" s="2" t="s">
        <v>7399</v>
      </c>
      <c r="J562" s="2"/>
      <c r="K562" s="2" t="s">
        <v>26</v>
      </c>
      <c r="L562" s="2" t="s">
        <v>5078</v>
      </c>
      <c r="M562" s="2" t="s">
        <v>5524</v>
      </c>
      <c r="N562" s="2" t="s">
        <v>5080</v>
      </c>
      <c r="O562" s="2" t="s">
        <v>5081</v>
      </c>
      <c r="P562" s="2" t="s">
        <v>7396</v>
      </c>
      <c r="Q562" s="2" t="s">
        <v>7397</v>
      </c>
      <c r="R562" s="2" t="s">
        <v>5079</v>
      </c>
      <c r="S562" s="2"/>
    </row>
    <row r="563" spans="1:19" x14ac:dyDescent="0.2">
      <c r="A563" s="2">
        <v>325</v>
      </c>
      <c r="B563" s="6" t="s">
        <v>3492</v>
      </c>
      <c r="C563" s="2" t="s">
        <v>7402</v>
      </c>
      <c r="D563" s="2" t="s">
        <v>7403</v>
      </c>
      <c r="E563" s="2" t="s">
        <v>1145</v>
      </c>
      <c r="F563" s="2"/>
      <c r="G563" s="2"/>
      <c r="H563" s="2" t="s">
        <v>173</v>
      </c>
      <c r="I563" s="2" t="s">
        <v>7404</v>
      </c>
      <c r="J563" s="2"/>
      <c r="K563" s="2" t="s">
        <v>26</v>
      </c>
      <c r="L563" s="2" t="s">
        <v>5078</v>
      </c>
      <c r="M563" s="2" t="s">
        <v>5079</v>
      </c>
      <c r="N563" s="2" t="s">
        <v>5108</v>
      </c>
      <c r="O563" s="2" t="s">
        <v>5326</v>
      </c>
      <c r="P563" s="2" t="s">
        <v>7405</v>
      </c>
      <c r="Q563" s="2" t="s">
        <v>5224</v>
      </c>
      <c r="R563" s="2" t="s">
        <v>5079</v>
      </c>
      <c r="S563" s="2"/>
    </row>
    <row r="564" spans="1:19" x14ac:dyDescent="0.2">
      <c r="A564" s="2">
        <v>388</v>
      </c>
      <c r="B564" s="6" t="s">
        <v>3497</v>
      </c>
      <c r="C564" s="2" t="s">
        <v>7406</v>
      </c>
      <c r="D564" s="2" t="s">
        <v>7407</v>
      </c>
      <c r="E564" s="2" t="s">
        <v>1267</v>
      </c>
      <c r="F564" s="2" t="s">
        <v>1267</v>
      </c>
      <c r="G564" s="2" t="s">
        <v>1267</v>
      </c>
      <c r="H564" s="2" t="s">
        <v>173</v>
      </c>
      <c r="I564" s="2" t="s">
        <v>7408</v>
      </c>
      <c r="J564" s="2"/>
      <c r="K564" s="2" t="s">
        <v>26</v>
      </c>
      <c r="L564" s="2" t="s">
        <v>5078</v>
      </c>
      <c r="M564" s="2" t="s">
        <v>5524</v>
      </c>
      <c r="N564" s="2" t="s">
        <v>5108</v>
      </c>
      <c r="O564" s="2" t="s">
        <v>5326</v>
      </c>
      <c r="P564" s="2" t="s">
        <v>7409</v>
      </c>
      <c r="Q564" s="2" t="s">
        <v>5091</v>
      </c>
      <c r="R564" s="2" t="s">
        <v>7223</v>
      </c>
      <c r="S564" s="2"/>
    </row>
    <row r="565" spans="1:19" x14ac:dyDescent="0.2">
      <c r="A565" s="2">
        <v>712</v>
      </c>
      <c r="B565" s="6" t="s">
        <v>3502</v>
      </c>
      <c r="C565" s="2" t="s">
        <v>7410</v>
      </c>
      <c r="D565" s="2" t="s">
        <v>7411</v>
      </c>
      <c r="E565" s="2" t="s">
        <v>2370</v>
      </c>
      <c r="F565" s="2"/>
      <c r="G565" s="2"/>
      <c r="H565" s="2" t="s">
        <v>7220</v>
      </c>
      <c r="I565" s="2" t="s">
        <v>7412</v>
      </c>
      <c r="J565" s="2"/>
      <c r="K565" s="2" t="s">
        <v>26</v>
      </c>
      <c r="L565" s="2" t="s">
        <v>5078</v>
      </c>
      <c r="M565" s="2" t="s">
        <v>7413</v>
      </c>
      <c r="N565" s="2" t="s">
        <v>5840</v>
      </c>
      <c r="O565" s="2" t="s">
        <v>5326</v>
      </c>
      <c r="P565" s="2" t="s">
        <v>7414</v>
      </c>
      <c r="Q565" s="2" t="s">
        <v>6844</v>
      </c>
      <c r="R565" s="2" t="s">
        <v>5079</v>
      </c>
      <c r="S565" s="2"/>
    </row>
    <row r="566" spans="1:19" x14ac:dyDescent="0.2">
      <c r="A566" s="2">
        <v>730</v>
      </c>
      <c r="B566" s="6" t="s">
        <v>3508</v>
      </c>
      <c r="C566" s="2" t="s">
        <v>7415</v>
      </c>
      <c r="D566" s="2" t="s">
        <v>7416</v>
      </c>
      <c r="E566" s="2" t="s">
        <v>2706</v>
      </c>
      <c r="F566" s="2" t="s">
        <v>2608</v>
      </c>
      <c r="G566" s="2"/>
      <c r="H566" s="2" t="s">
        <v>173</v>
      </c>
      <c r="I566" s="2" t="s">
        <v>7417</v>
      </c>
      <c r="J566" s="2"/>
      <c r="K566" s="2" t="s">
        <v>26</v>
      </c>
      <c r="L566" s="2" t="s">
        <v>5078</v>
      </c>
      <c r="M566" s="2" t="s">
        <v>5994</v>
      </c>
      <c r="N566" s="2" t="s">
        <v>5108</v>
      </c>
      <c r="O566" s="2" t="s">
        <v>5326</v>
      </c>
      <c r="P566" s="2" t="s">
        <v>7418</v>
      </c>
      <c r="Q566" s="2" t="s">
        <v>7419</v>
      </c>
      <c r="R566" s="2" t="s">
        <v>7420</v>
      </c>
      <c r="S566" s="2"/>
    </row>
    <row r="567" spans="1:19" x14ac:dyDescent="0.2">
      <c r="A567" s="2">
        <v>234</v>
      </c>
      <c r="B567" s="6" t="s">
        <v>3515</v>
      </c>
      <c r="C567" s="2" t="s">
        <v>7421</v>
      </c>
      <c r="D567" s="2" t="s">
        <v>7422</v>
      </c>
      <c r="E567" s="2" t="s">
        <v>3518</v>
      </c>
      <c r="F567" s="2"/>
      <c r="G567" s="2"/>
      <c r="H567" s="2" t="s">
        <v>393</v>
      </c>
      <c r="I567" s="2" t="s">
        <v>7423</v>
      </c>
      <c r="J567" s="2"/>
      <c r="K567" s="2" t="s">
        <v>39</v>
      </c>
      <c r="L567" s="2" t="s">
        <v>5087</v>
      </c>
      <c r="M567" s="2" t="s">
        <v>5079</v>
      </c>
      <c r="N567" s="2" t="s">
        <v>5325</v>
      </c>
      <c r="O567" s="2" t="s">
        <v>5335</v>
      </c>
      <c r="P567" s="2" t="s">
        <v>7424</v>
      </c>
      <c r="Q567" s="2" t="s">
        <v>7425</v>
      </c>
      <c r="R567" s="2" t="s">
        <v>5079</v>
      </c>
      <c r="S567" s="2"/>
    </row>
    <row r="568" spans="1:19" x14ac:dyDescent="0.2">
      <c r="A568" s="2">
        <v>236</v>
      </c>
      <c r="B568" s="6" t="s">
        <v>3522</v>
      </c>
      <c r="C568" s="2" t="s">
        <v>7426</v>
      </c>
      <c r="D568" s="2" t="s">
        <v>7427</v>
      </c>
      <c r="E568" s="2" t="s">
        <v>2370</v>
      </c>
      <c r="F568" s="2"/>
      <c r="G568" s="2"/>
      <c r="H568" s="2" t="s">
        <v>393</v>
      </c>
      <c r="I568" s="2" t="s">
        <v>411</v>
      </c>
      <c r="J568" s="2"/>
      <c r="K568" s="2" t="s">
        <v>26</v>
      </c>
      <c r="L568" s="2" t="s">
        <v>5078</v>
      </c>
      <c r="M568" s="2" t="s">
        <v>6991</v>
      </c>
      <c r="N568" s="2" t="s">
        <v>5325</v>
      </c>
      <c r="O568" s="2" t="s">
        <v>5335</v>
      </c>
      <c r="P568" s="2" t="s">
        <v>7428</v>
      </c>
      <c r="Q568" s="2" t="s">
        <v>5091</v>
      </c>
      <c r="R568" s="2" t="s">
        <v>7429</v>
      </c>
      <c r="S568" s="2"/>
    </row>
    <row r="569" spans="1:19" x14ac:dyDescent="0.2">
      <c r="A569" s="2">
        <v>242</v>
      </c>
      <c r="B569" s="6" t="s">
        <v>3527</v>
      </c>
      <c r="C569" s="2" t="s">
        <v>7430</v>
      </c>
      <c r="D569" s="2" t="s">
        <v>7431</v>
      </c>
      <c r="E569" s="2" t="s">
        <v>483</v>
      </c>
      <c r="F569" s="2" t="s">
        <v>1037</v>
      </c>
      <c r="G569" s="2" t="s">
        <v>3046</v>
      </c>
      <c r="H569" s="2" t="s">
        <v>393</v>
      </c>
      <c r="I569" s="2" t="s">
        <v>3530</v>
      </c>
      <c r="J569" s="2" t="s">
        <v>3531</v>
      </c>
      <c r="K569" s="2" t="s">
        <v>412</v>
      </c>
      <c r="L569" s="2" t="s">
        <v>5334</v>
      </c>
      <c r="M569" s="2" t="s">
        <v>5079</v>
      </c>
      <c r="N569" s="2" t="s">
        <v>5325</v>
      </c>
      <c r="O569" s="2" t="s">
        <v>5335</v>
      </c>
      <c r="P569" s="2" t="s">
        <v>7432</v>
      </c>
      <c r="Q569" s="2" t="s">
        <v>7433</v>
      </c>
      <c r="R569" s="2" t="s">
        <v>7434</v>
      </c>
      <c r="S569" s="2"/>
    </row>
    <row r="570" spans="1:19" x14ac:dyDescent="0.2">
      <c r="A570" s="2">
        <v>1367</v>
      </c>
      <c r="B570" s="6" t="s">
        <v>7435</v>
      </c>
      <c r="C570" s="2" t="s">
        <v>7436</v>
      </c>
      <c r="D570" s="2" t="s">
        <v>7437</v>
      </c>
      <c r="E570" s="2" t="s">
        <v>1477</v>
      </c>
      <c r="F570" s="2" t="s">
        <v>564</v>
      </c>
      <c r="G570" s="2" t="s">
        <v>1477</v>
      </c>
      <c r="H570" s="2" t="s">
        <v>393</v>
      </c>
      <c r="I570" s="2" t="s">
        <v>1026</v>
      </c>
      <c r="J570" s="2"/>
      <c r="K570" s="2"/>
      <c r="L570" s="2" t="s">
        <v>5078</v>
      </c>
      <c r="M570" s="2" t="s">
        <v>5367</v>
      </c>
      <c r="N570" s="2" t="s">
        <v>5325</v>
      </c>
      <c r="O570" s="2" t="s">
        <v>5330</v>
      </c>
      <c r="P570" s="2" t="s">
        <v>7438</v>
      </c>
      <c r="Q570" s="2" t="s">
        <v>5091</v>
      </c>
      <c r="R570" s="2" t="s">
        <v>5367</v>
      </c>
      <c r="S570" s="2"/>
    </row>
    <row r="571" spans="1:19" x14ac:dyDescent="0.2">
      <c r="A571" s="2">
        <v>79</v>
      </c>
      <c r="B571" s="6" t="s">
        <v>7439</v>
      </c>
      <c r="C571" s="2" t="s">
        <v>7440</v>
      </c>
      <c r="D571" s="2" t="s">
        <v>7441</v>
      </c>
      <c r="E571" s="2" t="s">
        <v>1955</v>
      </c>
      <c r="F571" s="2" t="s">
        <v>523</v>
      </c>
      <c r="G571" s="2" t="s">
        <v>523</v>
      </c>
      <c r="H571" s="2" t="s">
        <v>393</v>
      </c>
      <c r="I571" s="2" t="s">
        <v>7442</v>
      </c>
      <c r="J571" s="2"/>
      <c r="K571" s="2"/>
      <c r="L571" s="2" t="s">
        <v>5087</v>
      </c>
      <c r="M571" s="2" t="s">
        <v>5352</v>
      </c>
      <c r="N571" s="2" t="s">
        <v>5325</v>
      </c>
      <c r="O571" s="2" t="s">
        <v>5362</v>
      </c>
      <c r="P571" s="2" t="s">
        <v>7443</v>
      </c>
      <c r="Q571" s="2" t="s">
        <v>7444</v>
      </c>
      <c r="R571" s="2" t="s">
        <v>5352</v>
      </c>
      <c r="S571" s="2"/>
    </row>
    <row r="572" spans="1:19" ht="57" x14ac:dyDescent="0.2">
      <c r="A572" s="2">
        <v>204</v>
      </c>
      <c r="B572" s="6" t="s">
        <v>7445</v>
      </c>
      <c r="C572" s="2" t="s">
        <v>7446</v>
      </c>
      <c r="D572" s="2" t="s">
        <v>7447</v>
      </c>
      <c r="E572" s="2" t="s">
        <v>968</v>
      </c>
      <c r="F572" s="2" t="s">
        <v>968</v>
      </c>
      <c r="G572" s="2" t="s">
        <v>968</v>
      </c>
      <c r="H572" s="2" t="s">
        <v>393</v>
      </c>
      <c r="I572" s="18" t="s">
        <v>7448</v>
      </c>
      <c r="J572" s="2"/>
      <c r="K572" s="2"/>
      <c r="L572" s="2" t="s">
        <v>5078</v>
      </c>
      <c r="M572" s="2" t="s">
        <v>5079</v>
      </c>
      <c r="N572" s="2" t="s">
        <v>5325</v>
      </c>
      <c r="O572" s="2" t="s">
        <v>5330</v>
      </c>
      <c r="P572" s="2" t="s">
        <v>7449</v>
      </c>
      <c r="Q572" s="2"/>
      <c r="R572" s="2" t="s">
        <v>7450</v>
      </c>
      <c r="S572" s="2"/>
    </row>
    <row r="573" spans="1:19" x14ac:dyDescent="0.2">
      <c r="A573" s="2">
        <v>205</v>
      </c>
      <c r="B573" s="6" t="s">
        <v>7451</v>
      </c>
      <c r="C573" s="2" t="s">
        <v>7452</v>
      </c>
      <c r="D573" s="2" t="s">
        <v>7453</v>
      </c>
      <c r="E573" s="2" t="s">
        <v>1512</v>
      </c>
      <c r="F573" s="2" t="s">
        <v>1512</v>
      </c>
      <c r="G573" s="2" t="s">
        <v>1512</v>
      </c>
      <c r="H573" s="2" t="s">
        <v>393</v>
      </c>
      <c r="I573" s="2" t="s">
        <v>659</v>
      </c>
      <c r="J573" s="2"/>
      <c r="K573" s="2"/>
      <c r="L573" s="2" t="s">
        <v>5334</v>
      </c>
      <c r="M573" s="2" t="s">
        <v>5079</v>
      </c>
      <c r="N573" s="2" t="s">
        <v>5325</v>
      </c>
      <c r="O573" s="2" t="s">
        <v>5330</v>
      </c>
      <c r="P573" s="2" t="s">
        <v>7454</v>
      </c>
      <c r="Q573" s="2"/>
      <c r="R573" s="2" t="s">
        <v>5079</v>
      </c>
      <c r="S573" s="2"/>
    </row>
    <row r="574" spans="1:19" x14ac:dyDescent="0.2">
      <c r="A574" s="2">
        <v>206</v>
      </c>
      <c r="B574" s="6" t="s">
        <v>7455</v>
      </c>
      <c r="C574" s="2" t="s">
        <v>7456</v>
      </c>
      <c r="D574" s="2" t="s">
        <v>7457</v>
      </c>
      <c r="E574" s="2" t="s">
        <v>1247</v>
      </c>
      <c r="F574" s="2"/>
      <c r="G574" s="2"/>
      <c r="H574" s="2" t="s">
        <v>393</v>
      </c>
      <c r="I574" s="2" t="s">
        <v>7458</v>
      </c>
      <c r="J574" s="2"/>
      <c r="K574" s="2"/>
      <c r="L574" s="2" t="s">
        <v>5334</v>
      </c>
      <c r="M574" s="2" t="s">
        <v>5079</v>
      </c>
      <c r="N574" s="2" t="s">
        <v>5325</v>
      </c>
      <c r="O574" s="2" t="s">
        <v>5330</v>
      </c>
      <c r="P574" s="2" t="s">
        <v>7459</v>
      </c>
      <c r="Q574" s="2" t="s">
        <v>5091</v>
      </c>
      <c r="R574" s="2" t="s">
        <v>5079</v>
      </c>
      <c r="S574" s="2"/>
    </row>
    <row r="575" spans="1:19" x14ac:dyDescent="0.2">
      <c r="A575" s="2">
        <v>207</v>
      </c>
      <c r="B575" s="6" t="s">
        <v>7460</v>
      </c>
      <c r="C575" s="2" t="s">
        <v>7461</v>
      </c>
      <c r="D575" s="2" t="s">
        <v>7462</v>
      </c>
      <c r="E575" s="2" t="s">
        <v>7463</v>
      </c>
      <c r="F575" s="2"/>
      <c r="G575" s="2"/>
      <c r="H575" s="2" t="s">
        <v>393</v>
      </c>
      <c r="I575" s="2" t="s">
        <v>7464</v>
      </c>
      <c r="J575" s="2"/>
      <c r="K575" s="2"/>
      <c r="L575" s="2" t="s">
        <v>5078</v>
      </c>
      <c r="M575" s="2" t="s">
        <v>5079</v>
      </c>
      <c r="N575" s="2" t="s">
        <v>5325</v>
      </c>
      <c r="O575" s="2" t="s">
        <v>5330</v>
      </c>
      <c r="P575" s="2" t="s">
        <v>7465</v>
      </c>
      <c r="Q575" s="2" t="s">
        <v>7466</v>
      </c>
      <c r="R575" s="2" t="s">
        <v>5079</v>
      </c>
      <c r="S575" s="2"/>
    </row>
    <row r="576" spans="1:19" x14ac:dyDescent="0.2">
      <c r="A576" s="2">
        <v>208</v>
      </c>
      <c r="B576" s="6" t="s">
        <v>7467</v>
      </c>
      <c r="C576" s="2" t="s">
        <v>7468</v>
      </c>
      <c r="D576" s="2" t="s">
        <v>7469</v>
      </c>
      <c r="E576" s="2" t="s">
        <v>1477</v>
      </c>
      <c r="F576" s="2"/>
      <c r="G576" s="2"/>
      <c r="H576" s="2" t="s">
        <v>393</v>
      </c>
      <c r="I576" s="2" t="s">
        <v>7470</v>
      </c>
      <c r="J576" s="2"/>
      <c r="K576" s="2"/>
      <c r="L576" s="2" t="s">
        <v>5078</v>
      </c>
      <c r="M576" s="2" t="s">
        <v>5079</v>
      </c>
      <c r="N576" s="2" t="s">
        <v>5325</v>
      </c>
      <c r="O576" s="2" t="s">
        <v>5326</v>
      </c>
      <c r="P576" s="2" t="s">
        <v>7471</v>
      </c>
      <c r="Q576" s="2" t="s">
        <v>7472</v>
      </c>
      <c r="R576" s="2" t="s">
        <v>5079</v>
      </c>
      <c r="S576" s="2"/>
    </row>
    <row r="577" spans="1:19" x14ac:dyDescent="0.2">
      <c r="A577" s="2">
        <v>259</v>
      </c>
      <c r="B577" s="6" t="s">
        <v>7473</v>
      </c>
      <c r="C577" s="2" t="s">
        <v>7474</v>
      </c>
      <c r="D577" s="2" t="s">
        <v>7475</v>
      </c>
      <c r="E577" s="2" t="s">
        <v>657</v>
      </c>
      <c r="F577" s="2"/>
      <c r="G577" s="2"/>
      <c r="H577" s="2" t="s">
        <v>393</v>
      </c>
      <c r="I577" s="2" t="s">
        <v>7476</v>
      </c>
      <c r="J577" s="2"/>
      <c r="K577" s="2"/>
      <c r="L577" s="2" t="s">
        <v>5387</v>
      </c>
      <c r="M577" s="2" t="s">
        <v>5079</v>
      </c>
      <c r="N577" s="2" t="s">
        <v>5325</v>
      </c>
      <c r="O577" s="2" t="s">
        <v>5335</v>
      </c>
      <c r="P577" s="2" t="s">
        <v>7477</v>
      </c>
      <c r="Q577" s="2" t="s">
        <v>5091</v>
      </c>
      <c r="R577" s="2" t="s">
        <v>5079</v>
      </c>
      <c r="S577" s="2"/>
    </row>
    <row r="578" spans="1:19" x14ac:dyDescent="0.2">
      <c r="A578" s="2">
        <v>426</v>
      </c>
      <c r="B578" s="6" t="s">
        <v>7478</v>
      </c>
      <c r="C578" s="2" t="s">
        <v>7479</v>
      </c>
      <c r="D578" s="2" t="s">
        <v>7480</v>
      </c>
      <c r="E578" s="2" t="s">
        <v>2219</v>
      </c>
      <c r="F578" s="2"/>
      <c r="G578" s="2"/>
      <c r="H578" s="2" t="s">
        <v>393</v>
      </c>
      <c r="I578" s="2" t="s">
        <v>7481</v>
      </c>
      <c r="J578" s="2"/>
      <c r="K578" s="2"/>
      <c r="L578" s="2" t="s">
        <v>5087</v>
      </c>
      <c r="M578" s="2" t="s">
        <v>5100</v>
      </c>
      <c r="N578" s="2" t="s">
        <v>5325</v>
      </c>
      <c r="O578" s="2" t="s">
        <v>5335</v>
      </c>
      <c r="P578" s="2" t="s">
        <v>7482</v>
      </c>
      <c r="Q578" s="2" t="s">
        <v>5091</v>
      </c>
      <c r="R578" s="2" t="s">
        <v>5524</v>
      </c>
      <c r="S578" s="2"/>
    </row>
    <row r="579" spans="1:19" x14ac:dyDescent="0.2">
      <c r="A579" s="2">
        <v>448</v>
      </c>
      <c r="B579" s="6" t="s">
        <v>7483</v>
      </c>
      <c r="C579" s="2" t="s">
        <v>7484</v>
      </c>
      <c r="D579" s="2" t="s">
        <v>7485</v>
      </c>
      <c r="E579" s="2" t="s">
        <v>946</v>
      </c>
      <c r="F579" s="2"/>
      <c r="G579" s="2"/>
      <c r="H579" s="2" t="s">
        <v>393</v>
      </c>
      <c r="I579" s="2" t="s">
        <v>7486</v>
      </c>
      <c r="J579" s="2" t="s">
        <v>2454</v>
      </c>
      <c r="K579" s="2"/>
      <c r="L579" s="2" t="s">
        <v>5078</v>
      </c>
      <c r="M579" s="2" t="s">
        <v>5079</v>
      </c>
      <c r="N579" s="2" t="s">
        <v>5325</v>
      </c>
      <c r="O579" s="2" t="s">
        <v>5335</v>
      </c>
      <c r="P579" s="2" t="s">
        <v>7487</v>
      </c>
      <c r="Q579" s="2" t="s">
        <v>5091</v>
      </c>
      <c r="R579" s="2" t="s">
        <v>5079</v>
      </c>
      <c r="S579" s="2"/>
    </row>
    <row r="580" spans="1:19" x14ac:dyDescent="0.2">
      <c r="A580" s="2">
        <v>472</v>
      </c>
      <c r="B580" s="6" t="s">
        <v>7488</v>
      </c>
      <c r="C580" s="2" t="s">
        <v>7489</v>
      </c>
      <c r="D580" s="2" t="s">
        <v>7490</v>
      </c>
      <c r="E580" s="2" t="s">
        <v>846</v>
      </c>
      <c r="F580" s="2"/>
      <c r="G580" s="2"/>
      <c r="H580" s="2" t="s">
        <v>393</v>
      </c>
      <c r="I580" s="2" t="s">
        <v>659</v>
      </c>
      <c r="J580" s="2"/>
      <c r="K580" s="2"/>
      <c r="L580" s="2" t="s">
        <v>5078</v>
      </c>
      <c r="M580" s="2" t="s">
        <v>5558</v>
      </c>
      <c r="N580" s="2" t="s">
        <v>5325</v>
      </c>
      <c r="O580" s="2" t="s">
        <v>5335</v>
      </c>
      <c r="P580" s="2" t="s">
        <v>7491</v>
      </c>
      <c r="Q580" s="2"/>
      <c r="R580" s="2" t="s">
        <v>6647</v>
      </c>
      <c r="S580" s="2"/>
    </row>
    <row r="581" spans="1:19" x14ac:dyDescent="0.2">
      <c r="A581" s="2">
        <v>473</v>
      </c>
      <c r="B581" s="6" t="s">
        <v>7492</v>
      </c>
      <c r="C581" s="2" t="s">
        <v>7493</v>
      </c>
      <c r="D581" s="2" t="s">
        <v>7494</v>
      </c>
      <c r="E581" s="2" t="s">
        <v>1140</v>
      </c>
      <c r="F581" s="2" t="s">
        <v>908</v>
      </c>
      <c r="G581" s="2" t="s">
        <v>908</v>
      </c>
      <c r="H581" s="2" t="s">
        <v>393</v>
      </c>
      <c r="I581" s="2" t="s">
        <v>7495</v>
      </c>
      <c r="J581" s="2" t="s">
        <v>7496</v>
      </c>
      <c r="K581" s="2"/>
      <c r="L581" s="2" t="s">
        <v>5334</v>
      </c>
      <c r="M581" s="2" t="s">
        <v>7497</v>
      </c>
      <c r="N581" s="2" t="s">
        <v>5325</v>
      </c>
      <c r="O581" s="2" t="s">
        <v>5335</v>
      </c>
      <c r="P581" s="2" t="s">
        <v>7498</v>
      </c>
      <c r="Q581" s="2" t="s">
        <v>5500</v>
      </c>
      <c r="R581" s="2" t="s">
        <v>7499</v>
      </c>
      <c r="S581" s="2"/>
    </row>
    <row r="582" spans="1:19" x14ac:dyDescent="0.2">
      <c r="A582" s="2">
        <v>474</v>
      </c>
      <c r="B582" s="6" t="s">
        <v>7500</v>
      </c>
      <c r="C582" s="2" t="s">
        <v>7501</v>
      </c>
      <c r="D582" s="2" t="s">
        <v>7502</v>
      </c>
      <c r="E582" s="2" t="s">
        <v>3076</v>
      </c>
      <c r="F582" s="2"/>
      <c r="G582" s="2"/>
      <c r="H582" s="2" t="s">
        <v>393</v>
      </c>
      <c r="I582" s="2" t="s">
        <v>7503</v>
      </c>
      <c r="J582" s="2"/>
      <c r="K582" s="2"/>
      <c r="L582" s="2" t="s">
        <v>5078</v>
      </c>
      <c r="M582" s="2" t="s">
        <v>5079</v>
      </c>
      <c r="N582" s="2" t="s">
        <v>5325</v>
      </c>
      <c r="O582" s="2" t="s">
        <v>5335</v>
      </c>
      <c r="P582" s="2" t="s">
        <v>7504</v>
      </c>
      <c r="Q582" s="2"/>
      <c r="R582" s="2" t="s">
        <v>5079</v>
      </c>
      <c r="S582" s="2"/>
    </row>
    <row r="583" spans="1:19" x14ac:dyDescent="0.2">
      <c r="A583" s="2">
        <v>475</v>
      </c>
      <c r="B583" s="6" t="s">
        <v>7505</v>
      </c>
      <c r="C583" s="2" t="s">
        <v>7506</v>
      </c>
      <c r="D583" s="2" t="s">
        <v>7507</v>
      </c>
      <c r="E583" s="2" t="s">
        <v>2381</v>
      </c>
      <c r="F583" s="2" t="s">
        <v>2119</v>
      </c>
      <c r="G583" s="2" t="s">
        <v>2119</v>
      </c>
      <c r="H583" s="2" t="s">
        <v>393</v>
      </c>
      <c r="I583" s="2" t="s">
        <v>4332</v>
      </c>
      <c r="J583" s="2"/>
      <c r="K583" s="2"/>
      <c r="L583" s="2" t="s">
        <v>5345</v>
      </c>
      <c r="M583" s="2" t="s">
        <v>5240</v>
      </c>
      <c r="N583" s="2" t="s">
        <v>5325</v>
      </c>
      <c r="O583" s="2" t="s">
        <v>5335</v>
      </c>
      <c r="P583" s="2" t="s">
        <v>7508</v>
      </c>
      <c r="Q583" s="2" t="s">
        <v>7509</v>
      </c>
      <c r="R583" s="2" t="s">
        <v>5240</v>
      </c>
      <c r="S583" s="2"/>
    </row>
    <row r="584" spans="1:19" x14ac:dyDescent="0.2">
      <c r="A584" s="2">
        <v>476</v>
      </c>
      <c r="B584" s="6" t="s">
        <v>7510</v>
      </c>
      <c r="C584" s="2" t="s">
        <v>7511</v>
      </c>
      <c r="D584" s="2" t="s">
        <v>7512</v>
      </c>
      <c r="E584" s="2" t="s">
        <v>1140</v>
      </c>
      <c r="F584" s="2"/>
      <c r="G584" s="2"/>
      <c r="H584" s="2" t="s">
        <v>393</v>
      </c>
      <c r="I584" s="2" t="s">
        <v>7513</v>
      </c>
      <c r="J584" s="2"/>
      <c r="K584" s="2"/>
      <c r="L584" s="2" t="s">
        <v>5453</v>
      </c>
      <c r="M584" s="2" t="s">
        <v>5324</v>
      </c>
      <c r="N584" s="2" t="s">
        <v>5325</v>
      </c>
      <c r="O584" s="2" t="s">
        <v>5326</v>
      </c>
      <c r="P584" s="2" t="s">
        <v>7514</v>
      </c>
      <c r="Q584" s="2" t="s">
        <v>5091</v>
      </c>
      <c r="R584" s="2" t="s">
        <v>5324</v>
      </c>
      <c r="S584" s="2" t="s">
        <v>7515</v>
      </c>
    </row>
    <row r="585" spans="1:19" x14ac:dyDescent="0.2">
      <c r="A585" s="2">
        <v>477</v>
      </c>
      <c r="B585" s="6" t="s">
        <v>7516</v>
      </c>
      <c r="C585" s="2" t="s">
        <v>7517</v>
      </c>
      <c r="D585" s="2" t="s">
        <v>7518</v>
      </c>
      <c r="E585" s="2" t="s">
        <v>537</v>
      </c>
      <c r="F585" s="2"/>
      <c r="G585" s="2"/>
      <c r="H585" s="2" t="s">
        <v>393</v>
      </c>
      <c r="I585" s="2" t="s">
        <v>432</v>
      </c>
      <c r="J585" s="2"/>
      <c r="K585" s="2"/>
      <c r="L585" s="2" t="s">
        <v>5078</v>
      </c>
      <c r="M585" s="2" t="s">
        <v>5079</v>
      </c>
      <c r="N585" s="2" t="s">
        <v>5325</v>
      </c>
      <c r="O585" s="2" t="s">
        <v>5335</v>
      </c>
      <c r="P585" s="2" t="s">
        <v>7519</v>
      </c>
      <c r="Q585" s="2" t="s">
        <v>5634</v>
      </c>
      <c r="R585" s="2" t="s">
        <v>5079</v>
      </c>
      <c r="S585" s="2"/>
    </row>
    <row r="586" spans="1:19" x14ac:dyDescent="0.2">
      <c r="A586" s="2">
        <v>479</v>
      </c>
      <c r="B586" s="6" t="s">
        <v>7520</v>
      </c>
      <c r="C586" s="2" t="s">
        <v>7521</v>
      </c>
      <c r="D586" s="2" t="s">
        <v>7522</v>
      </c>
      <c r="E586" s="2" t="s">
        <v>1267</v>
      </c>
      <c r="F586" s="2"/>
      <c r="G586" s="2"/>
      <c r="H586" s="2" t="s">
        <v>393</v>
      </c>
      <c r="I586" s="2" t="s">
        <v>7523</v>
      </c>
      <c r="J586" s="2" t="s">
        <v>6247</v>
      </c>
      <c r="K586" s="2"/>
      <c r="L586" s="2" t="s">
        <v>5087</v>
      </c>
      <c r="M586" s="2" t="s">
        <v>7524</v>
      </c>
      <c r="N586" s="2" t="s">
        <v>5325</v>
      </c>
      <c r="O586" s="2" t="s">
        <v>5335</v>
      </c>
      <c r="P586" s="2" t="s">
        <v>7525</v>
      </c>
      <c r="Q586" s="2" t="s">
        <v>5091</v>
      </c>
      <c r="R586" s="2" t="s">
        <v>5107</v>
      </c>
      <c r="S586" s="2"/>
    </row>
    <row r="587" spans="1:19" x14ac:dyDescent="0.2">
      <c r="A587" s="2">
        <v>480</v>
      </c>
      <c r="B587" s="6" t="s">
        <v>7526</v>
      </c>
      <c r="C587" s="2" t="s">
        <v>7527</v>
      </c>
      <c r="D587" s="2" t="s">
        <v>7528</v>
      </c>
      <c r="E587" s="2" t="s">
        <v>2369</v>
      </c>
      <c r="F587" s="2"/>
      <c r="G587" s="2"/>
      <c r="H587" s="2" t="s">
        <v>393</v>
      </c>
      <c r="I587" s="2" t="s">
        <v>7523</v>
      </c>
      <c r="J587" s="2" t="s">
        <v>6247</v>
      </c>
      <c r="K587" s="2"/>
      <c r="L587" s="2" t="s">
        <v>5087</v>
      </c>
      <c r="M587" s="2" t="s">
        <v>5079</v>
      </c>
      <c r="N587" s="2" t="s">
        <v>5325</v>
      </c>
      <c r="O587" s="2" t="s">
        <v>5335</v>
      </c>
      <c r="P587" s="2" t="s">
        <v>7529</v>
      </c>
      <c r="Q587" s="2" t="s">
        <v>5091</v>
      </c>
      <c r="R587" s="2" t="s">
        <v>5079</v>
      </c>
      <c r="S587" s="2"/>
    </row>
    <row r="588" spans="1:19" x14ac:dyDescent="0.2">
      <c r="A588" s="2">
        <v>481</v>
      </c>
      <c r="B588" s="6" t="s">
        <v>7530</v>
      </c>
      <c r="C588" s="2" t="s">
        <v>7531</v>
      </c>
      <c r="D588" s="2" t="s">
        <v>7532</v>
      </c>
      <c r="E588" s="2" t="s">
        <v>2168</v>
      </c>
      <c r="F588" s="2"/>
      <c r="G588" s="2"/>
      <c r="H588" s="2" t="s">
        <v>393</v>
      </c>
      <c r="I588" s="2" t="s">
        <v>7533</v>
      </c>
      <c r="J588" s="2" t="s">
        <v>135</v>
      </c>
      <c r="K588" s="2"/>
      <c r="L588" s="2" t="s">
        <v>5345</v>
      </c>
      <c r="M588" s="2" t="s">
        <v>5079</v>
      </c>
      <c r="N588" s="2" t="s">
        <v>5325</v>
      </c>
      <c r="O588" s="2" t="s">
        <v>5335</v>
      </c>
      <c r="P588" s="2" t="s">
        <v>7534</v>
      </c>
      <c r="Q588" s="2" t="s">
        <v>5091</v>
      </c>
      <c r="R588" s="2" t="s">
        <v>5524</v>
      </c>
      <c r="S588" s="2"/>
    </row>
    <row r="589" spans="1:19" x14ac:dyDescent="0.2">
      <c r="A589" s="2">
        <v>482</v>
      </c>
      <c r="B589" s="6" t="s">
        <v>7535</v>
      </c>
      <c r="C589" s="2" t="s">
        <v>7536</v>
      </c>
      <c r="D589" s="2" t="s">
        <v>7537</v>
      </c>
      <c r="E589" s="2" t="s">
        <v>1212</v>
      </c>
      <c r="F589" s="2"/>
      <c r="G589" s="2"/>
      <c r="H589" s="2" t="s">
        <v>393</v>
      </c>
      <c r="I589" s="2" t="s">
        <v>7538</v>
      </c>
      <c r="J589" s="2"/>
      <c r="K589" s="2"/>
      <c r="L589" s="2" t="s">
        <v>5078</v>
      </c>
      <c r="M589" s="2" t="s">
        <v>5079</v>
      </c>
      <c r="N589" s="2" t="s">
        <v>5325</v>
      </c>
      <c r="O589" s="2" t="s">
        <v>5335</v>
      </c>
      <c r="P589" s="2" t="s">
        <v>7539</v>
      </c>
      <c r="Q589" s="2" t="s">
        <v>7540</v>
      </c>
      <c r="R589" s="2" t="s">
        <v>5079</v>
      </c>
      <c r="S589" s="2"/>
    </row>
    <row r="590" spans="1:19" x14ac:dyDescent="0.2">
      <c r="A590" s="2">
        <v>483</v>
      </c>
      <c r="B590" s="6" t="s">
        <v>7541</v>
      </c>
      <c r="C590" s="2" t="s">
        <v>7542</v>
      </c>
      <c r="D590" s="2" t="s">
        <v>7543</v>
      </c>
      <c r="E590" s="2" t="s">
        <v>1212</v>
      </c>
      <c r="F590" s="2"/>
      <c r="G590" s="2"/>
      <c r="H590" s="2" t="s">
        <v>393</v>
      </c>
      <c r="I590" s="2" t="s">
        <v>7544</v>
      </c>
      <c r="J590" s="2"/>
      <c r="K590" s="2"/>
      <c r="L590" s="2" t="s">
        <v>5453</v>
      </c>
      <c r="M590" s="2" t="s">
        <v>5079</v>
      </c>
      <c r="N590" s="2" t="s">
        <v>5325</v>
      </c>
      <c r="O590" s="2" t="s">
        <v>5335</v>
      </c>
      <c r="P590" s="2" t="s">
        <v>7545</v>
      </c>
      <c r="Q590" s="2" t="s">
        <v>6990</v>
      </c>
      <c r="R590" s="2" t="s">
        <v>5079</v>
      </c>
      <c r="S590" s="2"/>
    </row>
    <row r="591" spans="1:19" x14ac:dyDescent="0.2">
      <c r="A591" s="2">
        <v>484</v>
      </c>
      <c r="B591" s="6" t="s">
        <v>7546</v>
      </c>
      <c r="C591" s="2" t="s">
        <v>7547</v>
      </c>
      <c r="D591" s="2" t="s">
        <v>7548</v>
      </c>
      <c r="E591" s="2" t="s">
        <v>946</v>
      </c>
      <c r="F591" s="2"/>
      <c r="G591" s="2"/>
      <c r="H591" s="2" t="s">
        <v>393</v>
      </c>
      <c r="I591" s="2" t="s">
        <v>7549</v>
      </c>
      <c r="J591" s="2"/>
      <c r="K591" s="2"/>
      <c r="L591" s="2" t="s">
        <v>5087</v>
      </c>
      <c r="M591" s="2" t="s">
        <v>5079</v>
      </c>
      <c r="N591" s="2" t="s">
        <v>5325</v>
      </c>
      <c r="O591" s="2" t="s">
        <v>5326</v>
      </c>
      <c r="P591" s="2" t="s">
        <v>7550</v>
      </c>
      <c r="Q591" s="2" t="s">
        <v>5091</v>
      </c>
      <c r="R591" s="2" t="s">
        <v>5079</v>
      </c>
      <c r="S591" s="2"/>
    </row>
    <row r="592" spans="1:19" x14ac:dyDescent="0.2">
      <c r="A592" s="2">
        <v>485</v>
      </c>
      <c r="B592" s="6" t="s">
        <v>7551</v>
      </c>
      <c r="C592" s="2" t="s">
        <v>7552</v>
      </c>
      <c r="D592" s="2" t="s">
        <v>7553</v>
      </c>
      <c r="E592" s="2" t="s">
        <v>4180</v>
      </c>
      <c r="F592" s="2"/>
      <c r="G592" s="2"/>
      <c r="H592" s="2" t="s">
        <v>393</v>
      </c>
      <c r="I592" s="2" t="s">
        <v>7554</v>
      </c>
      <c r="J592" s="2"/>
      <c r="K592" s="2"/>
      <c r="L592" s="2" t="s">
        <v>5453</v>
      </c>
      <c r="M592" s="2" t="s">
        <v>5128</v>
      </c>
      <c r="N592" s="2" t="s">
        <v>5325</v>
      </c>
      <c r="O592" s="2" t="s">
        <v>5326</v>
      </c>
      <c r="P592" s="2" t="s">
        <v>7555</v>
      </c>
      <c r="Q592" s="2" t="s">
        <v>5091</v>
      </c>
      <c r="R592" s="2" t="s">
        <v>5128</v>
      </c>
      <c r="S592" s="2" t="s">
        <v>7556</v>
      </c>
    </row>
    <row r="593" spans="1:19" x14ac:dyDescent="0.2">
      <c r="A593" s="2">
        <v>486</v>
      </c>
      <c r="B593" s="6" t="s">
        <v>7557</v>
      </c>
      <c r="C593" s="2" t="s">
        <v>7558</v>
      </c>
      <c r="D593" s="2" t="s">
        <v>7559</v>
      </c>
      <c r="E593" s="2" t="s">
        <v>1037</v>
      </c>
      <c r="F593" s="2"/>
      <c r="G593" s="2"/>
      <c r="H593" s="2" t="s">
        <v>393</v>
      </c>
      <c r="I593" s="2" t="s">
        <v>7560</v>
      </c>
      <c r="J593" s="2"/>
      <c r="K593" s="2"/>
      <c r="L593" s="2" t="s">
        <v>5087</v>
      </c>
      <c r="M593" s="2"/>
      <c r="N593" s="2" t="s">
        <v>5325</v>
      </c>
      <c r="O593" s="2" t="s">
        <v>5335</v>
      </c>
      <c r="P593" s="2" t="s">
        <v>7561</v>
      </c>
      <c r="Q593" s="2" t="s">
        <v>5091</v>
      </c>
      <c r="R593" s="2"/>
      <c r="S593" s="2"/>
    </row>
    <row r="594" spans="1:19" x14ac:dyDescent="0.2">
      <c r="A594" s="2">
        <v>487</v>
      </c>
      <c r="B594" s="6" t="s">
        <v>7562</v>
      </c>
      <c r="C594" s="2" t="s">
        <v>7563</v>
      </c>
      <c r="D594" s="2" t="s">
        <v>7564</v>
      </c>
      <c r="E594" s="2" t="s">
        <v>973</v>
      </c>
      <c r="F594" s="2"/>
      <c r="G594" s="2"/>
      <c r="H594" s="2" t="s">
        <v>393</v>
      </c>
      <c r="I594" s="2" t="s">
        <v>7565</v>
      </c>
      <c r="J594" s="2"/>
      <c r="K594" s="2"/>
      <c r="L594" s="2" t="s">
        <v>5345</v>
      </c>
      <c r="M594" s="2" t="s">
        <v>5100</v>
      </c>
      <c r="N594" s="2" t="s">
        <v>5325</v>
      </c>
      <c r="O594" s="2" t="s">
        <v>5392</v>
      </c>
      <c r="P594" s="2" t="s">
        <v>7566</v>
      </c>
      <c r="Q594" s="2" t="s">
        <v>5091</v>
      </c>
      <c r="R594" s="2" t="s">
        <v>7567</v>
      </c>
      <c r="S594" s="2" t="s">
        <v>7568</v>
      </c>
    </row>
    <row r="595" spans="1:19" x14ac:dyDescent="0.2">
      <c r="A595" s="2">
        <v>488</v>
      </c>
      <c r="B595" s="6" t="s">
        <v>7569</v>
      </c>
      <c r="C595" s="2" t="s">
        <v>7570</v>
      </c>
      <c r="D595" s="2" t="s">
        <v>7571</v>
      </c>
      <c r="E595" s="2" t="s">
        <v>902</v>
      </c>
      <c r="F595" s="2"/>
      <c r="G595" s="2"/>
      <c r="H595" s="2" t="s">
        <v>393</v>
      </c>
      <c r="I595" s="2" t="s">
        <v>7572</v>
      </c>
      <c r="J595" s="2" t="s">
        <v>6247</v>
      </c>
      <c r="K595" s="2"/>
      <c r="L595" s="2" t="s">
        <v>5087</v>
      </c>
      <c r="M595" s="2" t="s">
        <v>5079</v>
      </c>
      <c r="N595" s="2" t="s">
        <v>5325</v>
      </c>
      <c r="O595" s="2" t="s">
        <v>5326</v>
      </c>
      <c r="P595" s="2" t="s">
        <v>7573</v>
      </c>
      <c r="Q595" s="2" t="s">
        <v>5091</v>
      </c>
      <c r="R595" s="2" t="s">
        <v>5079</v>
      </c>
      <c r="S595" s="2"/>
    </row>
    <row r="596" spans="1:19" x14ac:dyDescent="0.2">
      <c r="A596" s="2">
        <v>489</v>
      </c>
      <c r="B596" s="6" t="s">
        <v>7574</v>
      </c>
      <c r="C596" s="2" t="s">
        <v>7575</v>
      </c>
      <c r="D596" s="2" t="s">
        <v>7576</v>
      </c>
      <c r="E596" s="2" t="s">
        <v>4290</v>
      </c>
      <c r="F596" s="2"/>
      <c r="G596" s="2"/>
      <c r="H596" s="2" t="s">
        <v>393</v>
      </c>
      <c r="I596" s="2" t="s">
        <v>491</v>
      </c>
      <c r="J596" s="2" t="s">
        <v>2454</v>
      </c>
      <c r="K596" s="2"/>
      <c r="L596" s="2" t="s">
        <v>5087</v>
      </c>
      <c r="M596" s="2" t="s">
        <v>5079</v>
      </c>
      <c r="N596" s="2" t="s">
        <v>5325</v>
      </c>
      <c r="O596" s="2" t="s">
        <v>5335</v>
      </c>
      <c r="P596" s="2" t="s">
        <v>7577</v>
      </c>
      <c r="Q596" s="2" t="s">
        <v>5091</v>
      </c>
      <c r="R596" s="2" t="s">
        <v>5079</v>
      </c>
      <c r="S596" s="2"/>
    </row>
    <row r="597" spans="1:19" x14ac:dyDescent="0.2">
      <c r="A597" s="2">
        <v>490</v>
      </c>
      <c r="B597" s="6" t="s">
        <v>7578</v>
      </c>
      <c r="C597" s="2" t="s">
        <v>7579</v>
      </c>
      <c r="D597" s="2" t="s">
        <v>7580</v>
      </c>
      <c r="E597" s="2" t="s">
        <v>7581</v>
      </c>
      <c r="F597" s="2"/>
      <c r="G597" s="2"/>
      <c r="H597" s="2" t="s">
        <v>393</v>
      </c>
      <c r="I597" s="2" t="s">
        <v>491</v>
      </c>
      <c r="J597" s="2"/>
      <c r="K597" s="2"/>
      <c r="L597" s="2" t="s">
        <v>5345</v>
      </c>
      <c r="M597" s="2" t="s">
        <v>5079</v>
      </c>
      <c r="N597" s="2" t="s">
        <v>5325</v>
      </c>
      <c r="O597" s="2" t="s">
        <v>5335</v>
      </c>
      <c r="P597" s="2" t="s">
        <v>7582</v>
      </c>
      <c r="Q597" s="2" t="s">
        <v>5091</v>
      </c>
      <c r="R597" s="2" t="s">
        <v>5079</v>
      </c>
      <c r="S597" s="2"/>
    </row>
    <row r="598" spans="1:19" x14ac:dyDescent="0.2">
      <c r="A598" s="2">
        <v>491</v>
      </c>
      <c r="B598" s="6" t="s">
        <v>7583</v>
      </c>
      <c r="C598" s="2" t="s">
        <v>7584</v>
      </c>
      <c r="D598" s="2" t="s">
        <v>7585</v>
      </c>
      <c r="E598" s="2" t="s">
        <v>2219</v>
      </c>
      <c r="F598" s="2"/>
      <c r="G598" s="2"/>
      <c r="H598" s="2" t="s">
        <v>393</v>
      </c>
      <c r="I598" s="2" t="s">
        <v>491</v>
      </c>
      <c r="J598" s="2" t="s">
        <v>7586</v>
      </c>
      <c r="K598" s="2"/>
      <c r="L598" s="2" t="s">
        <v>5345</v>
      </c>
      <c r="M598" s="2" t="s">
        <v>5079</v>
      </c>
      <c r="N598" s="2" t="s">
        <v>5325</v>
      </c>
      <c r="O598" s="2" t="s">
        <v>5335</v>
      </c>
      <c r="P598" s="2" t="s">
        <v>7587</v>
      </c>
      <c r="Q598" s="2" t="s">
        <v>5091</v>
      </c>
      <c r="R598" s="2" t="s">
        <v>5079</v>
      </c>
      <c r="S598" s="2"/>
    </row>
    <row r="599" spans="1:19" x14ac:dyDescent="0.2">
      <c r="A599" s="2">
        <v>492</v>
      </c>
      <c r="B599" s="6" t="s">
        <v>7588</v>
      </c>
      <c r="C599" s="2" t="s">
        <v>7589</v>
      </c>
      <c r="D599" s="2" t="s">
        <v>7590</v>
      </c>
      <c r="E599" s="2" t="s">
        <v>1598</v>
      </c>
      <c r="F599" s="2"/>
      <c r="G599" s="2"/>
      <c r="H599" s="2" t="s">
        <v>393</v>
      </c>
      <c r="I599" s="2" t="s">
        <v>491</v>
      </c>
      <c r="J599" s="2" t="s">
        <v>7586</v>
      </c>
      <c r="K599" s="2"/>
      <c r="L599" s="2" t="s">
        <v>5078</v>
      </c>
      <c r="M599" s="2" t="s">
        <v>5367</v>
      </c>
      <c r="N599" s="2" t="s">
        <v>5325</v>
      </c>
      <c r="O599" s="2" t="s">
        <v>5326</v>
      </c>
      <c r="P599" s="2" t="s">
        <v>7591</v>
      </c>
      <c r="Q599" s="2" t="s">
        <v>5091</v>
      </c>
      <c r="R599" s="2" t="s">
        <v>5367</v>
      </c>
      <c r="S599" s="2"/>
    </row>
    <row r="600" spans="1:19" x14ac:dyDescent="0.2">
      <c r="A600" s="2">
        <v>493</v>
      </c>
      <c r="B600" s="6" t="s">
        <v>7592</v>
      </c>
      <c r="C600" s="2" t="s">
        <v>7593</v>
      </c>
      <c r="D600" s="2" t="s">
        <v>7594</v>
      </c>
      <c r="E600" s="2" t="s">
        <v>1876</v>
      </c>
      <c r="F600" s="2"/>
      <c r="G600" s="2"/>
      <c r="H600" s="2" t="s">
        <v>393</v>
      </c>
      <c r="I600" s="2" t="s">
        <v>491</v>
      </c>
      <c r="J600" s="2" t="s">
        <v>2454</v>
      </c>
      <c r="K600" s="2"/>
      <c r="L600" s="2" t="s">
        <v>5345</v>
      </c>
      <c r="M600" s="2" t="s">
        <v>5079</v>
      </c>
      <c r="N600" s="2" t="s">
        <v>5325</v>
      </c>
      <c r="O600" s="2" t="s">
        <v>5330</v>
      </c>
      <c r="P600" s="2" t="s">
        <v>7595</v>
      </c>
      <c r="Q600" s="2" t="s">
        <v>5091</v>
      </c>
      <c r="R600" s="2" t="s">
        <v>5079</v>
      </c>
      <c r="S600" s="2"/>
    </row>
    <row r="601" spans="1:19" x14ac:dyDescent="0.2">
      <c r="A601" s="2">
        <v>494</v>
      </c>
      <c r="B601" s="6" t="s">
        <v>7596</v>
      </c>
      <c r="C601" s="2" t="s">
        <v>7597</v>
      </c>
      <c r="D601" s="2" t="s">
        <v>7598</v>
      </c>
      <c r="E601" s="2" t="s">
        <v>7599</v>
      </c>
      <c r="F601" s="2"/>
      <c r="G601" s="2"/>
      <c r="H601" s="2" t="s">
        <v>393</v>
      </c>
      <c r="I601" s="2" t="s">
        <v>491</v>
      </c>
      <c r="J601" s="2" t="s">
        <v>393</v>
      </c>
      <c r="K601" s="2"/>
      <c r="L601" s="2" t="s">
        <v>5078</v>
      </c>
      <c r="M601" s="2" t="s">
        <v>5079</v>
      </c>
      <c r="N601" s="2" t="s">
        <v>5325</v>
      </c>
      <c r="O601" s="2" t="s">
        <v>5326</v>
      </c>
      <c r="P601" s="2" t="s">
        <v>7600</v>
      </c>
      <c r="Q601" s="2" t="s">
        <v>5091</v>
      </c>
      <c r="R601" s="2" t="s">
        <v>5079</v>
      </c>
      <c r="S601" s="2"/>
    </row>
    <row r="602" spans="1:19" x14ac:dyDescent="0.2">
      <c r="A602" s="2">
        <v>495</v>
      </c>
      <c r="B602" s="6" t="s">
        <v>7601</v>
      </c>
      <c r="C602" s="2" t="s">
        <v>7602</v>
      </c>
      <c r="D602" s="2" t="s">
        <v>7603</v>
      </c>
      <c r="E602" s="2" t="s">
        <v>657</v>
      </c>
      <c r="F602" s="2"/>
      <c r="G602" s="2"/>
      <c r="H602" s="2" t="s">
        <v>393</v>
      </c>
      <c r="I602" s="2" t="s">
        <v>491</v>
      </c>
      <c r="J602" s="2" t="s">
        <v>7586</v>
      </c>
      <c r="K602" s="2"/>
      <c r="L602" s="2" t="s">
        <v>5345</v>
      </c>
      <c r="M602" s="2" t="s">
        <v>7604</v>
      </c>
      <c r="N602" s="2" t="s">
        <v>5325</v>
      </c>
      <c r="O602" s="2" t="s">
        <v>5330</v>
      </c>
      <c r="P602" s="2" t="s">
        <v>7605</v>
      </c>
      <c r="Q602" s="2" t="s">
        <v>5091</v>
      </c>
      <c r="R602" s="2" t="s">
        <v>7604</v>
      </c>
      <c r="S602" s="2"/>
    </row>
    <row r="603" spans="1:19" x14ac:dyDescent="0.2">
      <c r="A603" s="2">
        <v>496</v>
      </c>
      <c r="B603" s="6" t="s">
        <v>7606</v>
      </c>
      <c r="C603" s="2" t="s">
        <v>7607</v>
      </c>
      <c r="D603" s="2" t="s">
        <v>7608</v>
      </c>
      <c r="E603" s="2" t="s">
        <v>467</v>
      </c>
      <c r="F603" s="2"/>
      <c r="G603" s="2"/>
      <c r="H603" s="2" t="s">
        <v>393</v>
      </c>
      <c r="I603" s="2" t="s">
        <v>491</v>
      </c>
      <c r="J603" s="2" t="s">
        <v>2454</v>
      </c>
      <c r="K603" s="2"/>
      <c r="L603" s="2" t="s">
        <v>5345</v>
      </c>
      <c r="M603" s="2" t="s">
        <v>5079</v>
      </c>
      <c r="N603" s="2" t="s">
        <v>5325</v>
      </c>
      <c r="O603" s="2" t="s">
        <v>5335</v>
      </c>
      <c r="P603" s="2" t="s">
        <v>7609</v>
      </c>
      <c r="Q603" s="2" t="s">
        <v>5091</v>
      </c>
      <c r="R603" s="2" t="s">
        <v>5079</v>
      </c>
      <c r="S603" s="2"/>
    </row>
    <row r="604" spans="1:19" x14ac:dyDescent="0.2">
      <c r="A604" s="2">
        <v>497</v>
      </c>
      <c r="B604" s="6" t="s">
        <v>7610</v>
      </c>
      <c r="C604" s="2" t="s">
        <v>7611</v>
      </c>
      <c r="D604" s="2" t="s">
        <v>7612</v>
      </c>
      <c r="E604" s="2" t="s">
        <v>3076</v>
      </c>
      <c r="F604" s="2" t="s">
        <v>3798</v>
      </c>
      <c r="G604" s="2" t="s">
        <v>3798</v>
      </c>
      <c r="H604" s="2" t="s">
        <v>393</v>
      </c>
      <c r="I604" s="2" t="s">
        <v>491</v>
      </c>
      <c r="J604" s="2" t="s">
        <v>6433</v>
      </c>
      <c r="K604" s="2"/>
      <c r="L604" s="2" t="s">
        <v>5345</v>
      </c>
      <c r="M604" s="2" t="s">
        <v>5079</v>
      </c>
      <c r="N604" s="2" t="s">
        <v>5325</v>
      </c>
      <c r="O604" s="2" t="s">
        <v>5326</v>
      </c>
      <c r="P604" s="2" t="s">
        <v>7613</v>
      </c>
      <c r="Q604" s="2" t="s">
        <v>5091</v>
      </c>
      <c r="R604" s="2" t="s">
        <v>5079</v>
      </c>
      <c r="S604" s="2"/>
    </row>
    <row r="605" spans="1:19" x14ac:dyDescent="0.2">
      <c r="A605" s="2">
        <v>498</v>
      </c>
      <c r="B605" s="6" t="s">
        <v>7614</v>
      </c>
      <c r="C605" s="2" t="s">
        <v>7615</v>
      </c>
      <c r="D605" s="2" t="s">
        <v>7616</v>
      </c>
      <c r="E605" s="2" t="s">
        <v>1140</v>
      </c>
      <c r="F605" s="2"/>
      <c r="G605" s="2"/>
      <c r="H605" s="2" t="s">
        <v>393</v>
      </c>
      <c r="I605" s="2" t="s">
        <v>491</v>
      </c>
      <c r="J605" s="2" t="s">
        <v>2454</v>
      </c>
      <c r="K605" s="2"/>
      <c r="L605" s="2" t="s">
        <v>5345</v>
      </c>
      <c r="M605" s="2" t="s">
        <v>5079</v>
      </c>
      <c r="N605" s="2" t="s">
        <v>5325</v>
      </c>
      <c r="O605" s="2" t="s">
        <v>5335</v>
      </c>
      <c r="P605" s="2" t="s">
        <v>7617</v>
      </c>
      <c r="Q605" s="2" t="s">
        <v>5091</v>
      </c>
      <c r="R605" s="2" t="s">
        <v>5324</v>
      </c>
      <c r="S605" s="2" t="s">
        <v>6688</v>
      </c>
    </row>
    <row r="606" spans="1:19" x14ac:dyDescent="0.2">
      <c r="A606" s="2">
        <v>499</v>
      </c>
      <c r="B606" s="6" t="s">
        <v>7618</v>
      </c>
      <c r="C606" s="2" t="s">
        <v>7619</v>
      </c>
      <c r="D606" s="2" t="s">
        <v>7620</v>
      </c>
      <c r="E606" s="2" t="s">
        <v>1145</v>
      </c>
      <c r="F606" s="2"/>
      <c r="G606" s="2"/>
      <c r="H606" s="2" t="s">
        <v>393</v>
      </c>
      <c r="I606" s="2" t="s">
        <v>491</v>
      </c>
      <c r="J606" s="2" t="s">
        <v>2454</v>
      </c>
      <c r="K606" s="2"/>
      <c r="L606" s="2" t="s">
        <v>5345</v>
      </c>
      <c r="M606" s="2" t="s">
        <v>5079</v>
      </c>
      <c r="N606" s="2" t="s">
        <v>5325</v>
      </c>
      <c r="O606" s="2" t="s">
        <v>5330</v>
      </c>
      <c r="P606" s="2" t="s">
        <v>7621</v>
      </c>
      <c r="Q606" s="2" t="s">
        <v>5091</v>
      </c>
      <c r="R606" s="2" t="s">
        <v>5079</v>
      </c>
      <c r="S606" s="2"/>
    </row>
    <row r="607" spans="1:19" x14ac:dyDescent="0.2">
      <c r="A607" s="2">
        <v>500</v>
      </c>
      <c r="B607" s="6" t="s">
        <v>7622</v>
      </c>
      <c r="C607" s="2" t="s">
        <v>7623</v>
      </c>
      <c r="D607" s="2" t="s">
        <v>7624</v>
      </c>
      <c r="E607" s="2" t="s">
        <v>1150</v>
      </c>
      <c r="F607" s="2"/>
      <c r="G607" s="2"/>
      <c r="H607" s="2" t="s">
        <v>393</v>
      </c>
      <c r="I607" s="2" t="s">
        <v>491</v>
      </c>
      <c r="J607" s="2" t="s">
        <v>5187</v>
      </c>
      <c r="K607" s="2"/>
      <c r="L607" s="2" t="s">
        <v>5345</v>
      </c>
      <c r="M607" s="2" t="s">
        <v>5324</v>
      </c>
      <c r="N607" s="2" t="s">
        <v>5325</v>
      </c>
      <c r="O607" s="2" t="s">
        <v>5330</v>
      </c>
      <c r="P607" s="2" t="s">
        <v>7625</v>
      </c>
      <c r="Q607" s="2" t="s">
        <v>5091</v>
      </c>
      <c r="R607" s="2" t="s">
        <v>5324</v>
      </c>
      <c r="S607" s="2"/>
    </row>
    <row r="608" spans="1:19" x14ac:dyDescent="0.2">
      <c r="A608" s="2">
        <v>501</v>
      </c>
      <c r="B608" s="6" t="s">
        <v>7626</v>
      </c>
      <c r="C608" s="2" t="s">
        <v>7627</v>
      </c>
      <c r="D608" s="2" t="s">
        <v>7628</v>
      </c>
      <c r="E608" s="2" t="s">
        <v>1267</v>
      </c>
      <c r="F608" s="2"/>
      <c r="G608" s="2"/>
      <c r="H608" s="2" t="s">
        <v>393</v>
      </c>
      <c r="I608" s="2" t="s">
        <v>491</v>
      </c>
      <c r="J608" s="2"/>
      <c r="K608" s="2"/>
      <c r="L608" s="2" t="s">
        <v>5345</v>
      </c>
      <c r="M608" s="2" t="s">
        <v>5079</v>
      </c>
      <c r="N608" s="2" t="s">
        <v>5325</v>
      </c>
      <c r="O608" s="2" t="s">
        <v>5335</v>
      </c>
      <c r="P608" s="2" t="s">
        <v>7519</v>
      </c>
      <c r="Q608" s="2" t="s">
        <v>5091</v>
      </c>
      <c r="R608" s="2" t="s">
        <v>5079</v>
      </c>
      <c r="S608" s="2"/>
    </row>
    <row r="609" spans="1:19" x14ac:dyDescent="0.2">
      <c r="A609" s="2">
        <v>502</v>
      </c>
      <c r="B609" s="6" t="s">
        <v>7629</v>
      </c>
      <c r="C609" s="2" t="s">
        <v>7630</v>
      </c>
      <c r="D609" s="2" t="s">
        <v>7631</v>
      </c>
      <c r="E609" s="2" t="s">
        <v>1275</v>
      </c>
      <c r="F609" s="2"/>
      <c r="G609" s="2"/>
      <c r="H609" s="2" t="s">
        <v>393</v>
      </c>
      <c r="I609" s="2" t="s">
        <v>491</v>
      </c>
      <c r="J609" s="2"/>
      <c r="K609" s="2"/>
      <c r="L609" s="2" t="s">
        <v>5345</v>
      </c>
      <c r="M609" s="2" t="s">
        <v>5079</v>
      </c>
      <c r="N609" s="2" t="s">
        <v>5325</v>
      </c>
      <c r="O609" s="2" t="s">
        <v>5335</v>
      </c>
      <c r="P609" s="2" t="s">
        <v>7632</v>
      </c>
      <c r="Q609" s="2" t="s">
        <v>5091</v>
      </c>
      <c r="R609" s="2" t="s">
        <v>5079</v>
      </c>
      <c r="S609" s="2"/>
    </row>
    <row r="610" spans="1:19" x14ac:dyDescent="0.2">
      <c r="A610" s="2">
        <v>503</v>
      </c>
      <c r="B610" s="6" t="s">
        <v>7633</v>
      </c>
      <c r="C610" s="2" t="s">
        <v>7634</v>
      </c>
      <c r="D610" s="2" t="s">
        <v>7635</v>
      </c>
      <c r="E610" s="2" t="s">
        <v>1275</v>
      </c>
      <c r="F610" s="2"/>
      <c r="G610" s="2"/>
      <c r="H610" s="2" t="s">
        <v>393</v>
      </c>
      <c r="I610" s="2" t="s">
        <v>491</v>
      </c>
      <c r="J610" s="2"/>
      <c r="K610" s="2"/>
      <c r="L610" s="2" t="s">
        <v>5345</v>
      </c>
      <c r="M610" s="2" t="s">
        <v>5965</v>
      </c>
      <c r="N610" s="2" t="s">
        <v>5325</v>
      </c>
      <c r="O610" s="2" t="s">
        <v>5335</v>
      </c>
      <c r="P610" s="2" t="s">
        <v>7636</v>
      </c>
      <c r="Q610" s="2" t="s">
        <v>5091</v>
      </c>
      <c r="R610" s="2" t="s">
        <v>5965</v>
      </c>
      <c r="S610" s="2"/>
    </row>
    <row r="611" spans="1:19" x14ac:dyDescent="0.2">
      <c r="A611" s="2">
        <v>504</v>
      </c>
      <c r="B611" s="6" t="s">
        <v>7637</v>
      </c>
      <c r="C611" s="2" t="s">
        <v>7638</v>
      </c>
      <c r="D611" s="2" t="s">
        <v>7639</v>
      </c>
      <c r="E611" s="2" t="s">
        <v>466</v>
      </c>
      <c r="F611" s="2"/>
      <c r="G611" s="2"/>
      <c r="H611" s="2" t="s">
        <v>393</v>
      </c>
      <c r="I611" s="2" t="s">
        <v>491</v>
      </c>
      <c r="J611" s="2"/>
      <c r="K611" s="2"/>
      <c r="L611" s="2" t="s">
        <v>5345</v>
      </c>
      <c r="M611" s="2" t="s">
        <v>5100</v>
      </c>
      <c r="N611" s="2" t="s">
        <v>5325</v>
      </c>
      <c r="O611" s="2" t="s">
        <v>5335</v>
      </c>
      <c r="P611" s="2" t="s">
        <v>7640</v>
      </c>
      <c r="Q611" s="2" t="s">
        <v>6990</v>
      </c>
      <c r="R611" s="2" t="s">
        <v>5994</v>
      </c>
      <c r="S611" s="2"/>
    </row>
    <row r="612" spans="1:19" x14ac:dyDescent="0.2">
      <c r="A612" s="2">
        <v>505</v>
      </c>
      <c r="B612" s="6" t="s">
        <v>7641</v>
      </c>
      <c r="C612" s="2" t="s">
        <v>7642</v>
      </c>
      <c r="D612" s="2" t="s">
        <v>7643</v>
      </c>
      <c r="E612" s="2" t="s">
        <v>2168</v>
      </c>
      <c r="F612" s="2"/>
      <c r="G612" s="2"/>
      <c r="H612" s="2" t="s">
        <v>393</v>
      </c>
      <c r="I612" s="2" t="s">
        <v>491</v>
      </c>
      <c r="J612" s="2" t="s">
        <v>6247</v>
      </c>
      <c r="K612" s="2"/>
      <c r="L612" s="2" t="s">
        <v>5345</v>
      </c>
      <c r="M612" s="2" t="s">
        <v>5079</v>
      </c>
      <c r="N612" s="2" t="s">
        <v>5325</v>
      </c>
      <c r="O612" s="2" t="s">
        <v>5335</v>
      </c>
      <c r="P612" s="2" t="s">
        <v>7644</v>
      </c>
      <c r="Q612" s="2" t="s">
        <v>5091</v>
      </c>
      <c r="R612" s="2" t="s">
        <v>5079</v>
      </c>
      <c r="S612" s="2"/>
    </row>
    <row r="613" spans="1:19" x14ac:dyDescent="0.2">
      <c r="A613" s="2">
        <v>506</v>
      </c>
      <c r="B613" s="6" t="s">
        <v>7645</v>
      </c>
      <c r="C613" s="2" t="s">
        <v>7646</v>
      </c>
      <c r="D613" s="2" t="s">
        <v>7647</v>
      </c>
      <c r="E613" s="2" t="s">
        <v>2169</v>
      </c>
      <c r="F613" s="2"/>
      <c r="G613" s="2"/>
      <c r="H613" s="2" t="s">
        <v>393</v>
      </c>
      <c r="I613" s="2" t="s">
        <v>491</v>
      </c>
      <c r="J613" s="2" t="s">
        <v>2454</v>
      </c>
      <c r="K613" s="2"/>
      <c r="L613" s="2" t="s">
        <v>5345</v>
      </c>
      <c r="M613" s="2" t="s">
        <v>5643</v>
      </c>
      <c r="N613" s="2" t="s">
        <v>5325</v>
      </c>
      <c r="O613" s="2" t="s">
        <v>5335</v>
      </c>
      <c r="P613" s="2" t="s">
        <v>7648</v>
      </c>
      <c r="Q613" s="2" t="s">
        <v>5091</v>
      </c>
      <c r="R613" s="2"/>
      <c r="S613" s="2"/>
    </row>
    <row r="614" spans="1:19" x14ac:dyDescent="0.2">
      <c r="A614" s="2">
        <v>507</v>
      </c>
      <c r="B614" s="6" t="s">
        <v>7649</v>
      </c>
      <c r="C614" s="2" t="s">
        <v>7650</v>
      </c>
      <c r="D614" s="2" t="s">
        <v>7651</v>
      </c>
      <c r="E614" s="2" t="s">
        <v>552</v>
      </c>
      <c r="F614" s="2"/>
      <c r="G614" s="2"/>
      <c r="H614" s="2" t="s">
        <v>393</v>
      </c>
      <c r="I614" s="2" t="s">
        <v>491</v>
      </c>
      <c r="J614" s="2" t="s">
        <v>5310</v>
      </c>
      <c r="K614" s="2"/>
      <c r="L614" s="2" t="s">
        <v>5345</v>
      </c>
      <c r="M614" s="2" t="s">
        <v>5643</v>
      </c>
      <c r="N614" s="2" t="s">
        <v>5325</v>
      </c>
      <c r="O614" s="2" t="s">
        <v>5335</v>
      </c>
      <c r="P614" s="2" t="s">
        <v>7652</v>
      </c>
      <c r="Q614" s="2"/>
      <c r="R614" s="2" t="s">
        <v>5643</v>
      </c>
      <c r="S614" s="2"/>
    </row>
    <row r="615" spans="1:19" x14ac:dyDescent="0.2">
      <c r="A615" s="2">
        <v>508</v>
      </c>
      <c r="B615" s="6" t="s">
        <v>7653</v>
      </c>
      <c r="C615" s="2" t="s">
        <v>7654</v>
      </c>
      <c r="D615" s="2" t="s">
        <v>7655</v>
      </c>
      <c r="E615" s="2" t="s">
        <v>1552</v>
      </c>
      <c r="F615" s="2"/>
      <c r="G615" s="2"/>
      <c r="H615" s="2" t="s">
        <v>393</v>
      </c>
      <c r="I615" s="2" t="s">
        <v>491</v>
      </c>
      <c r="J615" s="2" t="s">
        <v>7656</v>
      </c>
      <c r="K615" s="2"/>
      <c r="L615" s="2" t="s">
        <v>5345</v>
      </c>
      <c r="M615" s="2" t="s">
        <v>5100</v>
      </c>
      <c r="N615" s="2" t="s">
        <v>5325</v>
      </c>
      <c r="O615" s="2" t="s">
        <v>5335</v>
      </c>
      <c r="P615" s="2" t="s">
        <v>7657</v>
      </c>
      <c r="Q615" s="2" t="s">
        <v>5567</v>
      </c>
      <c r="R615" s="2" t="s">
        <v>5100</v>
      </c>
      <c r="S615" s="2" t="s">
        <v>7658</v>
      </c>
    </row>
    <row r="616" spans="1:19" x14ac:dyDescent="0.2">
      <c r="A616" s="2">
        <v>509</v>
      </c>
      <c r="B616" s="6" t="s">
        <v>7659</v>
      </c>
      <c r="C616" s="2" t="s">
        <v>7660</v>
      </c>
      <c r="D616" s="2" t="s">
        <v>7661</v>
      </c>
      <c r="E616" s="2" t="s">
        <v>751</v>
      </c>
      <c r="F616" s="2"/>
      <c r="G616" s="2"/>
      <c r="H616" s="2" t="s">
        <v>393</v>
      </c>
      <c r="I616" s="2" t="s">
        <v>491</v>
      </c>
      <c r="J616" s="2" t="s">
        <v>2454</v>
      </c>
      <c r="K616" s="2"/>
      <c r="L616" s="2" t="s">
        <v>5345</v>
      </c>
      <c r="M616" s="2" t="s">
        <v>5324</v>
      </c>
      <c r="N616" s="2" t="s">
        <v>5325</v>
      </c>
      <c r="O616" s="2" t="s">
        <v>5326</v>
      </c>
      <c r="P616" s="2" t="s">
        <v>7662</v>
      </c>
      <c r="Q616" s="2" t="s">
        <v>5091</v>
      </c>
      <c r="R616" s="2" t="s">
        <v>5324</v>
      </c>
      <c r="S616" s="2" t="s">
        <v>7515</v>
      </c>
    </row>
    <row r="617" spans="1:19" x14ac:dyDescent="0.2">
      <c r="A617" s="2">
        <v>510</v>
      </c>
      <c r="B617" s="6" t="s">
        <v>7663</v>
      </c>
      <c r="C617" s="2" t="s">
        <v>7664</v>
      </c>
      <c r="D617" s="2" t="s">
        <v>7665</v>
      </c>
      <c r="E617" s="2" t="s">
        <v>946</v>
      </c>
      <c r="F617" s="2"/>
      <c r="G617" s="2"/>
      <c r="H617" s="2" t="s">
        <v>393</v>
      </c>
      <c r="I617" s="2" t="s">
        <v>491</v>
      </c>
      <c r="J617" s="2"/>
      <c r="K617" s="2"/>
      <c r="L617" s="2" t="s">
        <v>5078</v>
      </c>
      <c r="M617" s="2" t="s">
        <v>5079</v>
      </c>
      <c r="N617" s="2" t="s">
        <v>5325</v>
      </c>
      <c r="O617" s="2" t="s">
        <v>5326</v>
      </c>
      <c r="P617" s="2" t="s">
        <v>7666</v>
      </c>
      <c r="Q617" s="2" t="s">
        <v>5091</v>
      </c>
      <c r="R617" s="2" t="s">
        <v>5079</v>
      </c>
      <c r="S617" s="2"/>
    </row>
    <row r="618" spans="1:19" x14ac:dyDescent="0.2">
      <c r="A618" s="2">
        <v>511</v>
      </c>
      <c r="B618" s="6" t="s">
        <v>7667</v>
      </c>
      <c r="C618" s="2" t="s">
        <v>7668</v>
      </c>
      <c r="D618" s="2" t="s">
        <v>7669</v>
      </c>
      <c r="E618" s="2" t="s">
        <v>946</v>
      </c>
      <c r="F618" s="2"/>
      <c r="G618" s="2"/>
      <c r="H618" s="2" t="s">
        <v>393</v>
      </c>
      <c r="I618" s="2" t="s">
        <v>491</v>
      </c>
      <c r="J618" s="2"/>
      <c r="K618" s="2"/>
      <c r="L618" s="2" t="s">
        <v>5345</v>
      </c>
      <c r="M618" s="2" t="s">
        <v>5079</v>
      </c>
      <c r="N618" s="2" t="s">
        <v>5325</v>
      </c>
      <c r="O618" s="2" t="s">
        <v>5335</v>
      </c>
      <c r="P618" s="2" t="s">
        <v>7670</v>
      </c>
      <c r="Q618" s="2" t="s">
        <v>5091</v>
      </c>
      <c r="R618" s="2" t="s">
        <v>5079</v>
      </c>
      <c r="S618" s="2"/>
    </row>
    <row r="619" spans="1:19" x14ac:dyDescent="0.2">
      <c r="A619" s="2">
        <v>512</v>
      </c>
      <c r="B619" s="6" t="s">
        <v>7671</v>
      </c>
      <c r="C619" s="2" t="s">
        <v>7672</v>
      </c>
      <c r="D619" s="2" t="s">
        <v>7673</v>
      </c>
      <c r="E619" s="2" t="s">
        <v>1002</v>
      </c>
      <c r="F619" s="2"/>
      <c r="G619" s="2"/>
      <c r="H619" s="2" t="s">
        <v>393</v>
      </c>
      <c r="I619" s="2" t="s">
        <v>491</v>
      </c>
      <c r="J619" s="2" t="s">
        <v>6247</v>
      </c>
      <c r="K619" s="2"/>
      <c r="L619" s="2" t="s">
        <v>5345</v>
      </c>
      <c r="M619" s="2" t="s">
        <v>5079</v>
      </c>
      <c r="N619" s="2" t="s">
        <v>5325</v>
      </c>
      <c r="O619" s="2" t="s">
        <v>5335</v>
      </c>
      <c r="P619" s="2" t="s">
        <v>7674</v>
      </c>
      <c r="Q619" s="2" t="s">
        <v>5091</v>
      </c>
      <c r="R619" s="2" t="s">
        <v>5079</v>
      </c>
      <c r="S619" s="2"/>
    </row>
    <row r="620" spans="1:19" x14ac:dyDescent="0.2">
      <c r="A620" s="2">
        <v>513</v>
      </c>
      <c r="B620" s="6" t="s">
        <v>7675</v>
      </c>
      <c r="C620" s="2" t="s">
        <v>7676</v>
      </c>
      <c r="D620" s="2" t="s">
        <v>7677</v>
      </c>
      <c r="E620" s="2" t="s">
        <v>1002</v>
      </c>
      <c r="F620" s="2"/>
      <c r="G620" s="2"/>
      <c r="H620" s="2" t="s">
        <v>393</v>
      </c>
      <c r="I620" s="2" t="s">
        <v>491</v>
      </c>
      <c r="J620" s="2"/>
      <c r="K620" s="2"/>
      <c r="L620" s="2" t="s">
        <v>5078</v>
      </c>
      <c r="M620" s="2" t="s">
        <v>5079</v>
      </c>
      <c r="N620" s="2" t="s">
        <v>5325</v>
      </c>
      <c r="O620" s="2" t="s">
        <v>5326</v>
      </c>
      <c r="P620" s="2" t="s">
        <v>7678</v>
      </c>
      <c r="Q620" s="2" t="s">
        <v>5091</v>
      </c>
      <c r="R620" s="2" t="s">
        <v>5079</v>
      </c>
      <c r="S620" s="2"/>
    </row>
    <row r="621" spans="1:19" x14ac:dyDescent="0.2">
      <c r="A621" s="2">
        <v>514</v>
      </c>
      <c r="B621" s="6" t="s">
        <v>7679</v>
      </c>
      <c r="C621" s="2" t="s">
        <v>7680</v>
      </c>
      <c r="D621" s="2" t="s">
        <v>7681</v>
      </c>
      <c r="E621" s="2" t="s">
        <v>2119</v>
      </c>
      <c r="F621" s="2" t="s">
        <v>658</v>
      </c>
      <c r="G621" s="2" t="s">
        <v>658</v>
      </c>
      <c r="H621" s="2" t="s">
        <v>393</v>
      </c>
      <c r="I621" s="2" t="s">
        <v>491</v>
      </c>
      <c r="J621" s="2" t="s">
        <v>6247</v>
      </c>
      <c r="K621" s="2"/>
      <c r="L621" s="2" t="s">
        <v>5078</v>
      </c>
      <c r="M621" s="2" t="s">
        <v>5079</v>
      </c>
      <c r="N621" s="2" t="s">
        <v>5325</v>
      </c>
      <c r="O621" s="2" t="s">
        <v>5326</v>
      </c>
      <c r="P621" s="2" t="s">
        <v>7682</v>
      </c>
      <c r="Q621" s="2" t="s">
        <v>5091</v>
      </c>
      <c r="R621" s="2" t="s">
        <v>5079</v>
      </c>
      <c r="S621" s="2"/>
    </row>
    <row r="622" spans="1:19" x14ac:dyDescent="0.2">
      <c r="A622" s="2">
        <v>515</v>
      </c>
      <c r="B622" s="6" t="s">
        <v>7683</v>
      </c>
      <c r="C622" s="2" t="s">
        <v>7684</v>
      </c>
      <c r="D622" s="2" t="s">
        <v>7685</v>
      </c>
      <c r="E622" s="2" t="s">
        <v>1756</v>
      </c>
      <c r="F622" s="2"/>
      <c r="G622" s="2"/>
      <c r="H622" s="2" t="s">
        <v>393</v>
      </c>
      <c r="I622" s="2" t="s">
        <v>491</v>
      </c>
      <c r="J622" s="2"/>
      <c r="K622" s="2"/>
      <c r="L622" s="2" t="s">
        <v>5078</v>
      </c>
      <c r="M622" s="2" t="s">
        <v>5079</v>
      </c>
      <c r="N622" s="2" t="s">
        <v>5325</v>
      </c>
      <c r="O622" s="2" t="s">
        <v>5326</v>
      </c>
      <c r="P622" s="2" t="s">
        <v>7686</v>
      </c>
      <c r="Q622" s="2" t="s">
        <v>5091</v>
      </c>
      <c r="R622" s="2" t="s">
        <v>5079</v>
      </c>
      <c r="S622" s="2"/>
    </row>
    <row r="623" spans="1:19" x14ac:dyDescent="0.2">
      <c r="A623" s="2">
        <v>516</v>
      </c>
      <c r="B623" s="6" t="s">
        <v>7687</v>
      </c>
      <c r="C623" s="2" t="s">
        <v>7688</v>
      </c>
      <c r="D623" s="2" t="s">
        <v>7689</v>
      </c>
      <c r="E623" s="2" t="s">
        <v>1017</v>
      </c>
      <c r="F623" s="2"/>
      <c r="G623" s="2"/>
      <c r="H623" s="2" t="s">
        <v>393</v>
      </c>
      <c r="I623" s="2" t="s">
        <v>491</v>
      </c>
      <c r="J623" s="2" t="s">
        <v>7690</v>
      </c>
      <c r="K623" s="2"/>
      <c r="L623" s="2" t="s">
        <v>5345</v>
      </c>
      <c r="M623" s="2" t="s">
        <v>5100</v>
      </c>
      <c r="N623" s="2" t="s">
        <v>5325</v>
      </c>
      <c r="O623" s="2" t="s">
        <v>6047</v>
      </c>
      <c r="P623" s="2" t="s">
        <v>7691</v>
      </c>
      <c r="Q623" s="2" t="s">
        <v>7692</v>
      </c>
      <c r="R623" s="2" t="s">
        <v>5079</v>
      </c>
      <c r="S623" s="2" t="s">
        <v>7515</v>
      </c>
    </row>
    <row r="624" spans="1:19" x14ac:dyDescent="0.2">
      <c r="A624" s="2">
        <v>517</v>
      </c>
      <c r="B624" s="6" t="s">
        <v>7693</v>
      </c>
      <c r="C624" s="2" t="s">
        <v>7694</v>
      </c>
      <c r="D624" s="2" t="s">
        <v>7695</v>
      </c>
      <c r="E624" s="2" t="s">
        <v>7696</v>
      </c>
      <c r="F624" s="2" t="s">
        <v>2502</v>
      </c>
      <c r="G624" s="2" t="s">
        <v>2502</v>
      </c>
      <c r="H624" s="2" t="s">
        <v>393</v>
      </c>
      <c r="I624" s="2" t="s">
        <v>491</v>
      </c>
      <c r="J624" s="2"/>
      <c r="K624" s="2"/>
      <c r="L624" s="2" t="s">
        <v>5345</v>
      </c>
      <c r="M624" s="2" t="s">
        <v>5100</v>
      </c>
      <c r="N624" s="2" t="s">
        <v>5325</v>
      </c>
      <c r="O624" s="2" t="s">
        <v>6176</v>
      </c>
      <c r="P624" s="2" t="s">
        <v>7697</v>
      </c>
      <c r="Q624" s="2"/>
      <c r="R624" s="2" t="s">
        <v>5994</v>
      </c>
      <c r="S624" s="2"/>
    </row>
    <row r="625" spans="1:19" x14ac:dyDescent="0.2">
      <c r="A625" s="2">
        <v>518</v>
      </c>
      <c r="B625" s="6" t="s">
        <v>7698</v>
      </c>
      <c r="C625" s="2" t="s">
        <v>7699</v>
      </c>
      <c r="D625" s="2" t="s">
        <v>7700</v>
      </c>
      <c r="E625" s="2" t="s">
        <v>778</v>
      </c>
      <c r="F625" s="2"/>
      <c r="G625" s="2"/>
      <c r="H625" s="2" t="s">
        <v>393</v>
      </c>
      <c r="I625" s="2" t="s">
        <v>491</v>
      </c>
      <c r="J625" s="2"/>
      <c r="K625" s="2"/>
      <c r="L625" s="2" t="s">
        <v>5345</v>
      </c>
      <c r="M625" s="2" t="s">
        <v>5100</v>
      </c>
      <c r="N625" s="2" t="s">
        <v>5325</v>
      </c>
      <c r="O625" s="2" t="s">
        <v>5335</v>
      </c>
      <c r="P625" s="2" t="s">
        <v>7701</v>
      </c>
      <c r="Q625" s="2"/>
      <c r="R625" s="2" t="s">
        <v>5994</v>
      </c>
      <c r="S625" s="2"/>
    </row>
    <row r="626" spans="1:19" x14ac:dyDescent="0.2">
      <c r="A626" s="2">
        <v>519</v>
      </c>
      <c r="B626" s="6" t="s">
        <v>7702</v>
      </c>
      <c r="C626" s="2" t="s">
        <v>7703</v>
      </c>
      <c r="D626" s="2" t="s">
        <v>7704</v>
      </c>
      <c r="E626" s="2" t="s">
        <v>558</v>
      </c>
      <c r="F626" s="2" t="s">
        <v>1280</v>
      </c>
      <c r="G626" s="2" t="s">
        <v>1280</v>
      </c>
      <c r="H626" s="2" t="s">
        <v>393</v>
      </c>
      <c r="I626" s="2" t="s">
        <v>491</v>
      </c>
      <c r="J626" s="2"/>
      <c r="K626" s="2"/>
      <c r="L626" s="2" t="s">
        <v>5345</v>
      </c>
      <c r="M626" s="2" t="s">
        <v>5079</v>
      </c>
      <c r="N626" s="2" t="s">
        <v>5325</v>
      </c>
      <c r="O626" s="2" t="s">
        <v>5330</v>
      </c>
      <c r="P626" s="2" t="s">
        <v>7705</v>
      </c>
      <c r="Q626" s="2"/>
      <c r="R626" s="2" t="s">
        <v>5079</v>
      </c>
      <c r="S626" s="2"/>
    </row>
    <row r="627" spans="1:19" x14ac:dyDescent="0.2">
      <c r="A627" s="2">
        <v>520</v>
      </c>
      <c r="B627" s="6" t="s">
        <v>7706</v>
      </c>
      <c r="C627" s="2" t="s">
        <v>7707</v>
      </c>
      <c r="D627" s="2" t="s">
        <v>7708</v>
      </c>
      <c r="E627" s="2" t="s">
        <v>569</v>
      </c>
      <c r="F627" s="2" t="s">
        <v>583</v>
      </c>
      <c r="G627" s="2" t="s">
        <v>583</v>
      </c>
      <c r="H627" s="2" t="s">
        <v>393</v>
      </c>
      <c r="I627" s="2" t="s">
        <v>491</v>
      </c>
      <c r="J627" s="2" t="s">
        <v>2454</v>
      </c>
      <c r="K627" s="2"/>
      <c r="L627" s="2" t="s">
        <v>5345</v>
      </c>
      <c r="M627" s="2" t="s">
        <v>5536</v>
      </c>
      <c r="N627" s="2" t="s">
        <v>5325</v>
      </c>
      <c r="O627" s="2" t="s">
        <v>5362</v>
      </c>
      <c r="P627" s="2" t="s">
        <v>7709</v>
      </c>
      <c r="Q627" s="2" t="s">
        <v>7710</v>
      </c>
      <c r="R627" s="2" t="s">
        <v>5536</v>
      </c>
      <c r="S627" s="2"/>
    </row>
    <row r="628" spans="1:19" x14ac:dyDescent="0.2">
      <c r="A628" s="2">
        <v>521</v>
      </c>
      <c r="B628" s="6" t="s">
        <v>7711</v>
      </c>
      <c r="C628" s="2" t="s">
        <v>7712</v>
      </c>
      <c r="D628" s="2" t="s">
        <v>7713</v>
      </c>
      <c r="E628" s="2" t="s">
        <v>885</v>
      </c>
      <c r="F628" s="2"/>
      <c r="G628" s="2"/>
      <c r="H628" s="2" t="s">
        <v>393</v>
      </c>
      <c r="I628" s="2" t="s">
        <v>491</v>
      </c>
      <c r="J628" s="2" t="s">
        <v>2454</v>
      </c>
      <c r="K628" s="2"/>
      <c r="L628" s="2" t="s">
        <v>5078</v>
      </c>
      <c r="M628" s="2" t="s">
        <v>5079</v>
      </c>
      <c r="N628" s="2" t="s">
        <v>5325</v>
      </c>
      <c r="O628" s="2" t="s">
        <v>5362</v>
      </c>
      <c r="P628" s="2" t="s">
        <v>7714</v>
      </c>
      <c r="Q628" s="2" t="s">
        <v>5091</v>
      </c>
      <c r="R628" s="2" t="s">
        <v>5079</v>
      </c>
      <c r="S628" s="2"/>
    </row>
    <row r="629" spans="1:19" x14ac:dyDescent="0.2">
      <c r="A629" s="2">
        <v>572</v>
      </c>
      <c r="B629" s="6" t="s">
        <v>7715</v>
      </c>
      <c r="C629" s="2" t="s">
        <v>7716</v>
      </c>
      <c r="D629" s="2" t="s">
        <v>7717</v>
      </c>
      <c r="E629" s="2" t="s">
        <v>1212</v>
      </c>
      <c r="F629" s="2" t="s">
        <v>816</v>
      </c>
      <c r="G629" s="2" t="s">
        <v>816</v>
      </c>
      <c r="H629" s="2" t="s">
        <v>393</v>
      </c>
      <c r="I629" s="2" t="s">
        <v>453</v>
      </c>
      <c r="J629" s="2"/>
      <c r="K629" s="2"/>
      <c r="L629" s="2" t="s">
        <v>5345</v>
      </c>
      <c r="M629" s="2" t="s">
        <v>5324</v>
      </c>
      <c r="N629" s="2" t="s">
        <v>5325</v>
      </c>
      <c r="O629" s="2" t="s">
        <v>5335</v>
      </c>
      <c r="P629" s="2" t="s">
        <v>7718</v>
      </c>
      <c r="Q629" s="2" t="s">
        <v>5091</v>
      </c>
      <c r="R629" s="2" t="s">
        <v>5324</v>
      </c>
      <c r="S629" s="2"/>
    </row>
    <row r="630" spans="1:19" x14ac:dyDescent="0.2">
      <c r="A630" s="2">
        <v>836</v>
      </c>
      <c r="B630" s="6" t="s">
        <v>7719</v>
      </c>
      <c r="C630" s="2" t="s">
        <v>7720</v>
      </c>
      <c r="D630" s="2" t="s">
        <v>7721</v>
      </c>
      <c r="E630" s="2" t="s">
        <v>2061</v>
      </c>
      <c r="F630" s="2"/>
      <c r="G630" s="2"/>
      <c r="H630" s="2" t="s">
        <v>393</v>
      </c>
      <c r="I630" s="2" t="s">
        <v>453</v>
      </c>
      <c r="J630" s="2"/>
      <c r="K630" s="2"/>
      <c r="L630" s="2" t="s">
        <v>5078</v>
      </c>
      <c r="M630" s="2" t="s">
        <v>5367</v>
      </c>
      <c r="N630" s="2" t="s">
        <v>5325</v>
      </c>
      <c r="O630" s="2" t="s">
        <v>5335</v>
      </c>
      <c r="P630" s="2" t="s">
        <v>7722</v>
      </c>
      <c r="Q630" s="2" t="s">
        <v>5091</v>
      </c>
      <c r="R630" s="2" t="s">
        <v>5367</v>
      </c>
      <c r="S630" s="2"/>
    </row>
    <row r="631" spans="1:19" x14ac:dyDescent="0.2">
      <c r="A631" s="2">
        <v>1066</v>
      </c>
      <c r="B631" s="6" t="s">
        <v>7723</v>
      </c>
      <c r="C631" s="2" t="s">
        <v>7724</v>
      </c>
      <c r="D631" s="2" t="s">
        <v>7725</v>
      </c>
      <c r="E631" s="2" t="s">
        <v>885</v>
      </c>
      <c r="F631" s="2"/>
      <c r="G631" s="2"/>
      <c r="H631" s="2" t="s">
        <v>393</v>
      </c>
      <c r="I631" s="2" t="s">
        <v>659</v>
      </c>
      <c r="J631" s="2"/>
      <c r="K631" s="2"/>
      <c r="L631" s="2" t="s">
        <v>5078</v>
      </c>
      <c r="M631" s="2" t="s">
        <v>7726</v>
      </c>
      <c r="N631" s="2" t="s">
        <v>5325</v>
      </c>
      <c r="O631" s="2" t="s">
        <v>5335</v>
      </c>
      <c r="P631" s="2" t="s">
        <v>7727</v>
      </c>
      <c r="Q631" s="2" t="s">
        <v>5091</v>
      </c>
      <c r="R631" s="2" t="s">
        <v>5218</v>
      </c>
      <c r="S631" s="2"/>
    </row>
    <row r="632" spans="1:19" x14ac:dyDescent="0.2">
      <c r="A632" s="2">
        <v>1068</v>
      </c>
      <c r="B632" s="6" t="s">
        <v>7728</v>
      </c>
      <c r="C632" s="2" t="s">
        <v>7729</v>
      </c>
      <c r="D632" s="2" t="s">
        <v>7730</v>
      </c>
      <c r="E632" s="2" t="s">
        <v>2168</v>
      </c>
      <c r="F632" s="2"/>
      <c r="G632" s="2"/>
      <c r="H632" s="2" t="s">
        <v>393</v>
      </c>
      <c r="I632" s="2" t="s">
        <v>5344</v>
      </c>
      <c r="J632" s="2"/>
      <c r="K632" s="2"/>
      <c r="L632" s="2" t="s">
        <v>5078</v>
      </c>
      <c r="M632" s="2" t="s">
        <v>7731</v>
      </c>
      <c r="N632" s="2" t="s">
        <v>5325</v>
      </c>
      <c r="O632" s="2" t="s">
        <v>5335</v>
      </c>
      <c r="P632" s="2" t="s">
        <v>7732</v>
      </c>
      <c r="Q632" s="2" t="s">
        <v>5123</v>
      </c>
      <c r="R632" s="2" t="s">
        <v>5218</v>
      </c>
      <c r="S632" s="2"/>
    </row>
    <row r="633" spans="1:19" x14ac:dyDescent="0.2">
      <c r="A633" s="2">
        <v>1069</v>
      </c>
      <c r="B633" s="6" t="s">
        <v>7733</v>
      </c>
      <c r="C633" s="2" t="s">
        <v>7734</v>
      </c>
      <c r="D633" s="2" t="s">
        <v>7735</v>
      </c>
      <c r="E633" s="2" t="s">
        <v>2714</v>
      </c>
      <c r="F633" s="2"/>
      <c r="G633" s="2"/>
      <c r="H633" s="2" t="s">
        <v>393</v>
      </c>
      <c r="I633" s="2" t="s">
        <v>7736</v>
      </c>
      <c r="J633" s="2"/>
      <c r="K633" s="2"/>
      <c r="L633" s="2" t="s">
        <v>5078</v>
      </c>
      <c r="M633" s="2" t="s">
        <v>7737</v>
      </c>
      <c r="N633" s="2" t="s">
        <v>5325</v>
      </c>
      <c r="O633" s="2" t="s">
        <v>5335</v>
      </c>
      <c r="P633" s="2" t="s">
        <v>7738</v>
      </c>
      <c r="Q633" s="2"/>
      <c r="R633" s="2" t="s">
        <v>5218</v>
      </c>
      <c r="S633" s="2"/>
    </row>
    <row r="634" spans="1:19" x14ac:dyDescent="0.2">
      <c r="A634" s="2">
        <v>1070</v>
      </c>
      <c r="B634" s="6" t="s">
        <v>7739</v>
      </c>
      <c r="C634" s="2" t="s">
        <v>7740</v>
      </c>
      <c r="D634" s="2" t="s">
        <v>7741</v>
      </c>
      <c r="E634" s="2" t="s">
        <v>2370</v>
      </c>
      <c r="F634" s="2"/>
      <c r="G634" s="2"/>
      <c r="H634" s="2" t="s">
        <v>393</v>
      </c>
      <c r="I634" s="2" t="s">
        <v>7523</v>
      </c>
      <c r="J634" s="2"/>
      <c r="K634" s="2"/>
      <c r="L634" s="2" t="s">
        <v>5087</v>
      </c>
      <c r="M634" s="2" t="s">
        <v>5218</v>
      </c>
      <c r="N634" s="2" t="s">
        <v>5325</v>
      </c>
      <c r="O634" s="2" t="s">
        <v>5335</v>
      </c>
      <c r="P634" s="2" t="s">
        <v>7742</v>
      </c>
      <c r="Q634" s="2" t="s">
        <v>5091</v>
      </c>
      <c r="R634" s="2" t="s">
        <v>5218</v>
      </c>
      <c r="S634" s="2"/>
    </row>
    <row r="635" spans="1:19" x14ac:dyDescent="0.2">
      <c r="A635" s="2">
        <v>1071</v>
      </c>
      <c r="B635" s="6" t="s">
        <v>7743</v>
      </c>
      <c r="C635" s="2" t="s">
        <v>7744</v>
      </c>
      <c r="D635" s="2" t="s">
        <v>7745</v>
      </c>
      <c r="E635" s="2" t="s">
        <v>7746</v>
      </c>
      <c r="F635" s="2"/>
      <c r="G635" s="2"/>
      <c r="H635" s="2" t="s">
        <v>393</v>
      </c>
      <c r="I635" s="2" t="s">
        <v>7523</v>
      </c>
      <c r="J635" s="2"/>
      <c r="K635" s="2"/>
      <c r="L635" s="2" t="s">
        <v>5087</v>
      </c>
      <c r="M635" s="2" t="s">
        <v>7747</v>
      </c>
      <c r="N635" s="2" t="s">
        <v>5325</v>
      </c>
      <c r="O635" s="2" t="s">
        <v>5335</v>
      </c>
      <c r="P635" s="2" t="s">
        <v>7748</v>
      </c>
      <c r="Q635" s="2" t="s">
        <v>5091</v>
      </c>
      <c r="R635" s="2" t="s">
        <v>7747</v>
      </c>
      <c r="S635" s="2"/>
    </row>
    <row r="636" spans="1:19" x14ac:dyDescent="0.2">
      <c r="A636" s="2">
        <v>1072</v>
      </c>
      <c r="B636" s="6" t="s">
        <v>7749</v>
      </c>
      <c r="C636" s="2" t="s">
        <v>7750</v>
      </c>
      <c r="D636" s="2" t="s">
        <v>7751</v>
      </c>
      <c r="E636" s="2" t="s">
        <v>7752</v>
      </c>
      <c r="F636" s="2" t="s">
        <v>67</v>
      </c>
      <c r="G636" s="2" t="s">
        <v>2960</v>
      </c>
      <c r="H636" s="2" t="s">
        <v>393</v>
      </c>
      <c r="I636" s="2" t="s">
        <v>491</v>
      </c>
      <c r="J636" s="2" t="s">
        <v>7690</v>
      </c>
      <c r="K636" s="2"/>
      <c r="L636" s="2" t="s">
        <v>5345</v>
      </c>
      <c r="M636" s="2" t="s">
        <v>5240</v>
      </c>
      <c r="N636" s="2" t="s">
        <v>5325</v>
      </c>
      <c r="O636" s="2" t="s">
        <v>5335</v>
      </c>
      <c r="P636" s="2" t="s">
        <v>7753</v>
      </c>
      <c r="Q636" s="2" t="s">
        <v>5235</v>
      </c>
      <c r="R636" s="2" t="s">
        <v>5240</v>
      </c>
      <c r="S636" s="2"/>
    </row>
    <row r="637" spans="1:19" x14ac:dyDescent="0.2">
      <c r="A637" s="2">
        <v>1073</v>
      </c>
      <c r="B637" s="6" t="s">
        <v>7754</v>
      </c>
      <c r="C637" s="2" t="s">
        <v>7755</v>
      </c>
      <c r="D637" s="2" t="s">
        <v>7756</v>
      </c>
      <c r="E637" s="2" t="s">
        <v>2136</v>
      </c>
      <c r="F637" s="2" t="s">
        <v>1043</v>
      </c>
      <c r="G637" s="2" t="s">
        <v>1043</v>
      </c>
      <c r="H637" s="2" t="s">
        <v>393</v>
      </c>
      <c r="I637" s="2" t="s">
        <v>491</v>
      </c>
      <c r="J637" s="2" t="s">
        <v>6247</v>
      </c>
      <c r="K637" s="2"/>
      <c r="L637" s="2" t="s">
        <v>5078</v>
      </c>
      <c r="M637" s="2" t="s">
        <v>5218</v>
      </c>
      <c r="N637" s="2" t="s">
        <v>5325</v>
      </c>
      <c r="O637" s="2" t="s">
        <v>5330</v>
      </c>
      <c r="P637" s="2" t="s">
        <v>7757</v>
      </c>
      <c r="Q637" s="2" t="s">
        <v>5091</v>
      </c>
      <c r="R637" s="2" t="s">
        <v>5218</v>
      </c>
      <c r="S637" s="2"/>
    </row>
    <row r="638" spans="1:19" x14ac:dyDescent="0.2">
      <c r="A638" s="2">
        <v>1074</v>
      </c>
      <c r="B638" s="6" t="s">
        <v>7758</v>
      </c>
      <c r="C638" s="2" t="s">
        <v>7759</v>
      </c>
      <c r="D638" s="2" t="s">
        <v>7760</v>
      </c>
      <c r="E638" s="2" t="s">
        <v>1692</v>
      </c>
      <c r="F638" s="2" t="s">
        <v>2519</v>
      </c>
      <c r="G638" s="2" t="s">
        <v>2519</v>
      </c>
      <c r="H638" s="2" t="s">
        <v>393</v>
      </c>
      <c r="I638" s="2" t="s">
        <v>7761</v>
      </c>
      <c r="J638" s="2"/>
      <c r="K638" s="2"/>
      <c r="L638" s="2" t="s">
        <v>5087</v>
      </c>
      <c r="M638" s="2" t="s">
        <v>5240</v>
      </c>
      <c r="N638" s="2" t="s">
        <v>5325</v>
      </c>
      <c r="O638" s="2" t="s">
        <v>5335</v>
      </c>
      <c r="P638" s="2" t="s">
        <v>7762</v>
      </c>
      <c r="Q638" s="2" t="s">
        <v>7763</v>
      </c>
      <c r="R638" s="2" t="s">
        <v>5240</v>
      </c>
      <c r="S638" s="2" t="s">
        <v>5236</v>
      </c>
    </row>
    <row r="639" spans="1:19" x14ac:dyDescent="0.2">
      <c r="A639" s="2">
        <v>1080</v>
      </c>
      <c r="B639" s="6" t="s">
        <v>7764</v>
      </c>
      <c r="C639" s="2" t="s">
        <v>7765</v>
      </c>
      <c r="D639" s="2" t="s">
        <v>7766</v>
      </c>
      <c r="E639" s="2" t="s">
        <v>683</v>
      </c>
      <c r="F639" s="2"/>
      <c r="G639" s="2"/>
      <c r="H639" s="2" t="s">
        <v>393</v>
      </c>
      <c r="I639" s="2" t="s">
        <v>5412</v>
      </c>
      <c r="J639" s="2"/>
      <c r="K639" s="6" t="s">
        <v>7767</v>
      </c>
      <c r="L639" s="2" t="s">
        <v>5078</v>
      </c>
      <c r="M639" s="2" t="s">
        <v>5240</v>
      </c>
      <c r="N639" s="2" t="s">
        <v>5325</v>
      </c>
      <c r="O639" s="2" t="s">
        <v>5335</v>
      </c>
      <c r="P639" s="2" t="s">
        <v>7768</v>
      </c>
      <c r="Q639" s="2" t="s">
        <v>7769</v>
      </c>
      <c r="R639" s="2" t="s">
        <v>5240</v>
      </c>
      <c r="S639" s="2" t="s">
        <v>7770</v>
      </c>
    </row>
    <row r="640" spans="1:19" x14ac:dyDescent="0.2">
      <c r="A640" s="2">
        <v>1081</v>
      </c>
      <c r="B640" s="6" t="s">
        <v>7771</v>
      </c>
      <c r="C640" s="2" t="s">
        <v>7772</v>
      </c>
      <c r="D640" s="2" t="s">
        <v>7773</v>
      </c>
      <c r="E640" s="2" t="s">
        <v>1692</v>
      </c>
      <c r="F640" s="2" t="s">
        <v>2519</v>
      </c>
      <c r="G640" s="2" t="s">
        <v>2519</v>
      </c>
      <c r="H640" s="2" t="s">
        <v>393</v>
      </c>
      <c r="I640" s="2" t="s">
        <v>7774</v>
      </c>
      <c r="J640" s="2" t="s">
        <v>7775</v>
      </c>
      <c r="K640" s="2"/>
      <c r="L640" s="2" t="s">
        <v>5387</v>
      </c>
      <c r="M640" s="2" t="s">
        <v>5240</v>
      </c>
      <c r="N640" s="2" t="s">
        <v>5325</v>
      </c>
      <c r="O640" s="2" t="s">
        <v>5330</v>
      </c>
      <c r="P640" s="2" t="s">
        <v>7776</v>
      </c>
      <c r="Q640" s="2" t="s">
        <v>7769</v>
      </c>
      <c r="R640" s="2" t="s">
        <v>5240</v>
      </c>
      <c r="S640" s="2"/>
    </row>
    <row r="641" spans="1:19" x14ac:dyDescent="0.2">
      <c r="A641" s="2">
        <v>1090</v>
      </c>
      <c r="B641" s="6" t="s">
        <v>7777</v>
      </c>
      <c r="C641" s="2" t="s">
        <v>7778</v>
      </c>
      <c r="D641" s="2" t="s">
        <v>7779</v>
      </c>
      <c r="E641" s="2" t="s">
        <v>2169</v>
      </c>
      <c r="F641" s="2"/>
      <c r="G641" s="2"/>
      <c r="H641" s="2" t="s">
        <v>393</v>
      </c>
      <c r="I641" s="2" t="s">
        <v>453</v>
      </c>
      <c r="J641" s="2"/>
      <c r="K641" s="2"/>
      <c r="L641" s="2" t="s">
        <v>5078</v>
      </c>
      <c r="M641" s="2" t="s">
        <v>7780</v>
      </c>
      <c r="N641" s="2" t="s">
        <v>5325</v>
      </c>
      <c r="O641" s="2" t="s">
        <v>5326</v>
      </c>
      <c r="P641" s="2" t="s">
        <v>7781</v>
      </c>
      <c r="Q641" s="2" t="s">
        <v>5091</v>
      </c>
      <c r="R641" s="2" t="s">
        <v>7780</v>
      </c>
      <c r="S641" s="2"/>
    </row>
    <row r="642" spans="1:19" x14ac:dyDescent="0.2">
      <c r="A642" s="2">
        <v>1096</v>
      </c>
      <c r="B642" s="6" t="s">
        <v>7782</v>
      </c>
      <c r="C642" s="2" t="s">
        <v>7783</v>
      </c>
      <c r="D642" s="2" t="s">
        <v>7784</v>
      </c>
      <c r="E642" s="2" t="s">
        <v>1692</v>
      </c>
      <c r="F642" s="2" t="s">
        <v>1062</v>
      </c>
      <c r="G642" s="2" t="s">
        <v>1062</v>
      </c>
      <c r="H642" s="2" t="s">
        <v>393</v>
      </c>
      <c r="I642" s="2" t="s">
        <v>453</v>
      </c>
      <c r="J642" s="2"/>
      <c r="K642" s="2"/>
      <c r="L642" s="2" t="s">
        <v>5345</v>
      </c>
      <c r="M642" s="2" t="s">
        <v>7785</v>
      </c>
      <c r="N642" s="2" t="s">
        <v>5325</v>
      </c>
      <c r="O642" s="2" t="s">
        <v>5335</v>
      </c>
      <c r="P642" s="2" t="s">
        <v>7786</v>
      </c>
      <c r="Q642" s="2" t="s">
        <v>5091</v>
      </c>
      <c r="R642" s="2" t="s">
        <v>5218</v>
      </c>
      <c r="S642" s="2"/>
    </row>
    <row r="643" spans="1:19" x14ac:dyDescent="0.2">
      <c r="A643" s="2">
        <v>1097</v>
      </c>
      <c r="B643" s="6" t="s">
        <v>7787</v>
      </c>
      <c r="C643" s="2" t="s">
        <v>7788</v>
      </c>
      <c r="D643" s="2" t="s">
        <v>7789</v>
      </c>
      <c r="E643" s="2" t="s">
        <v>927</v>
      </c>
      <c r="F643" s="2" t="s">
        <v>973</v>
      </c>
      <c r="G643" s="2" t="s">
        <v>973</v>
      </c>
      <c r="H643" s="2" t="s">
        <v>393</v>
      </c>
      <c r="I643" s="2" t="s">
        <v>453</v>
      </c>
      <c r="J643" s="2"/>
      <c r="K643" s="2"/>
      <c r="L643" s="2" t="s">
        <v>5078</v>
      </c>
      <c r="M643" s="2" t="s">
        <v>7790</v>
      </c>
      <c r="N643" s="2" t="s">
        <v>5325</v>
      </c>
      <c r="O643" s="2" t="s">
        <v>5326</v>
      </c>
      <c r="P643" s="2" t="s">
        <v>7791</v>
      </c>
      <c r="Q643" s="2"/>
      <c r="R643" s="2" t="s">
        <v>5218</v>
      </c>
      <c r="S643" s="2"/>
    </row>
    <row r="644" spans="1:19" x14ac:dyDescent="0.2">
      <c r="A644" s="2">
        <v>1098</v>
      </c>
      <c r="B644" s="6" t="s">
        <v>7792</v>
      </c>
      <c r="C644" s="2" t="s">
        <v>7793</v>
      </c>
      <c r="D644" s="2" t="s">
        <v>7794</v>
      </c>
      <c r="E644" s="2" t="s">
        <v>1031</v>
      </c>
      <c r="F644" s="2"/>
      <c r="G644" s="2"/>
      <c r="H644" s="2" t="s">
        <v>393</v>
      </c>
      <c r="I644" s="2" t="s">
        <v>453</v>
      </c>
      <c r="J644" s="2"/>
      <c r="K644" s="2"/>
      <c r="L644" s="2" t="s">
        <v>5345</v>
      </c>
      <c r="M644" s="2" t="s">
        <v>5965</v>
      </c>
      <c r="N644" s="2" t="s">
        <v>5325</v>
      </c>
      <c r="O644" s="2" t="s">
        <v>5335</v>
      </c>
      <c r="P644" s="2" t="s">
        <v>7795</v>
      </c>
      <c r="Q644" s="2" t="s">
        <v>5091</v>
      </c>
      <c r="R644" s="2" t="s">
        <v>7796</v>
      </c>
      <c r="S644" s="2"/>
    </row>
    <row r="645" spans="1:19" x14ac:dyDescent="0.2">
      <c r="A645" s="2">
        <v>1099</v>
      </c>
      <c r="B645" s="6" t="s">
        <v>7797</v>
      </c>
      <c r="C645" s="2" t="s">
        <v>7798</v>
      </c>
      <c r="D645" s="2" t="s">
        <v>7799</v>
      </c>
      <c r="E645" s="2" t="s">
        <v>7746</v>
      </c>
      <c r="F645" s="2"/>
      <c r="G645" s="2"/>
      <c r="H645" s="2" t="s">
        <v>393</v>
      </c>
      <c r="I645" s="2" t="s">
        <v>453</v>
      </c>
      <c r="J645" s="2" t="s">
        <v>6247</v>
      </c>
      <c r="K645" s="2"/>
      <c r="L645" s="2" t="s">
        <v>5345</v>
      </c>
      <c r="M645" s="2" t="s">
        <v>5218</v>
      </c>
      <c r="N645" s="2" t="s">
        <v>5325</v>
      </c>
      <c r="O645" s="2" t="s">
        <v>5335</v>
      </c>
      <c r="P645" s="2" t="s">
        <v>7781</v>
      </c>
      <c r="Q645" s="2" t="s">
        <v>5091</v>
      </c>
      <c r="R645" s="2" t="s">
        <v>5218</v>
      </c>
      <c r="S645" s="2"/>
    </row>
    <row r="646" spans="1:19" x14ac:dyDescent="0.2">
      <c r="A646" s="2">
        <v>1100</v>
      </c>
      <c r="B646" s="6" t="s">
        <v>7800</v>
      </c>
      <c r="C646" s="2" t="s">
        <v>7801</v>
      </c>
      <c r="D646" s="2" t="s">
        <v>7802</v>
      </c>
      <c r="E646" s="2" t="s">
        <v>3046</v>
      </c>
      <c r="F646" s="2"/>
      <c r="G646" s="2"/>
      <c r="H646" s="2" t="s">
        <v>393</v>
      </c>
      <c r="I646" s="2" t="s">
        <v>453</v>
      </c>
      <c r="J646" s="2"/>
      <c r="K646" s="2"/>
      <c r="L646" s="2" t="s">
        <v>5334</v>
      </c>
      <c r="M646" s="2" t="s">
        <v>7803</v>
      </c>
      <c r="N646" s="2" t="s">
        <v>5325</v>
      </c>
      <c r="O646" s="2" t="s">
        <v>5335</v>
      </c>
      <c r="P646" s="2" t="s">
        <v>7804</v>
      </c>
      <c r="Q646" s="2"/>
      <c r="R646" s="2" t="s">
        <v>7805</v>
      </c>
      <c r="S646" s="2"/>
    </row>
    <row r="647" spans="1:19" x14ac:dyDescent="0.2">
      <c r="A647" s="2">
        <v>1101</v>
      </c>
      <c r="B647" s="6" t="s">
        <v>7806</v>
      </c>
      <c r="C647" s="2" t="s">
        <v>7807</v>
      </c>
      <c r="D647" s="2" t="s">
        <v>7808</v>
      </c>
      <c r="E647" s="2" t="s">
        <v>705</v>
      </c>
      <c r="F647" s="2" t="s">
        <v>671</v>
      </c>
      <c r="G647" s="2" t="s">
        <v>705</v>
      </c>
      <c r="H647" s="2" t="s">
        <v>393</v>
      </c>
      <c r="I647" s="2" t="s">
        <v>453</v>
      </c>
      <c r="J647" s="2"/>
      <c r="K647" s="2"/>
      <c r="L647" s="2" t="s">
        <v>5387</v>
      </c>
      <c r="M647" s="2" t="s">
        <v>7809</v>
      </c>
      <c r="N647" s="2" t="s">
        <v>5325</v>
      </c>
      <c r="O647" s="2" t="s">
        <v>5335</v>
      </c>
      <c r="P647" s="2" t="s">
        <v>7810</v>
      </c>
      <c r="Q647" s="2" t="s">
        <v>7811</v>
      </c>
      <c r="R647" s="2" t="s">
        <v>7812</v>
      </c>
      <c r="S647" s="2"/>
    </row>
    <row r="648" spans="1:19" x14ac:dyDescent="0.2">
      <c r="A648" s="2">
        <v>1102</v>
      </c>
      <c r="B648" s="6" t="s">
        <v>7813</v>
      </c>
      <c r="C648" s="2" t="s">
        <v>7814</v>
      </c>
      <c r="D648" s="2" t="s">
        <v>7815</v>
      </c>
      <c r="E648" s="2" t="s">
        <v>4180</v>
      </c>
      <c r="F648" s="2"/>
      <c r="G648" s="2"/>
      <c r="H648" s="2" t="s">
        <v>393</v>
      </c>
      <c r="I648" s="2" t="s">
        <v>453</v>
      </c>
      <c r="J648" s="2"/>
      <c r="K648" s="2"/>
      <c r="L648" s="2" t="s">
        <v>5078</v>
      </c>
      <c r="M648" s="2" t="s">
        <v>7790</v>
      </c>
      <c r="N648" s="2" t="s">
        <v>5325</v>
      </c>
      <c r="O648" s="2" t="s">
        <v>5326</v>
      </c>
      <c r="P648" s="2" t="s">
        <v>7816</v>
      </c>
      <c r="Q648" s="2" t="s">
        <v>5091</v>
      </c>
      <c r="R648" s="2" t="s">
        <v>7817</v>
      </c>
      <c r="S648" s="2"/>
    </row>
    <row r="649" spans="1:19" x14ac:dyDescent="0.2">
      <c r="A649" s="2">
        <v>1103</v>
      </c>
      <c r="B649" s="6" t="s">
        <v>7818</v>
      </c>
      <c r="C649" s="2" t="s">
        <v>7819</v>
      </c>
      <c r="D649" s="2" t="s">
        <v>7820</v>
      </c>
      <c r="E649" s="2" t="s">
        <v>7821</v>
      </c>
      <c r="F649" s="2" t="s">
        <v>7696</v>
      </c>
      <c r="G649" s="2" t="s">
        <v>7696</v>
      </c>
      <c r="H649" s="2" t="s">
        <v>393</v>
      </c>
      <c r="I649" s="2" t="s">
        <v>453</v>
      </c>
      <c r="J649" s="2"/>
      <c r="K649" s="2"/>
      <c r="L649" s="2" t="s">
        <v>5078</v>
      </c>
      <c r="M649" s="2" t="s">
        <v>7822</v>
      </c>
      <c r="N649" s="2" t="s">
        <v>5325</v>
      </c>
      <c r="O649" s="2" t="s">
        <v>5326</v>
      </c>
      <c r="P649" s="2" t="s">
        <v>7823</v>
      </c>
      <c r="Q649" s="2" t="s">
        <v>5091</v>
      </c>
      <c r="R649" s="2" t="s">
        <v>7824</v>
      </c>
      <c r="S649" s="2"/>
    </row>
    <row r="650" spans="1:19" x14ac:dyDescent="0.2">
      <c r="A650" s="2">
        <v>1104</v>
      </c>
      <c r="B650" s="6" t="s">
        <v>7825</v>
      </c>
      <c r="C650" s="2" t="s">
        <v>7826</v>
      </c>
      <c r="D650" s="2" t="s">
        <v>7827</v>
      </c>
      <c r="E650" s="2" t="s">
        <v>979</v>
      </c>
      <c r="F650" s="2" t="s">
        <v>7828</v>
      </c>
      <c r="G650" s="2" t="s">
        <v>7828</v>
      </c>
      <c r="H650" s="2" t="s">
        <v>393</v>
      </c>
      <c r="I650" s="2" t="s">
        <v>453</v>
      </c>
      <c r="J650" s="2"/>
      <c r="K650" s="2"/>
      <c r="L650" s="2" t="s">
        <v>5387</v>
      </c>
      <c r="M650" s="2" t="s">
        <v>7822</v>
      </c>
      <c r="N650" s="2" t="s">
        <v>5325</v>
      </c>
      <c r="O650" s="2" t="s">
        <v>5326</v>
      </c>
      <c r="P650" s="2" t="s">
        <v>7829</v>
      </c>
      <c r="Q650" s="2" t="s">
        <v>7830</v>
      </c>
      <c r="R650" s="2" t="s">
        <v>7824</v>
      </c>
      <c r="S650" s="2"/>
    </row>
    <row r="651" spans="1:19" x14ac:dyDescent="0.2">
      <c r="A651" s="2">
        <v>1131</v>
      </c>
      <c r="B651" s="6" t="s">
        <v>7831</v>
      </c>
      <c r="C651" s="2" t="s">
        <v>7832</v>
      </c>
      <c r="D651" s="2" t="s">
        <v>7833</v>
      </c>
      <c r="E651" s="2" t="s">
        <v>77</v>
      </c>
      <c r="F651" s="2" t="s">
        <v>77</v>
      </c>
      <c r="G651" s="2" t="s">
        <v>77</v>
      </c>
      <c r="H651" s="2" t="s">
        <v>393</v>
      </c>
      <c r="I651" s="2" t="s">
        <v>7834</v>
      </c>
      <c r="J651" s="2"/>
      <c r="K651" s="2"/>
      <c r="L651" s="2" t="s">
        <v>5387</v>
      </c>
      <c r="M651" s="2" t="s">
        <v>7822</v>
      </c>
      <c r="N651" s="2" t="s">
        <v>5325</v>
      </c>
      <c r="O651" s="2" t="s">
        <v>5335</v>
      </c>
      <c r="P651" s="2" t="s">
        <v>7835</v>
      </c>
      <c r="Q651" s="2" t="s">
        <v>5091</v>
      </c>
      <c r="R651" s="2" t="s">
        <v>7824</v>
      </c>
      <c r="S651" s="2"/>
    </row>
    <row r="652" spans="1:19" x14ac:dyDescent="0.2">
      <c r="A652" s="2">
        <v>1132</v>
      </c>
      <c r="B652" s="6" t="s">
        <v>7836</v>
      </c>
      <c r="C652" s="2" t="s">
        <v>7837</v>
      </c>
      <c r="D652" s="2" t="s">
        <v>7838</v>
      </c>
      <c r="E652" s="2" t="s">
        <v>431</v>
      </c>
      <c r="F652" s="2"/>
      <c r="G652" s="2"/>
      <c r="H652" s="2" t="s">
        <v>393</v>
      </c>
      <c r="I652" s="2" t="s">
        <v>570</v>
      </c>
      <c r="J652" s="2"/>
      <c r="K652" s="2"/>
      <c r="L652" s="2" t="s">
        <v>5078</v>
      </c>
      <c r="M652" s="2" t="s">
        <v>7780</v>
      </c>
      <c r="N652" s="2" t="s">
        <v>5325</v>
      </c>
      <c r="O652" s="2" t="s">
        <v>5335</v>
      </c>
      <c r="P652" s="2" t="s">
        <v>7839</v>
      </c>
      <c r="Q652" s="2" t="s">
        <v>5091</v>
      </c>
      <c r="R652" s="2" t="s">
        <v>7780</v>
      </c>
      <c r="S652" s="2"/>
    </row>
    <row r="653" spans="1:19" x14ac:dyDescent="0.2">
      <c r="A653" s="2">
        <v>1133</v>
      </c>
      <c r="B653" s="6" t="s">
        <v>7840</v>
      </c>
      <c r="C653" s="2" t="s">
        <v>7841</v>
      </c>
      <c r="D653" s="2" t="s">
        <v>7842</v>
      </c>
      <c r="E653" s="2" t="s">
        <v>1565</v>
      </c>
      <c r="F653" s="2" t="s">
        <v>431</v>
      </c>
      <c r="G653" s="2" t="s">
        <v>431</v>
      </c>
      <c r="H653" s="2" t="s">
        <v>393</v>
      </c>
      <c r="I653" s="2" t="s">
        <v>5603</v>
      </c>
      <c r="J653" s="2"/>
      <c r="K653" s="2"/>
      <c r="L653" s="2" t="s">
        <v>5453</v>
      </c>
      <c r="M653" s="2" t="s">
        <v>7843</v>
      </c>
      <c r="N653" s="2" t="s">
        <v>5325</v>
      </c>
      <c r="O653" s="2" t="s">
        <v>5335</v>
      </c>
      <c r="P653" s="2" t="s">
        <v>7844</v>
      </c>
      <c r="Q653" s="2"/>
      <c r="R653" s="2" t="s">
        <v>7845</v>
      </c>
      <c r="S653" s="2"/>
    </row>
    <row r="654" spans="1:19" x14ac:dyDescent="0.2">
      <c r="A654" s="2">
        <v>1136</v>
      </c>
      <c r="B654" s="6" t="s">
        <v>7846</v>
      </c>
      <c r="C654" s="2" t="s">
        <v>7847</v>
      </c>
      <c r="D654" s="2" t="s">
        <v>7848</v>
      </c>
      <c r="E654" s="2" t="s">
        <v>1521</v>
      </c>
      <c r="F654" s="2"/>
      <c r="G654" s="2"/>
      <c r="H654" s="2" t="s">
        <v>393</v>
      </c>
      <c r="I654" s="2" t="s">
        <v>756</v>
      </c>
      <c r="J654" s="2"/>
      <c r="K654" s="2"/>
      <c r="L654" s="2" t="s">
        <v>6059</v>
      </c>
      <c r="M654" s="2" t="s">
        <v>7822</v>
      </c>
      <c r="N654" s="2" t="s">
        <v>5325</v>
      </c>
      <c r="O654" s="2" t="s">
        <v>5335</v>
      </c>
      <c r="P654" s="2" t="s">
        <v>7849</v>
      </c>
      <c r="Q654" s="2"/>
      <c r="R654" s="2" t="s">
        <v>7822</v>
      </c>
      <c r="S654" s="2"/>
    </row>
    <row r="655" spans="1:19" x14ac:dyDescent="0.2">
      <c r="A655" s="2">
        <v>1137</v>
      </c>
      <c r="B655" s="6" t="s">
        <v>7850</v>
      </c>
      <c r="C655" s="2" t="s">
        <v>7851</v>
      </c>
      <c r="D655" s="2" t="s">
        <v>7852</v>
      </c>
      <c r="E655" s="2" t="s">
        <v>988</v>
      </c>
      <c r="F655" s="2"/>
      <c r="G655" s="2"/>
      <c r="H655" s="2" t="s">
        <v>393</v>
      </c>
      <c r="I655" s="2" t="s">
        <v>756</v>
      </c>
      <c r="J655" s="2" t="s">
        <v>1324</v>
      </c>
      <c r="K655" s="2"/>
      <c r="L655" s="2" t="s">
        <v>5334</v>
      </c>
      <c r="M655" s="2" t="s">
        <v>7853</v>
      </c>
      <c r="N655" s="2" t="s">
        <v>5325</v>
      </c>
      <c r="O655" s="2" t="s">
        <v>5335</v>
      </c>
      <c r="P655" s="2" t="s">
        <v>7854</v>
      </c>
      <c r="Q655" s="2" t="s">
        <v>5587</v>
      </c>
      <c r="R655" s="2" t="s">
        <v>5218</v>
      </c>
      <c r="S655" s="2"/>
    </row>
    <row r="656" spans="1:19" x14ac:dyDescent="0.2">
      <c r="A656" s="2">
        <v>1221</v>
      </c>
      <c r="B656" s="6" t="s">
        <v>7855</v>
      </c>
      <c r="C656" s="2" t="s">
        <v>7856</v>
      </c>
      <c r="D656" s="2" t="s">
        <v>7857</v>
      </c>
      <c r="E656" s="2" t="s">
        <v>2119</v>
      </c>
      <c r="F656" s="2"/>
      <c r="G656" s="2"/>
      <c r="H656" s="2" t="s">
        <v>393</v>
      </c>
      <c r="I656" s="2" t="s">
        <v>1026</v>
      </c>
      <c r="J656" s="2"/>
      <c r="K656" s="2"/>
      <c r="L656" s="2" t="s">
        <v>5334</v>
      </c>
      <c r="M656" s="2" t="s">
        <v>5079</v>
      </c>
      <c r="N656" s="2" t="s">
        <v>5325</v>
      </c>
      <c r="O656" s="2" t="s">
        <v>5335</v>
      </c>
      <c r="P656" s="2" t="s">
        <v>7858</v>
      </c>
      <c r="Q656" s="2" t="s">
        <v>5091</v>
      </c>
      <c r="R656" s="2" t="s">
        <v>5079</v>
      </c>
      <c r="S656" s="2"/>
    </row>
    <row r="657" spans="1:19" x14ac:dyDescent="0.2">
      <c r="A657" s="2">
        <v>1222</v>
      </c>
      <c r="B657" s="6" t="s">
        <v>7859</v>
      </c>
      <c r="C657" s="2" t="s">
        <v>7860</v>
      </c>
      <c r="D657" s="2" t="s">
        <v>7861</v>
      </c>
      <c r="E657" s="2" t="s">
        <v>2370</v>
      </c>
      <c r="F657" s="2"/>
      <c r="G657" s="2"/>
      <c r="H657" s="2" t="s">
        <v>393</v>
      </c>
      <c r="I657" s="2" t="s">
        <v>1026</v>
      </c>
      <c r="J657" s="2"/>
      <c r="K657" s="2"/>
      <c r="L657" s="2" t="s">
        <v>5078</v>
      </c>
      <c r="M657" s="2" t="s">
        <v>5079</v>
      </c>
      <c r="N657" s="2" t="s">
        <v>5325</v>
      </c>
      <c r="O657" s="2" t="s">
        <v>5326</v>
      </c>
      <c r="P657" s="2" t="s">
        <v>7862</v>
      </c>
      <c r="Q657" s="2" t="s">
        <v>5091</v>
      </c>
      <c r="R657" s="2" t="s">
        <v>5079</v>
      </c>
      <c r="S657" s="2"/>
    </row>
    <row r="658" spans="1:19" x14ac:dyDescent="0.2">
      <c r="A658" s="2">
        <v>1230</v>
      </c>
      <c r="B658" s="6" t="s">
        <v>7863</v>
      </c>
      <c r="C658" s="2" t="s">
        <v>7864</v>
      </c>
      <c r="D658" s="2" t="s">
        <v>7865</v>
      </c>
      <c r="E658" s="2" t="s">
        <v>927</v>
      </c>
      <c r="F658" s="2"/>
      <c r="G658" s="2"/>
      <c r="H658" s="2" t="s">
        <v>393</v>
      </c>
      <c r="I658" s="2" t="s">
        <v>453</v>
      </c>
      <c r="J658" s="2"/>
      <c r="K658" s="2"/>
      <c r="L658" s="2" t="s">
        <v>5345</v>
      </c>
      <c r="M658" s="2" t="s">
        <v>5193</v>
      </c>
      <c r="N658" s="2" t="s">
        <v>5325</v>
      </c>
      <c r="O658" s="2" t="s">
        <v>5335</v>
      </c>
      <c r="P658" s="2" t="s">
        <v>7866</v>
      </c>
      <c r="Q658" s="2" t="s">
        <v>5091</v>
      </c>
      <c r="R658" s="2" t="s">
        <v>5193</v>
      </c>
      <c r="S658" s="2"/>
    </row>
    <row r="659" spans="1:19" x14ac:dyDescent="0.2">
      <c r="A659" s="2">
        <v>1704</v>
      </c>
      <c r="B659" s="6" t="s">
        <v>7867</v>
      </c>
      <c r="C659" s="2" t="s">
        <v>7868</v>
      </c>
      <c r="D659" s="2" t="s">
        <v>7869</v>
      </c>
      <c r="E659" s="2" t="s">
        <v>3019</v>
      </c>
      <c r="F659" s="2" t="s">
        <v>3019</v>
      </c>
      <c r="G659" s="2" t="s">
        <v>3019</v>
      </c>
      <c r="H659" s="2" t="s">
        <v>393</v>
      </c>
      <c r="I659" s="2" t="s">
        <v>589</v>
      </c>
      <c r="J659" s="2"/>
      <c r="K659" s="2"/>
      <c r="L659" s="2" t="s">
        <v>5078</v>
      </c>
      <c r="M659" s="2" t="s">
        <v>5297</v>
      </c>
      <c r="N659" s="2" t="s">
        <v>5325</v>
      </c>
      <c r="O659" s="2" t="s">
        <v>5335</v>
      </c>
      <c r="P659" s="2" t="s">
        <v>7870</v>
      </c>
      <c r="Q659" s="2" t="s">
        <v>7871</v>
      </c>
      <c r="R659" s="2" t="s">
        <v>5297</v>
      </c>
      <c r="S659" s="2"/>
    </row>
    <row r="660" spans="1:19" x14ac:dyDescent="0.2">
      <c r="A660" s="2">
        <v>1705</v>
      </c>
      <c r="B660" s="6" t="s">
        <v>7872</v>
      </c>
      <c r="C660" s="2" t="s">
        <v>7873</v>
      </c>
      <c r="D660" s="2" t="s">
        <v>7874</v>
      </c>
      <c r="E660" s="2" t="s">
        <v>513</v>
      </c>
      <c r="F660" s="2" t="s">
        <v>1545</v>
      </c>
      <c r="G660" s="2" t="s">
        <v>513</v>
      </c>
      <c r="H660" s="2" t="s">
        <v>393</v>
      </c>
      <c r="I660" s="2" t="s">
        <v>7875</v>
      </c>
      <c r="J660" s="2"/>
      <c r="K660" s="2"/>
      <c r="L660" s="2" t="s">
        <v>5078</v>
      </c>
      <c r="M660" s="2" t="s">
        <v>5297</v>
      </c>
      <c r="N660" s="2" t="s">
        <v>5325</v>
      </c>
      <c r="O660" s="2" t="s">
        <v>5081</v>
      </c>
      <c r="P660" s="2" t="s">
        <v>7876</v>
      </c>
      <c r="Q660" s="2" t="s">
        <v>7877</v>
      </c>
      <c r="R660" s="2" t="s">
        <v>5297</v>
      </c>
      <c r="S660" s="2" t="s">
        <v>5915</v>
      </c>
    </row>
    <row r="661" spans="1:19" x14ac:dyDescent="0.2">
      <c r="A661" s="2">
        <v>1706</v>
      </c>
      <c r="B661" s="6" t="s">
        <v>7878</v>
      </c>
      <c r="C661" s="2" t="s">
        <v>7879</v>
      </c>
      <c r="D661" s="2" t="s">
        <v>7880</v>
      </c>
      <c r="E661" s="2" t="s">
        <v>558</v>
      </c>
      <c r="F661" s="2" t="s">
        <v>558</v>
      </c>
      <c r="G661" s="2" t="s">
        <v>558</v>
      </c>
      <c r="H661" s="2" t="s">
        <v>393</v>
      </c>
      <c r="I661" s="2" t="s">
        <v>7533</v>
      </c>
      <c r="J661" s="2" t="s">
        <v>135</v>
      </c>
      <c r="K661" s="2"/>
      <c r="L661" s="2" t="s">
        <v>5078</v>
      </c>
      <c r="M661" s="2" t="s">
        <v>5297</v>
      </c>
      <c r="N661" s="2" t="s">
        <v>5325</v>
      </c>
      <c r="O661" s="2" t="s">
        <v>5335</v>
      </c>
      <c r="P661" s="2" t="s">
        <v>7881</v>
      </c>
      <c r="Q661" s="2" t="s">
        <v>7882</v>
      </c>
      <c r="R661" s="2" t="s">
        <v>7883</v>
      </c>
      <c r="S661" s="2" t="s">
        <v>6737</v>
      </c>
    </row>
    <row r="662" spans="1:19" x14ac:dyDescent="0.2">
      <c r="A662" s="2">
        <v>1707</v>
      </c>
      <c r="B662" s="6" t="s">
        <v>7884</v>
      </c>
      <c r="C662" s="2" t="s">
        <v>7885</v>
      </c>
      <c r="D662" s="2" t="s">
        <v>7886</v>
      </c>
      <c r="E662" s="2" t="s">
        <v>3634</v>
      </c>
      <c r="F662" s="2" t="s">
        <v>3088</v>
      </c>
      <c r="G662" s="2" t="s">
        <v>3088</v>
      </c>
      <c r="H662" s="2" t="s">
        <v>393</v>
      </c>
      <c r="I662" s="2" t="s">
        <v>7887</v>
      </c>
      <c r="J662" s="2"/>
      <c r="K662" s="2"/>
      <c r="L662" s="2" t="s">
        <v>5078</v>
      </c>
      <c r="M662" s="2" t="s">
        <v>5297</v>
      </c>
      <c r="N662" s="2" t="s">
        <v>5325</v>
      </c>
      <c r="O662" s="2" t="s">
        <v>5326</v>
      </c>
      <c r="P662" s="2" t="s">
        <v>7888</v>
      </c>
      <c r="Q662" s="2" t="s">
        <v>7889</v>
      </c>
      <c r="R662" s="2" t="s">
        <v>5297</v>
      </c>
      <c r="S662" s="2" t="s">
        <v>7890</v>
      </c>
    </row>
    <row r="663" spans="1:19" x14ac:dyDescent="0.2">
      <c r="A663" s="2">
        <v>1708</v>
      </c>
      <c r="B663" s="6" t="s">
        <v>7891</v>
      </c>
      <c r="C663" s="2" t="s">
        <v>7892</v>
      </c>
      <c r="D663" s="2" t="s">
        <v>7893</v>
      </c>
      <c r="E663" s="2" t="s">
        <v>3019</v>
      </c>
      <c r="F663" s="2" t="s">
        <v>3019</v>
      </c>
      <c r="G663" s="2" t="s">
        <v>3019</v>
      </c>
      <c r="H663" s="2" t="s">
        <v>393</v>
      </c>
      <c r="I663" s="2" t="s">
        <v>713</v>
      </c>
      <c r="J663" s="2" t="s">
        <v>275</v>
      </c>
      <c r="K663" s="2"/>
      <c r="L663" s="2" t="s">
        <v>5078</v>
      </c>
      <c r="M663" s="2" t="s">
        <v>5297</v>
      </c>
      <c r="N663" s="2" t="s">
        <v>5325</v>
      </c>
      <c r="O663" s="2" t="s">
        <v>5335</v>
      </c>
      <c r="P663" s="2" t="s">
        <v>7894</v>
      </c>
      <c r="Q663" s="2" t="s">
        <v>7895</v>
      </c>
      <c r="R663" s="2" t="s">
        <v>7883</v>
      </c>
      <c r="S663" s="2"/>
    </row>
    <row r="664" spans="1:19" x14ac:dyDescent="0.2">
      <c r="A664" s="2">
        <v>1851</v>
      </c>
      <c r="B664" s="6" t="s">
        <v>7896</v>
      </c>
      <c r="C664" s="2" t="s">
        <v>7897</v>
      </c>
      <c r="D664" s="2" t="s">
        <v>7898</v>
      </c>
      <c r="E664" s="2" t="s">
        <v>7899</v>
      </c>
      <c r="F664" s="2" t="s">
        <v>7899</v>
      </c>
      <c r="G664" s="2" t="s">
        <v>7899</v>
      </c>
      <c r="H664" s="2" t="s">
        <v>393</v>
      </c>
      <c r="I664" s="2" t="s">
        <v>7900</v>
      </c>
      <c r="J664" s="2"/>
      <c r="K664" s="2"/>
      <c r="L664" s="2" t="s">
        <v>5078</v>
      </c>
      <c r="M664" s="2" t="s">
        <v>5297</v>
      </c>
      <c r="N664" s="2" t="s">
        <v>5325</v>
      </c>
      <c r="O664" s="2" t="s">
        <v>5335</v>
      </c>
      <c r="P664" s="2" t="s">
        <v>7901</v>
      </c>
      <c r="Q664" s="2" t="s">
        <v>7278</v>
      </c>
      <c r="R664" s="2" t="s">
        <v>7883</v>
      </c>
      <c r="S664" s="2" t="s">
        <v>5915</v>
      </c>
    </row>
    <row r="665" spans="1:19" x14ac:dyDescent="0.2">
      <c r="A665" s="2">
        <v>1852</v>
      </c>
      <c r="B665" s="6" t="s">
        <v>7902</v>
      </c>
      <c r="C665" s="2" t="s">
        <v>7903</v>
      </c>
      <c r="D665" s="2" t="s">
        <v>7904</v>
      </c>
      <c r="E665" s="2" t="s">
        <v>2136</v>
      </c>
      <c r="F665" s="2" t="s">
        <v>2136</v>
      </c>
      <c r="G665" s="2" t="s">
        <v>2136</v>
      </c>
      <c r="H665" s="2" t="s">
        <v>393</v>
      </c>
      <c r="I665" s="2" t="s">
        <v>7905</v>
      </c>
      <c r="J665" s="2"/>
      <c r="K665" s="2"/>
      <c r="L665" s="2" t="s">
        <v>5078</v>
      </c>
      <c r="M665" s="2" t="s">
        <v>5297</v>
      </c>
      <c r="N665" s="2" t="s">
        <v>5325</v>
      </c>
      <c r="O665" s="2" t="s">
        <v>5335</v>
      </c>
      <c r="P665" s="2" t="s">
        <v>7906</v>
      </c>
      <c r="Q665" s="2" t="s">
        <v>7278</v>
      </c>
      <c r="R665" s="2" t="s">
        <v>7907</v>
      </c>
      <c r="S665" s="2" t="s">
        <v>7908</v>
      </c>
    </row>
    <row r="666" spans="1:19" x14ac:dyDescent="0.2">
      <c r="A666" s="2">
        <v>1870</v>
      </c>
      <c r="B666" s="6" t="s">
        <v>7909</v>
      </c>
      <c r="C666" s="2" t="s">
        <v>7910</v>
      </c>
      <c r="D666" s="2" t="s">
        <v>7911</v>
      </c>
      <c r="E666" s="2" t="s">
        <v>797</v>
      </c>
      <c r="F666" s="2" t="s">
        <v>523</v>
      </c>
      <c r="G666" s="2" t="s">
        <v>797</v>
      </c>
      <c r="H666" s="2" t="s">
        <v>393</v>
      </c>
      <c r="I666" s="2" t="s">
        <v>7912</v>
      </c>
      <c r="J666" s="2"/>
      <c r="K666" s="2"/>
      <c r="L666" s="2" t="s">
        <v>5078</v>
      </c>
      <c r="M666" s="2" t="s">
        <v>6991</v>
      </c>
      <c r="N666" s="2" t="s">
        <v>5325</v>
      </c>
      <c r="O666" s="2" t="s">
        <v>5081</v>
      </c>
      <c r="P666" s="2" t="s">
        <v>7913</v>
      </c>
      <c r="Q666" s="2" t="s">
        <v>7914</v>
      </c>
      <c r="R666" s="2" t="s">
        <v>7429</v>
      </c>
      <c r="S666" s="2"/>
    </row>
    <row r="667" spans="1:19" x14ac:dyDescent="0.2">
      <c r="A667" s="2">
        <v>1871</v>
      </c>
      <c r="B667" s="6" t="s">
        <v>7915</v>
      </c>
      <c r="C667" s="2" t="s">
        <v>7916</v>
      </c>
      <c r="D667" s="2" t="s">
        <v>7917</v>
      </c>
      <c r="E667" s="2" t="s">
        <v>2239</v>
      </c>
      <c r="F667" s="2" t="s">
        <v>523</v>
      </c>
      <c r="G667" s="2" t="s">
        <v>2882</v>
      </c>
      <c r="H667" s="2" t="s">
        <v>393</v>
      </c>
      <c r="I667" s="2" t="s">
        <v>1360</v>
      </c>
      <c r="J667" s="2"/>
      <c r="K667" s="2"/>
      <c r="L667" s="2" t="s">
        <v>5078</v>
      </c>
      <c r="M667" s="2" t="s">
        <v>6991</v>
      </c>
      <c r="N667" s="2" t="s">
        <v>5325</v>
      </c>
      <c r="O667" s="2" t="s">
        <v>5335</v>
      </c>
      <c r="P667" s="2" t="s">
        <v>7918</v>
      </c>
      <c r="Q667" s="2" t="s">
        <v>5091</v>
      </c>
      <c r="R667" s="2" t="s">
        <v>7429</v>
      </c>
      <c r="S667" s="2"/>
    </row>
    <row r="668" spans="1:19" x14ac:dyDescent="0.2">
      <c r="A668" s="2">
        <v>1879</v>
      </c>
      <c r="B668" s="6" t="s">
        <v>7919</v>
      </c>
      <c r="C668" s="2" t="s">
        <v>7920</v>
      </c>
      <c r="D668" s="2" t="s">
        <v>7921</v>
      </c>
      <c r="E668" s="2" t="s">
        <v>2369</v>
      </c>
      <c r="F668" s="2"/>
      <c r="G668" s="2"/>
      <c r="H668" s="2" t="s">
        <v>393</v>
      </c>
      <c r="I668" s="2" t="s">
        <v>739</v>
      </c>
      <c r="J668" s="2"/>
      <c r="K668" s="2"/>
      <c r="L668" s="2" t="s">
        <v>5078</v>
      </c>
      <c r="M668" s="2" t="s">
        <v>6991</v>
      </c>
      <c r="N668" s="2" t="s">
        <v>5325</v>
      </c>
      <c r="O668" s="2" t="s">
        <v>5335</v>
      </c>
      <c r="P668" s="2" t="s">
        <v>7922</v>
      </c>
      <c r="Q668" s="2" t="s">
        <v>5091</v>
      </c>
      <c r="R668" s="2" t="s">
        <v>7429</v>
      </c>
      <c r="S668" s="2"/>
    </row>
    <row r="669" spans="1:19" x14ac:dyDescent="0.2">
      <c r="A669" s="2">
        <v>1880</v>
      </c>
      <c r="B669" s="6" t="s">
        <v>7923</v>
      </c>
      <c r="C669" s="2" t="s">
        <v>7924</v>
      </c>
      <c r="D669" s="2" t="s">
        <v>7925</v>
      </c>
      <c r="E669" s="2" t="s">
        <v>2414</v>
      </c>
      <c r="F669" s="2" t="s">
        <v>797</v>
      </c>
      <c r="G669" s="2" t="s">
        <v>797</v>
      </c>
      <c r="H669" s="2" t="s">
        <v>393</v>
      </c>
      <c r="I669" s="2" t="s">
        <v>7926</v>
      </c>
      <c r="J669" s="2"/>
      <c r="K669" s="2"/>
      <c r="L669" s="2" t="s">
        <v>5078</v>
      </c>
      <c r="M669" s="2" t="s">
        <v>6991</v>
      </c>
      <c r="N669" s="2" t="s">
        <v>5325</v>
      </c>
      <c r="O669" s="2" t="s">
        <v>5326</v>
      </c>
      <c r="P669" s="2" t="s">
        <v>7927</v>
      </c>
      <c r="Q669" s="2" t="s">
        <v>5091</v>
      </c>
      <c r="R669" s="2" t="s">
        <v>7429</v>
      </c>
      <c r="S669" s="2"/>
    </row>
    <row r="670" spans="1:19" x14ac:dyDescent="0.2">
      <c r="A670" s="2">
        <v>1881</v>
      </c>
      <c r="B670" s="6" t="s">
        <v>7928</v>
      </c>
      <c r="C670" s="2" t="s">
        <v>7929</v>
      </c>
      <c r="D670" s="2" t="s">
        <v>7930</v>
      </c>
      <c r="E670" s="2" t="s">
        <v>2414</v>
      </c>
      <c r="F670" s="2" t="s">
        <v>2414</v>
      </c>
      <c r="G670" s="2" t="s">
        <v>2414</v>
      </c>
      <c r="H670" s="2" t="s">
        <v>393</v>
      </c>
      <c r="I670" s="2" t="s">
        <v>659</v>
      </c>
      <c r="J670" s="2"/>
      <c r="K670" s="2"/>
      <c r="L670" s="2" t="s">
        <v>5334</v>
      </c>
      <c r="M670" s="2" t="s">
        <v>6991</v>
      </c>
      <c r="N670" s="2" t="s">
        <v>5325</v>
      </c>
      <c r="O670" s="2" t="s">
        <v>5335</v>
      </c>
      <c r="P670" s="2" t="s">
        <v>7931</v>
      </c>
      <c r="Q670" s="2" t="s">
        <v>5091</v>
      </c>
      <c r="R670" s="2" t="s">
        <v>7429</v>
      </c>
      <c r="S670" s="2"/>
    </row>
    <row r="671" spans="1:19" x14ac:dyDescent="0.2">
      <c r="A671" s="2">
        <v>1882</v>
      </c>
      <c r="B671" s="6" t="s">
        <v>7932</v>
      </c>
      <c r="C671" s="2" t="s">
        <v>7933</v>
      </c>
      <c r="D671" s="2" t="s">
        <v>7934</v>
      </c>
      <c r="E671" s="2" t="s">
        <v>2414</v>
      </c>
      <c r="F671" s="2" t="s">
        <v>2414</v>
      </c>
      <c r="G671" s="2" t="s">
        <v>2414</v>
      </c>
      <c r="H671" s="2" t="s">
        <v>393</v>
      </c>
      <c r="I671" s="2" t="s">
        <v>659</v>
      </c>
      <c r="J671" s="2"/>
      <c r="K671" s="2"/>
      <c r="L671" s="2" t="s">
        <v>5334</v>
      </c>
      <c r="M671" s="2" t="s">
        <v>6991</v>
      </c>
      <c r="N671" s="2" t="s">
        <v>5325</v>
      </c>
      <c r="O671" s="2" t="s">
        <v>5335</v>
      </c>
      <c r="P671" s="2" t="s">
        <v>7935</v>
      </c>
      <c r="Q671" s="2" t="s">
        <v>5091</v>
      </c>
      <c r="R671" s="2" t="s">
        <v>7429</v>
      </c>
      <c r="S671" s="2"/>
    </row>
    <row r="672" spans="1:19" x14ac:dyDescent="0.2">
      <c r="A672" s="2">
        <v>1883</v>
      </c>
      <c r="B672" s="6" t="s">
        <v>7936</v>
      </c>
      <c r="C672" s="2" t="s">
        <v>7937</v>
      </c>
      <c r="D672" s="2" t="s">
        <v>7938</v>
      </c>
      <c r="E672" s="2" t="s">
        <v>3019</v>
      </c>
      <c r="F672" s="2" t="s">
        <v>2370</v>
      </c>
      <c r="G672" s="2" t="s">
        <v>2370</v>
      </c>
      <c r="H672" s="2" t="s">
        <v>393</v>
      </c>
      <c r="I672" s="2" t="s">
        <v>659</v>
      </c>
      <c r="J672" s="2"/>
      <c r="K672" s="2"/>
      <c r="L672" s="2" t="s">
        <v>5345</v>
      </c>
      <c r="M672" s="2" t="s">
        <v>6991</v>
      </c>
      <c r="N672" s="2" t="s">
        <v>5325</v>
      </c>
      <c r="O672" s="2" t="s">
        <v>5335</v>
      </c>
      <c r="P672" s="2" t="s">
        <v>7939</v>
      </c>
      <c r="Q672" s="2" t="s">
        <v>5268</v>
      </c>
      <c r="R672" s="2" t="s">
        <v>7429</v>
      </c>
      <c r="S672" s="2" t="s">
        <v>7940</v>
      </c>
    </row>
    <row r="673" spans="1:19" x14ac:dyDescent="0.2">
      <c r="A673" s="2">
        <v>1884</v>
      </c>
      <c r="B673" s="6" t="s">
        <v>7941</v>
      </c>
      <c r="C673" s="2" t="s">
        <v>7942</v>
      </c>
      <c r="D673" s="2" t="s">
        <v>7943</v>
      </c>
      <c r="E673" s="2" t="s">
        <v>2882</v>
      </c>
      <c r="F673" s="2"/>
      <c r="G673" s="2"/>
      <c r="H673" s="2" t="s">
        <v>393</v>
      </c>
      <c r="I673" s="2" t="s">
        <v>659</v>
      </c>
      <c r="J673" s="2"/>
      <c r="K673" s="2"/>
      <c r="L673" s="2" t="s">
        <v>5078</v>
      </c>
      <c r="M673" s="2" t="s">
        <v>6991</v>
      </c>
      <c r="N673" s="2" t="s">
        <v>5325</v>
      </c>
      <c r="O673" s="2" t="s">
        <v>5335</v>
      </c>
      <c r="P673" s="2" t="s">
        <v>7944</v>
      </c>
      <c r="Q673" s="2" t="s">
        <v>7945</v>
      </c>
      <c r="R673" s="2" t="s">
        <v>7429</v>
      </c>
      <c r="S673" s="2"/>
    </row>
    <row r="674" spans="1:19" x14ac:dyDescent="0.2">
      <c r="A674" s="2">
        <v>1885</v>
      </c>
      <c r="B674" s="6" t="s">
        <v>7946</v>
      </c>
      <c r="C674" s="2" t="s">
        <v>7947</v>
      </c>
      <c r="D674" s="2" t="s">
        <v>7948</v>
      </c>
      <c r="E674" s="2" t="s">
        <v>2882</v>
      </c>
      <c r="F674" s="2"/>
      <c r="G674" s="2"/>
      <c r="H674" s="2" t="s">
        <v>393</v>
      </c>
      <c r="I674" s="2" t="s">
        <v>659</v>
      </c>
      <c r="J674" s="2"/>
      <c r="K674" s="2"/>
      <c r="L674" s="2" t="s">
        <v>5078</v>
      </c>
      <c r="M674" s="2" t="s">
        <v>6991</v>
      </c>
      <c r="N674" s="2" t="s">
        <v>5325</v>
      </c>
      <c r="O674" s="2" t="s">
        <v>5335</v>
      </c>
      <c r="P674" s="2" t="s">
        <v>7944</v>
      </c>
      <c r="Q674" s="2" t="s">
        <v>7945</v>
      </c>
      <c r="R674" s="2" t="s">
        <v>7429</v>
      </c>
      <c r="S674" s="2"/>
    </row>
    <row r="675" spans="1:19" x14ac:dyDescent="0.2">
      <c r="A675" s="2">
        <v>1886</v>
      </c>
      <c r="B675" s="6" t="s">
        <v>7949</v>
      </c>
      <c r="C675" s="2" t="s">
        <v>7950</v>
      </c>
      <c r="D675" s="2" t="s">
        <v>7951</v>
      </c>
      <c r="E675" s="2" t="s">
        <v>2882</v>
      </c>
      <c r="F675" s="2"/>
      <c r="G675" s="2"/>
      <c r="H675" s="2" t="s">
        <v>393</v>
      </c>
      <c r="I675" s="2" t="s">
        <v>659</v>
      </c>
      <c r="J675" s="2"/>
      <c r="K675" s="2"/>
      <c r="L675" s="2" t="s">
        <v>5334</v>
      </c>
      <c r="M675" s="2" t="s">
        <v>6991</v>
      </c>
      <c r="N675" s="2" t="s">
        <v>5325</v>
      </c>
      <c r="O675" s="2" t="s">
        <v>5335</v>
      </c>
      <c r="P675" s="2" t="s">
        <v>7952</v>
      </c>
      <c r="Q675" s="2" t="s">
        <v>5091</v>
      </c>
      <c r="R675" s="2" t="s">
        <v>7429</v>
      </c>
      <c r="S675" s="2"/>
    </row>
    <row r="676" spans="1:19" x14ac:dyDescent="0.2">
      <c r="A676" s="2">
        <v>1887</v>
      </c>
      <c r="B676" s="6" t="s">
        <v>7953</v>
      </c>
      <c r="C676" s="2" t="s">
        <v>7954</v>
      </c>
      <c r="D676" s="2" t="s">
        <v>7955</v>
      </c>
      <c r="E676" s="2" t="s">
        <v>2882</v>
      </c>
      <c r="F676" s="2"/>
      <c r="G676" s="2"/>
      <c r="H676" s="2" t="s">
        <v>393</v>
      </c>
      <c r="I676" s="2" t="s">
        <v>659</v>
      </c>
      <c r="J676" s="2"/>
      <c r="K676" s="2"/>
      <c r="L676" s="2" t="s">
        <v>5334</v>
      </c>
      <c r="M676" s="2" t="s">
        <v>6991</v>
      </c>
      <c r="N676" s="2" t="s">
        <v>5325</v>
      </c>
      <c r="O676" s="2" t="s">
        <v>5335</v>
      </c>
      <c r="P676" s="2" t="s">
        <v>7956</v>
      </c>
      <c r="Q676" s="2" t="s">
        <v>5091</v>
      </c>
      <c r="R676" s="2" t="s">
        <v>7429</v>
      </c>
      <c r="S676" s="2"/>
    </row>
    <row r="677" spans="1:19" x14ac:dyDescent="0.2">
      <c r="A677" s="2">
        <v>1889</v>
      </c>
      <c r="B677" s="6" t="s">
        <v>7957</v>
      </c>
      <c r="C677" s="2" t="s">
        <v>7958</v>
      </c>
      <c r="D677" s="2" t="s">
        <v>7959</v>
      </c>
      <c r="E677" s="2" t="s">
        <v>564</v>
      </c>
      <c r="F677" s="2"/>
      <c r="G677" s="2"/>
      <c r="H677" s="2" t="s">
        <v>393</v>
      </c>
      <c r="I677" s="2" t="s">
        <v>659</v>
      </c>
      <c r="J677" s="2"/>
      <c r="K677" s="2"/>
      <c r="L677" s="2" t="s">
        <v>5334</v>
      </c>
      <c r="M677" s="2" t="s">
        <v>6991</v>
      </c>
      <c r="N677" s="2" t="s">
        <v>5325</v>
      </c>
      <c r="O677" s="2" t="s">
        <v>5335</v>
      </c>
      <c r="P677" s="2" t="s">
        <v>7960</v>
      </c>
      <c r="Q677" s="2" t="s">
        <v>7945</v>
      </c>
      <c r="R677" s="2" t="s">
        <v>7429</v>
      </c>
      <c r="S677" s="2"/>
    </row>
    <row r="678" spans="1:19" x14ac:dyDescent="0.2">
      <c r="A678" s="2">
        <v>1890</v>
      </c>
      <c r="B678" s="6" t="s">
        <v>7961</v>
      </c>
      <c r="C678" s="2" t="s">
        <v>7962</v>
      </c>
      <c r="D678" s="2" t="s">
        <v>7963</v>
      </c>
      <c r="E678" s="2" t="s">
        <v>583</v>
      </c>
      <c r="F678" s="2"/>
      <c r="G678" s="2"/>
      <c r="H678" s="2" t="s">
        <v>393</v>
      </c>
      <c r="I678" s="2" t="s">
        <v>7964</v>
      </c>
      <c r="J678" s="2"/>
      <c r="K678" s="2"/>
      <c r="L678" s="2" t="s">
        <v>5334</v>
      </c>
      <c r="M678" s="2" t="s">
        <v>6991</v>
      </c>
      <c r="N678" s="2" t="s">
        <v>5325</v>
      </c>
      <c r="O678" s="2" t="s">
        <v>5335</v>
      </c>
      <c r="P678" s="2" t="s">
        <v>7965</v>
      </c>
      <c r="Q678" s="2" t="s">
        <v>6990</v>
      </c>
      <c r="R678" s="2" t="s">
        <v>7429</v>
      </c>
      <c r="S678" s="2"/>
    </row>
    <row r="679" spans="1:19" x14ac:dyDescent="0.2">
      <c r="A679" s="2">
        <v>1891</v>
      </c>
      <c r="B679" s="6" t="s">
        <v>7966</v>
      </c>
      <c r="C679" s="2" t="s">
        <v>7967</v>
      </c>
      <c r="D679" s="2" t="s">
        <v>7968</v>
      </c>
      <c r="E679" s="2" t="s">
        <v>583</v>
      </c>
      <c r="F679" s="2" t="s">
        <v>583</v>
      </c>
      <c r="G679" s="2" t="s">
        <v>583</v>
      </c>
      <c r="H679" s="2" t="s">
        <v>393</v>
      </c>
      <c r="I679" s="2" t="s">
        <v>3592</v>
      </c>
      <c r="J679" s="2" t="s">
        <v>1324</v>
      </c>
      <c r="K679" s="2"/>
      <c r="L679" s="2" t="s">
        <v>5078</v>
      </c>
      <c r="M679" s="2" t="s">
        <v>6991</v>
      </c>
      <c r="N679" s="2" t="s">
        <v>5325</v>
      </c>
      <c r="O679" s="2" t="s">
        <v>5335</v>
      </c>
      <c r="P679" s="2" t="s">
        <v>7969</v>
      </c>
      <c r="Q679" s="2" t="s">
        <v>5091</v>
      </c>
      <c r="R679" s="2" t="s">
        <v>7429</v>
      </c>
      <c r="S679" s="2"/>
    </row>
    <row r="680" spans="1:19" x14ac:dyDescent="0.2">
      <c r="A680" s="2">
        <v>1892</v>
      </c>
      <c r="B680" s="6" t="s">
        <v>7970</v>
      </c>
      <c r="C680" s="2" t="s">
        <v>7971</v>
      </c>
      <c r="D680" s="2" t="s">
        <v>7972</v>
      </c>
      <c r="E680" s="2" t="s">
        <v>7973</v>
      </c>
      <c r="F680" s="2"/>
      <c r="G680" s="2"/>
      <c r="H680" s="2" t="s">
        <v>393</v>
      </c>
      <c r="I680" s="2" t="s">
        <v>7458</v>
      </c>
      <c r="J680" s="2"/>
      <c r="K680" s="2"/>
      <c r="L680" s="2" t="s">
        <v>5078</v>
      </c>
      <c r="M680" s="2" t="s">
        <v>6991</v>
      </c>
      <c r="N680" s="2" t="s">
        <v>5325</v>
      </c>
      <c r="O680" s="2" t="s">
        <v>5335</v>
      </c>
      <c r="P680" s="2" t="s">
        <v>7974</v>
      </c>
      <c r="Q680" s="2" t="s">
        <v>7975</v>
      </c>
      <c r="R680" s="2" t="s">
        <v>7429</v>
      </c>
      <c r="S680" s="2"/>
    </row>
    <row r="681" spans="1:19" x14ac:dyDescent="0.2">
      <c r="A681" s="2">
        <v>1893</v>
      </c>
      <c r="B681" s="6" t="s">
        <v>7976</v>
      </c>
      <c r="C681" s="2" t="s">
        <v>7977</v>
      </c>
      <c r="D681" s="2" t="s">
        <v>7978</v>
      </c>
      <c r="E681" s="2" t="s">
        <v>583</v>
      </c>
      <c r="F681" s="2"/>
      <c r="G681" s="2"/>
      <c r="H681" s="2" t="s">
        <v>393</v>
      </c>
      <c r="I681" s="2" t="s">
        <v>7979</v>
      </c>
      <c r="J681" s="2"/>
      <c r="K681" s="2"/>
      <c r="L681" s="2" t="s">
        <v>5078</v>
      </c>
      <c r="M681" s="2" t="s">
        <v>6991</v>
      </c>
      <c r="N681" s="2" t="s">
        <v>5325</v>
      </c>
      <c r="O681" s="2" t="s">
        <v>5081</v>
      </c>
      <c r="P681" s="2" t="s">
        <v>7980</v>
      </c>
      <c r="Q681" s="2" t="s">
        <v>6990</v>
      </c>
      <c r="R681" s="2" t="s">
        <v>7429</v>
      </c>
      <c r="S681" s="2"/>
    </row>
    <row r="682" spans="1:19" x14ac:dyDescent="0.2">
      <c r="A682" s="2">
        <v>1894</v>
      </c>
      <c r="B682" s="6" t="s">
        <v>7981</v>
      </c>
      <c r="C682" s="2" t="s">
        <v>7982</v>
      </c>
      <c r="D682" s="2" t="s">
        <v>7983</v>
      </c>
      <c r="E682" s="2" t="s">
        <v>2414</v>
      </c>
      <c r="F682" s="2"/>
      <c r="G682" s="2"/>
      <c r="H682" s="2" t="s">
        <v>393</v>
      </c>
      <c r="I682" s="2" t="s">
        <v>7984</v>
      </c>
      <c r="J682" s="2" t="s">
        <v>1324</v>
      </c>
      <c r="K682" s="2"/>
      <c r="L682" s="2" t="s">
        <v>5334</v>
      </c>
      <c r="M682" s="2" t="s">
        <v>6991</v>
      </c>
      <c r="N682" s="2" t="s">
        <v>5325</v>
      </c>
      <c r="O682" s="2" t="s">
        <v>5335</v>
      </c>
      <c r="P682" s="2" t="s">
        <v>7985</v>
      </c>
      <c r="Q682" s="2" t="s">
        <v>5091</v>
      </c>
      <c r="R682" s="2" t="s">
        <v>7429</v>
      </c>
      <c r="S682" s="2"/>
    </row>
    <row r="683" spans="1:19" x14ac:dyDescent="0.2">
      <c r="A683" s="2">
        <v>1910</v>
      </c>
      <c r="B683" s="6" t="s">
        <v>7986</v>
      </c>
      <c r="C683" s="2" t="s">
        <v>7987</v>
      </c>
      <c r="D683" s="2" t="s">
        <v>7988</v>
      </c>
      <c r="E683" s="2" t="s">
        <v>683</v>
      </c>
      <c r="F683" s="2"/>
      <c r="G683" s="2"/>
      <c r="H683" s="2" t="s">
        <v>393</v>
      </c>
      <c r="I683" s="2" t="s">
        <v>4971</v>
      </c>
      <c r="J683" s="2"/>
      <c r="K683" s="2"/>
      <c r="L683" s="2" t="s">
        <v>5078</v>
      </c>
      <c r="M683" s="2" t="s">
        <v>7989</v>
      </c>
      <c r="N683" s="2" t="s">
        <v>5325</v>
      </c>
      <c r="O683" s="2" t="s">
        <v>5335</v>
      </c>
      <c r="P683" s="2" t="s">
        <v>7990</v>
      </c>
      <c r="Q683" s="2" t="s">
        <v>5123</v>
      </c>
      <c r="R683" s="2" t="s">
        <v>5297</v>
      </c>
      <c r="S683" s="2"/>
    </row>
    <row r="684" spans="1:19" x14ac:dyDescent="0.2">
      <c r="A684" s="2">
        <v>1958</v>
      </c>
      <c r="B684" s="6" t="s">
        <v>7991</v>
      </c>
      <c r="C684" s="2" t="s">
        <v>7992</v>
      </c>
      <c r="D684" s="2" t="s">
        <v>7993</v>
      </c>
      <c r="E684" s="2" t="s">
        <v>980</v>
      </c>
      <c r="F684" s="2"/>
      <c r="G684" s="2"/>
      <c r="H684" s="2" t="s">
        <v>393</v>
      </c>
      <c r="I684" s="2" t="s">
        <v>7994</v>
      </c>
      <c r="J684" s="2"/>
      <c r="K684" s="2"/>
      <c r="L684" s="2" t="s">
        <v>5078</v>
      </c>
      <c r="M684" s="2" t="s">
        <v>5240</v>
      </c>
      <c r="N684" s="2" t="s">
        <v>5325</v>
      </c>
      <c r="O684" s="2" t="s">
        <v>5081</v>
      </c>
      <c r="P684" s="2" t="s">
        <v>7995</v>
      </c>
      <c r="Q684" s="2"/>
      <c r="R684" s="2" t="s">
        <v>7996</v>
      </c>
      <c r="S684" s="2"/>
    </row>
    <row r="685" spans="1:19" x14ac:dyDescent="0.2">
      <c r="A685" s="2">
        <v>1959</v>
      </c>
      <c r="B685" s="6" t="s">
        <v>7997</v>
      </c>
      <c r="C685" s="2" t="s">
        <v>7998</v>
      </c>
      <c r="D685" s="2" t="s">
        <v>7999</v>
      </c>
      <c r="E685" s="2" t="s">
        <v>3718</v>
      </c>
      <c r="F685" s="2"/>
      <c r="G685" s="2"/>
      <c r="H685" s="2" t="s">
        <v>393</v>
      </c>
      <c r="I685" s="2" t="s">
        <v>8000</v>
      </c>
      <c r="J685" s="2"/>
      <c r="K685" s="2"/>
      <c r="L685" s="2" t="s">
        <v>5078</v>
      </c>
      <c r="M685" s="2" t="s">
        <v>8001</v>
      </c>
      <c r="N685" s="2" t="s">
        <v>5325</v>
      </c>
      <c r="O685" s="2" t="s">
        <v>5335</v>
      </c>
      <c r="P685" s="2" t="s">
        <v>7990</v>
      </c>
      <c r="Q685" s="2" t="s">
        <v>5123</v>
      </c>
      <c r="R685" s="2" t="s">
        <v>5297</v>
      </c>
      <c r="S685" s="2"/>
    </row>
    <row r="686" spans="1:19" x14ac:dyDescent="0.2">
      <c r="A686" s="2">
        <v>1960</v>
      </c>
      <c r="B686" s="6" t="s">
        <v>8002</v>
      </c>
      <c r="C686" s="2" t="s">
        <v>8003</v>
      </c>
      <c r="D686" s="2" t="s">
        <v>8004</v>
      </c>
      <c r="E686" s="2" t="s">
        <v>1565</v>
      </c>
      <c r="F686" s="2"/>
      <c r="G686" s="2"/>
      <c r="H686" s="2" t="s">
        <v>393</v>
      </c>
      <c r="I686" s="2" t="s">
        <v>8005</v>
      </c>
      <c r="J686" s="2"/>
      <c r="K686" s="2"/>
      <c r="L686" s="2" t="s">
        <v>5078</v>
      </c>
      <c r="M686" s="2" t="s">
        <v>7099</v>
      </c>
      <c r="N686" s="2" t="s">
        <v>5325</v>
      </c>
      <c r="O686" s="2" t="s">
        <v>5330</v>
      </c>
      <c r="P686" s="2" t="s">
        <v>8006</v>
      </c>
      <c r="Q686" s="2" t="s">
        <v>7278</v>
      </c>
      <c r="R686" s="2" t="s">
        <v>5297</v>
      </c>
      <c r="S686" s="2"/>
    </row>
    <row r="687" spans="1:19" x14ac:dyDescent="0.2">
      <c r="A687" s="2">
        <v>1961</v>
      </c>
      <c r="B687" s="6" t="s">
        <v>8007</v>
      </c>
      <c r="C687" s="2" t="s">
        <v>8008</v>
      </c>
      <c r="D687" s="2" t="s">
        <v>8009</v>
      </c>
      <c r="E687" s="2" t="s">
        <v>2061</v>
      </c>
      <c r="F687" s="2"/>
      <c r="G687" s="2"/>
      <c r="H687" s="2" t="s">
        <v>393</v>
      </c>
      <c r="I687" s="2" t="s">
        <v>8005</v>
      </c>
      <c r="J687" s="2"/>
      <c r="K687" s="2"/>
      <c r="L687" s="2" t="s">
        <v>5078</v>
      </c>
      <c r="M687" s="2" t="s">
        <v>7099</v>
      </c>
      <c r="N687" s="2" t="s">
        <v>5325</v>
      </c>
      <c r="O687" s="2" t="s">
        <v>5335</v>
      </c>
      <c r="P687" s="2" t="s">
        <v>8006</v>
      </c>
      <c r="Q687" s="2" t="s">
        <v>8010</v>
      </c>
      <c r="R687" s="2" t="s">
        <v>5297</v>
      </c>
      <c r="S687" s="2"/>
    </row>
    <row r="688" spans="1:19" x14ac:dyDescent="0.2">
      <c r="A688" s="2">
        <v>1962</v>
      </c>
      <c r="B688" s="6" t="s">
        <v>8011</v>
      </c>
      <c r="C688" s="2" t="s">
        <v>8012</v>
      </c>
      <c r="D688" s="2" t="s">
        <v>8013</v>
      </c>
      <c r="E688" s="2" t="s">
        <v>980</v>
      </c>
      <c r="F688" s="2"/>
      <c r="G688" s="2"/>
      <c r="H688" s="2" t="s">
        <v>393</v>
      </c>
      <c r="I688" s="2" t="s">
        <v>8014</v>
      </c>
      <c r="J688" s="2"/>
      <c r="K688" s="2"/>
      <c r="L688" s="2" t="s">
        <v>5078</v>
      </c>
      <c r="M688" s="2" t="s">
        <v>8015</v>
      </c>
      <c r="N688" s="2" t="s">
        <v>5325</v>
      </c>
      <c r="O688" s="2" t="s">
        <v>5335</v>
      </c>
      <c r="P688" s="2" t="s">
        <v>8016</v>
      </c>
      <c r="Q688" s="2" t="s">
        <v>5123</v>
      </c>
      <c r="R688" s="2" t="s">
        <v>5297</v>
      </c>
      <c r="S688" s="2"/>
    </row>
    <row r="689" spans="1:19" x14ac:dyDescent="0.2">
      <c r="A689" s="2">
        <v>2128</v>
      </c>
      <c r="B689" s="6" t="s">
        <v>8017</v>
      </c>
      <c r="C689" s="2" t="s">
        <v>8018</v>
      </c>
      <c r="D689" s="2" t="s">
        <v>8019</v>
      </c>
      <c r="E689" s="2" t="s">
        <v>4929</v>
      </c>
      <c r="F689" s="2"/>
      <c r="G689" s="2"/>
      <c r="H689" s="2" t="s">
        <v>393</v>
      </c>
      <c r="I689" s="2" t="s">
        <v>874</v>
      </c>
      <c r="J689" s="2"/>
      <c r="K689" s="2"/>
      <c r="L689" s="2" t="s">
        <v>5078</v>
      </c>
      <c r="M689" s="2" t="s">
        <v>5128</v>
      </c>
      <c r="N689" s="2" t="s">
        <v>5325</v>
      </c>
      <c r="O689" s="2" t="s">
        <v>5326</v>
      </c>
      <c r="P689" s="2" t="s">
        <v>8020</v>
      </c>
      <c r="Q689" s="2" t="s">
        <v>5091</v>
      </c>
      <c r="R689" s="2" t="s">
        <v>6452</v>
      </c>
      <c r="S689" s="2"/>
    </row>
    <row r="690" spans="1:19" x14ac:dyDescent="0.2">
      <c r="A690" s="2">
        <v>2596</v>
      </c>
      <c r="B690" s="6" t="s">
        <v>8021</v>
      </c>
      <c r="C690" s="2" t="s">
        <v>8022</v>
      </c>
      <c r="D690" s="2" t="s">
        <v>8023</v>
      </c>
      <c r="E690" s="2" t="s">
        <v>8024</v>
      </c>
      <c r="F690" s="2" t="s">
        <v>403</v>
      </c>
      <c r="G690" s="2" t="s">
        <v>8025</v>
      </c>
      <c r="H690" s="2" t="s">
        <v>393</v>
      </c>
      <c r="I690" s="2" t="s">
        <v>8026</v>
      </c>
      <c r="J690" s="2" t="s">
        <v>8027</v>
      </c>
      <c r="K690" s="2"/>
      <c r="L690" s="2" t="s">
        <v>5087</v>
      </c>
      <c r="M690" s="2" t="s">
        <v>5100</v>
      </c>
      <c r="N690" s="2" t="s">
        <v>5325</v>
      </c>
      <c r="O690" s="2" t="s">
        <v>5326</v>
      </c>
      <c r="P690" s="2" t="s">
        <v>8028</v>
      </c>
      <c r="Q690" s="2" t="s">
        <v>8029</v>
      </c>
      <c r="R690" s="2" t="s">
        <v>5100</v>
      </c>
      <c r="S690" s="2" t="s">
        <v>8030</v>
      </c>
    </row>
    <row r="691" spans="1:19" x14ac:dyDescent="0.2">
      <c r="A691" s="2">
        <v>2607</v>
      </c>
      <c r="B691" s="6" t="s">
        <v>8031</v>
      </c>
      <c r="C691" s="2" t="s">
        <v>8032</v>
      </c>
      <c r="D691" s="2" t="s">
        <v>8033</v>
      </c>
      <c r="E691" s="2" t="s">
        <v>55</v>
      </c>
      <c r="F691" s="2" t="s">
        <v>55</v>
      </c>
      <c r="G691" s="2" t="s">
        <v>55</v>
      </c>
      <c r="H691" s="2" t="s">
        <v>393</v>
      </c>
      <c r="I691" s="2" t="s">
        <v>8034</v>
      </c>
      <c r="J691" s="2"/>
      <c r="K691" s="2"/>
      <c r="L691" s="2" t="s">
        <v>5087</v>
      </c>
      <c r="M691" s="2"/>
      <c r="N691" s="2" t="s">
        <v>5325</v>
      </c>
      <c r="O691" s="2" t="s">
        <v>5081</v>
      </c>
      <c r="P691" s="2" t="s">
        <v>8035</v>
      </c>
      <c r="Q691" s="2" t="s">
        <v>8036</v>
      </c>
      <c r="R691" s="2"/>
      <c r="S691" s="2" t="s">
        <v>8037</v>
      </c>
    </row>
    <row r="692" spans="1:19" x14ac:dyDescent="0.2">
      <c r="A692" s="2">
        <v>2619</v>
      </c>
      <c r="B692" s="6" t="s">
        <v>8038</v>
      </c>
      <c r="C692" s="2" t="s">
        <v>8039</v>
      </c>
      <c r="D692" s="2" t="s">
        <v>8040</v>
      </c>
      <c r="E692" s="2" t="s">
        <v>8041</v>
      </c>
      <c r="F692" s="2" t="s">
        <v>8041</v>
      </c>
      <c r="G692" s="2" t="s">
        <v>8041</v>
      </c>
      <c r="H692" s="2" t="s">
        <v>393</v>
      </c>
      <c r="I692" s="2" t="s">
        <v>8042</v>
      </c>
      <c r="J692" s="2" t="s">
        <v>8043</v>
      </c>
      <c r="K692" s="2"/>
      <c r="L692" s="2" t="s">
        <v>5345</v>
      </c>
      <c r="M692" s="2" t="s">
        <v>5100</v>
      </c>
      <c r="N692" s="2" t="s">
        <v>5325</v>
      </c>
      <c r="O692" s="2" t="s">
        <v>5335</v>
      </c>
      <c r="P692" s="2" t="s">
        <v>8044</v>
      </c>
      <c r="Q692" s="2" t="s">
        <v>8045</v>
      </c>
      <c r="R692" s="2" t="s">
        <v>5100</v>
      </c>
      <c r="S692" s="2" t="s">
        <v>8046</v>
      </c>
    </row>
    <row r="693" spans="1:19" x14ac:dyDescent="0.2">
      <c r="A693" s="2">
        <v>2621</v>
      </c>
      <c r="B693" s="6" t="s">
        <v>8047</v>
      </c>
      <c r="C693" s="2" t="s">
        <v>8048</v>
      </c>
      <c r="D693" s="2" t="s">
        <v>8049</v>
      </c>
      <c r="E693" s="2" t="s">
        <v>1907</v>
      </c>
      <c r="F693" s="2" t="s">
        <v>1907</v>
      </c>
      <c r="G693" s="2" t="s">
        <v>625</v>
      </c>
      <c r="H693" s="2" t="s">
        <v>393</v>
      </c>
      <c r="I693" s="2" t="s">
        <v>8050</v>
      </c>
      <c r="J693" s="2"/>
      <c r="K693" s="2"/>
      <c r="L693" s="2" t="s">
        <v>5334</v>
      </c>
      <c r="M693" s="2" t="s">
        <v>5100</v>
      </c>
      <c r="N693" s="2" t="s">
        <v>5325</v>
      </c>
      <c r="O693" s="2" t="s">
        <v>5335</v>
      </c>
      <c r="P693" s="2" t="s">
        <v>8051</v>
      </c>
      <c r="Q693" s="2" t="s">
        <v>5224</v>
      </c>
      <c r="R693" s="2" t="s">
        <v>5100</v>
      </c>
      <c r="S693" s="2" t="s">
        <v>5995</v>
      </c>
    </row>
    <row r="694" spans="1:19" x14ac:dyDescent="0.2">
      <c r="A694" s="2">
        <v>2629</v>
      </c>
      <c r="B694" s="6" t="s">
        <v>8052</v>
      </c>
      <c r="C694" s="2" t="s">
        <v>8053</v>
      </c>
      <c r="D694" s="2" t="s">
        <v>8054</v>
      </c>
      <c r="E694" s="2" t="s">
        <v>8055</v>
      </c>
      <c r="F694" s="2" t="s">
        <v>8056</v>
      </c>
      <c r="G694" s="2" t="s">
        <v>8056</v>
      </c>
      <c r="H694" s="2" t="s">
        <v>393</v>
      </c>
      <c r="I694" s="2" t="s">
        <v>491</v>
      </c>
      <c r="J694" s="2" t="s">
        <v>7656</v>
      </c>
      <c r="K694" s="2"/>
      <c r="L694" s="2" t="s">
        <v>5345</v>
      </c>
      <c r="M694" s="2" t="s">
        <v>5100</v>
      </c>
      <c r="N694" s="2" t="s">
        <v>5325</v>
      </c>
      <c r="O694" s="2" t="s">
        <v>5335</v>
      </c>
      <c r="P694" s="2" t="s">
        <v>8057</v>
      </c>
      <c r="Q694" s="2" t="s">
        <v>8058</v>
      </c>
      <c r="R694" s="2" t="s">
        <v>5100</v>
      </c>
      <c r="S694" s="2" t="s">
        <v>8059</v>
      </c>
    </row>
    <row r="695" spans="1:19" x14ac:dyDescent="0.2">
      <c r="A695" s="2">
        <v>2634</v>
      </c>
      <c r="B695" s="6" t="s">
        <v>8060</v>
      </c>
      <c r="C695" s="2" t="s">
        <v>8061</v>
      </c>
      <c r="D695" s="2" t="s">
        <v>8062</v>
      </c>
      <c r="E695" s="2" t="s">
        <v>8063</v>
      </c>
      <c r="F695" s="2" t="s">
        <v>8064</v>
      </c>
      <c r="G695" s="2" t="s">
        <v>8063</v>
      </c>
      <c r="H695" s="2" t="s">
        <v>393</v>
      </c>
      <c r="I695" s="2" t="s">
        <v>1422</v>
      </c>
      <c r="J695" s="2" t="s">
        <v>8065</v>
      </c>
      <c r="K695" s="2"/>
      <c r="L695" s="2" t="s">
        <v>5345</v>
      </c>
      <c r="M695" s="2" t="s">
        <v>5100</v>
      </c>
      <c r="N695" s="2" t="s">
        <v>5325</v>
      </c>
      <c r="O695" s="2" t="s">
        <v>5326</v>
      </c>
      <c r="P695" s="2" t="s">
        <v>8066</v>
      </c>
      <c r="Q695" s="2" t="s">
        <v>8067</v>
      </c>
      <c r="R695" s="2" t="s">
        <v>5100</v>
      </c>
      <c r="S695" s="2" t="s">
        <v>5995</v>
      </c>
    </row>
    <row r="696" spans="1:19" x14ac:dyDescent="0.2">
      <c r="A696" s="2">
        <v>2636</v>
      </c>
      <c r="B696" s="6" t="s">
        <v>8068</v>
      </c>
      <c r="C696" s="2" t="s">
        <v>8069</v>
      </c>
      <c r="D696" s="2" t="s">
        <v>8070</v>
      </c>
      <c r="E696" s="2" t="s">
        <v>8071</v>
      </c>
      <c r="F696" s="2" t="s">
        <v>513</v>
      </c>
      <c r="G696" s="2" t="s">
        <v>513</v>
      </c>
      <c r="H696" s="2" t="s">
        <v>393</v>
      </c>
      <c r="I696" s="2" t="s">
        <v>8072</v>
      </c>
      <c r="J696" s="2" t="s">
        <v>8073</v>
      </c>
      <c r="K696" s="2"/>
      <c r="L696" s="2" t="s">
        <v>5087</v>
      </c>
      <c r="M696" s="2" t="s">
        <v>5100</v>
      </c>
      <c r="N696" s="2" t="s">
        <v>5325</v>
      </c>
      <c r="O696" s="2" t="s">
        <v>5335</v>
      </c>
      <c r="P696" s="2" t="s">
        <v>8074</v>
      </c>
      <c r="Q696" s="2" t="s">
        <v>8075</v>
      </c>
      <c r="R696" s="2" t="s">
        <v>5100</v>
      </c>
      <c r="S696" s="2"/>
    </row>
    <row r="697" spans="1:19" x14ac:dyDescent="0.2">
      <c r="A697" s="2">
        <v>2643</v>
      </c>
      <c r="B697" s="6" t="s">
        <v>8076</v>
      </c>
      <c r="C697" s="2" t="s">
        <v>8077</v>
      </c>
      <c r="D697" s="2" t="s">
        <v>8078</v>
      </c>
      <c r="E697" s="2" t="s">
        <v>8079</v>
      </c>
      <c r="F697" s="2" t="s">
        <v>8079</v>
      </c>
      <c r="G697" s="2" t="s">
        <v>8079</v>
      </c>
      <c r="H697" s="2" t="s">
        <v>393</v>
      </c>
      <c r="I697" s="2" t="s">
        <v>8080</v>
      </c>
      <c r="J697" s="2" t="s">
        <v>5386</v>
      </c>
      <c r="K697" s="2"/>
      <c r="L697" s="2" t="s">
        <v>5087</v>
      </c>
      <c r="M697" s="2" t="s">
        <v>5100</v>
      </c>
      <c r="N697" s="2" t="s">
        <v>5325</v>
      </c>
      <c r="O697" s="2" t="s">
        <v>5081</v>
      </c>
      <c r="P697" s="2" t="s">
        <v>8081</v>
      </c>
      <c r="Q697" s="2" t="s">
        <v>5224</v>
      </c>
      <c r="R697" s="2" t="s">
        <v>5100</v>
      </c>
      <c r="S697" s="2" t="s">
        <v>5995</v>
      </c>
    </row>
    <row r="698" spans="1:19" x14ac:dyDescent="0.2">
      <c r="A698" s="2">
        <v>2646</v>
      </c>
      <c r="B698" s="6" t="s">
        <v>8082</v>
      </c>
      <c r="C698" s="2" t="s">
        <v>8083</v>
      </c>
      <c r="D698" s="2" t="s">
        <v>8084</v>
      </c>
      <c r="E698" s="2" t="s">
        <v>8085</v>
      </c>
      <c r="F698" s="2" t="s">
        <v>8085</v>
      </c>
      <c r="G698" s="2" t="s">
        <v>8085</v>
      </c>
      <c r="H698" s="2" t="s">
        <v>393</v>
      </c>
      <c r="I698" s="2" t="s">
        <v>8086</v>
      </c>
      <c r="J698" s="2" t="s">
        <v>5386</v>
      </c>
      <c r="K698" s="2"/>
      <c r="L698" s="2" t="s">
        <v>5087</v>
      </c>
      <c r="M698" s="2" t="s">
        <v>5100</v>
      </c>
      <c r="N698" s="2" t="s">
        <v>5325</v>
      </c>
      <c r="O698" s="2" t="s">
        <v>5335</v>
      </c>
      <c r="P698" s="2" t="s">
        <v>8087</v>
      </c>
      <c r="Q698" s="2" t="s">
        <v>5224</v>
      </c>
      <c r="R698" s="2" t="s">
        <v>5100</v>
      </c>
      <c r="S698" s="2"/>
    </row>
    <row r="699" spans="1:19" x14ac:dyDescent="0.2">
      <c r="A699" s="2">
        <v>2669</v>
      </c>
      <c r="B699" s="6" t="s">
        <v>8088</v>
      </c>
      <c r="C699" s="2" t="s">
        <v>8089</v>
      </c>
      <c r="D699" s="2" t="s">
        <v>8090</v>
      </c>
      <c r="E699" s="2" t="s">
        <v>8091</v>
      </c>
      <c r="F699" s="2" t="s">
        <v>3378</v>
      </c>
      <c r="G699" s="2" t="s">
        <v>3378</v>
      </c>
      <c r="H699" s="2" t="s">
        <v>393</v>
      </c>
      <c r="I699" s="2" t="s">
        <v>8092</v>
      </c>
      <c r="J699" s="2"/>
      <c r="K699" s="2"/>
      <c r="L699" s="2" t="s">
        <v>5087</v>
      </c>
      <c r="M699" s="2" t="s">
        <v>5100</v>
      </c>
      <c r="N699" s="2" t="s">
        <v>5325</v>
      </c>
      <c r="O699" s="2" t="s">
        <v>5335</v>
      </c>
      <c r="P699" s="2" t="s">
        <v>8093</v>
      </c>
      <c r="Q699" s="2" t="s">
        <v>5224</v>
      </c>
      <c r="R699" s="2" t="s">
        <v>5100</v>
      </c>
      <c r="S699" s="2"/>
    </row>
    <row r="700" spans="1:19" x14ac:dyDescent="0.2">
      <c r="A700" s="2">
        <v>3318</v>
      </c>
      <c r="B700" s="6" t="s">
        <v>8094</v>
      </c>
      <c r="C700" s="2" t="s">
        <v>8095</v>
      </c>
      <c r="D700" s="2" t="s">
        <v>8096</v>
      </c>
      <c r="E700" s="2" t="s">
        <v>8097</v>
      </c>
      <c r="F700" s="2"/>
      <c r="G700" s="2"/>
      <c r="H700" s="2" t="s">
        <v>393</v>
      </c>
      <c r="I700" s="2" t="s">
        <v>8098</v>
      </c>
      <c r="J700" s="2"/>
      <c r="K700" s="2"/>
      <c r="L700" s="2" t="s">
        <v>5334</v>
      </c>
      <c r="M700" s="2" t="s">
        <v>5324</v>
      </c>
      <c r="N700" s="2" t="s">
        <v>5325</v>
      </c>
      <c r="O700" s="2" t="s">
        <v>5335</v>
      </c>
      <c r="P700" s="2" t="s">
        <v>8099</v>
      </c>
      <c r="Q700" s="2" t="s">
        <v>5091</v>
      </c>
      <c r="R700" s="2" t="s">
        <v>5324</v>
      </c>
      <c r="S700" s="2"/>
    </row>
    <row r="701" spans="1:19" x14ac:dyDescent="0.2">
      <c r="A701" s="2">
        <v>3319</v>
      </c>
      <c r="B701" s="6" t="s">
        <v>8100</v>
      </c>
      <c r="C701" s="2" t="s">
        <v>8101</v>
      </c>
      <c r="D701" s="2" t="s">
        <v>8102</v>
      </c>
      <c r="E701" s="2" t="s">
        <v>8103</v>
      </c>
      <c r="F701" s="2"/>
      <c r="G701" s="2"/>
      <c r="H701" s="2" t="s">
        <v>393</v>
      </c>
      <c r="I701" s="2" t="s">
        <v>432</v>
      </c>
      <c r="J701" s="2"/>
      <c r="K701" s="2"/>
      <c r="L701" s="2" t="s">
        <v>5078</v>
      </c>
      <c r="M701" s="2"/>
      <c r="N701" s="2" t="s">
        <v>5325</v>
      </c>
      <c r="O701" s="2" t="s">
        <v>5330</v>
      </c>
      <c r="P701" s="2" t="s">
        <v>8104</v>
      </c>
      <c r="Q701" s="2" t="s">
        <v>8105</v>
      </c>
      <c r="R701" s="2"/>
      <c r="S701" s="2"/>
    </row>
    <row r="702" spans="1:19" x14ac:dyDescent="0.2">
      <c r="A702" s="2">
        <v>3320</v>
      </c>
      <c r="B702" s="6" t="s">
        <v>8106</v>
      </c>
      <c r="C702" s="2" t="s">
        <v>8107</v>
      </c>
      <c r="D702" s="2" t="s">
        <v>8108</v>
      </c>
      <c r="E702" s="2" t="s">
        <v>207</v>
      </c>
      <c r="F702" s="2" t="s">
        <v>8109</v>
      </c>
      <c r="G702" s="2" t="s">
        <v>8110</v>
      </c>
      <c r="H702" s="2" t="s">
        <v>393</v>
      </c>
      <c r="I702" s="2" t="s">
        <v>432</v>
      </c>
      <c r="J702" s="2" t="s">
        <v>8111</v>
      </c>
      <c r="K702" s="2"/>
      <c r="L702" s="2" t="s">
        <v>5078</v>
      </c>
      <c r="M702" s="2" t="s">
        <v>6340</v>
      </c>
      <c r="N702" s="2" t="s">
        <v>5325</v>
      </c>
      <c r="O702" s="2" t="s">
        <v>5330</v>
      </c>
      <c r="P702" s="2" t="s">
        <v>8112</v>
      </c>
      <c r="Q702" s="2" t="s">
        <v>5459</v>
      </c>
      <c r="R702" s="2" t="s">
        <v>6340</v>
      </c>
      <c r="S702" s="2"/>
    </row>
    <row r="703" spans="1:19" x14ac:dyDescent="0.2">
      <c r="A703" s="2">
        <v>3321</v>
      </c>
      <c r="B703" s="6" t="s">
        <v>8113</v>
      </c>
      <c r="C703" s="2" t="s">
        <v>8114</v>
      </c>
      <c r="D703" s="2" t="s">
        <v>8115</v>
      </c>
      <c r="E703" s="2" t="s">
        <v>8116</v>
      </c>
      <c r="F703" s="2" t="s">
        <v>192</v>
      </c>
      <c r="G703" s="2" t="s">
        <v>192</v>
      </c>
      <c r="H703" s="2" t="s">
        <v>393</v>
      </c>
      <c r="I703" s="2" t="s">
        <v>8117</v>
      </c>
      <c r="J703" s="2"/>
      <c r="K703" s="2"/>
      <c r="L703" s="2" t="s">
        <v>5482</v>
      </c>
      <c r="M703" s="2" t="s">
        <v>8118</v>
      </c>
      <c r="N703" s="2" t="s">
        <v>5325</v>
      </c>
      <c r="O703" s="2" t="s">
        <v>5335</v>
      </c>
      <c r="P703" s="2" t="s">
        <v>8119</v>
      </c>
      <c r="Q703" s="2" t="s">
        <v>5091</v>
      </c>
      <c r="R703" s="2" t="s">
        <v>8118</v>
      </c>
      <c r="S703" s="2"/>
    </row>
    <row r="704" spans="1:19" x14ac:dyDescent="0.2">
      <c r="A704" s="2">
        <v>3322</v>
      </c>
      <c r="B704" s="6" t="s">
        <v>8120</v>
      </c>
      <c r="C704" s="2" t="s">
        <v>8121</v>
      </c>
      <c r="D704" s="2" t="s">
        <v>8122</v>
      </c>
      <c r="E704" s="2" t="s">
        <v>199</v>
      </c>
      <c r="F704" s="2"/>
      <c r="G704" s="2"/>
      <c r="H704" s="2" t="s">
        <v>393</v>
      </c>
      <c r="I704" s="2" t="s">
        <v>8117</v>
      </c>
      <c r="J704" s="2"/>
      <c r="K704" s="2"/>
      <c r="L704" s="2" t="s">
        <v>5709</v>
      </c>
      <c r="M704" s="2" t="s">
        <v>5079</v>
      </c>
      <c r="N704" s="2" t="s">
        <v>5325</v>
      </c>
      <c r="O704" s="2" t="s">
        <v>5330</v>
      </c>
      <c r="P704" s="2" t="s">
        <v>8123</v>
      </c>
      <c r="Q704" s="2"/>
      <c r="R704" s="2" t="s">
        <v>5079</v>
      </c>
      <c r="S704" s="2"/>
    </row>
    <row r="705" spans="1:19" x14ac:dyDescent="0.2">
      <c r="A705" s="2">
        <v>3325</v>
      </c>
      <c r="B705" s="6" t="s">
        <v>8124</v>
      </c>
      <c r="C705" s="2" t="s">
        <v>8125</v>
      </c>
      <c r="D705" s="2" t="s">
        <v>8126</v>
      </c>
      <c r="E705" s="2" t="s">
        <v>8127</v>
      </c>
      <c r="F705" s="2" t="s">
        <v>8128</v>
      </c>
      <c r="G705" s="2" t="s">
        <v>8127</v>
      </c>
      <c r="H705" s="2" t="s">
        <v>393</v>
      </c>
      <c r="I705" s="2" t="s">
        <v>8129</v>
      </c>
      <c r="J705" s="2" t="s">
        <v>1353</v>
      </c>
      <c r="K705" s="2"/>
      <c r="L705" s="2" t="s">
        <v>5078</v>
      </c>
      <c r="M705" s="2" t="s">
        <v>5324</v>
      </c>
      <c r="N705" s="2" t="s">
        <v>5325</v>
      </c>
      <c r="O705" s="2" t="s">
        <v>5691</v>
      </c>
      <c r="P705" s="2" t="s">
        <v>8130</v>
      </c>
      <c r="Q705" s="2" t="s">
        <v>5091</v>
      </c>
      <c r="R705" s="2" t="s">
        <v>5757</v>
      </c>
      <c r="S705" s="2"/>
    </row>
    <row r="706" spans="1:19" x14ac:dyDescent="0.2">
      <c r="A706" s="2">
        <v>3326</v>
      </c>
      <c r="B706" s="6" t="s">
        <v>8131</v>
      </c>
      <c r="C706" s="2" t="s">
        <v>8132</v>
      </c>
      <c r="D706" s="2" t="s">
        <v>8133</v>
      </c>
      <c r="E706" s="2" t="s">
        <v>8134</v>
      </c>
      <c r="F706" s="2" t="s">
        <v>8134</v>
      </c>
      <c r="G706" s="2" t="s">
        <v>8134</v>
      </c>
      <c r="H706" s="2" t="s">
        <v>393</v>
      </c>
      <c r="I706" s="2" t="s">
        <v>8129</v>
      </c>
      <c r="J706" s="2"/>
      <c r="K706" s="2"/>
      <c r="L706" s="2" t="s">
        <v>5334</v>
      </c>
      <c r="M706" s="2" t="s">
        <v>5079</v>
      </c>
      <c r="N706" s="2" t="s">
        <v>5325</v>
      </c>
      <c r="O706" s="2" t="s">
        <v>5326</v>
      </c>
      <c r="P706" s="2" t="s">
        <v>8135</v>
      </c>
      <c r="Q706" s="2" t="s">
        <v>5091</v>
      </c>
      <c r="R706" s="2" t="s">
        <v>5079</v>
      </c>
      <c r="S706" s="2"/>
    </row>
    <row r="707" spans="1:19" x14ac:dyDescent="0.2">
      <c r="A707" s="2">
        <v>3327</v>
      </c>
      <c r="B707" s="6" t="s">
        <v>8136</v>
      </c>
      <c r="C707" s="2" t="s">
        <v>8137</v>
      </c>
      <c r="D707" s="2" t="s">
        <v>8137</v>
      </c>
      <c r="E707" s="2" t="s">
        <v>8138</v>
      </c>
      <c r="F707" s="2"/>
      <c r="G707" s="2"/>
      <c r="H707" s="2" t="s">
        <v>393</v>
      </c>
      <c r="I707" s="2" t="s">
        <v>874</v>
      </c>
      <c r="J707" s="2"/>
      <c r="K707" s="2"/>
      <c r="L707" s="2" t="s">
        <v>5078</v>
      </c>
      <c r="M707" s="2" t="s">
        <v>5079</v>
      </c>
      <c r="N707" s="2" t="s">
        <v>5325</v>
      </c>
      <c r="O707" s="2" t="s">
        <v>5691</v>
      </c>
      <c r="P707" s="2" t="s">
        <v>8139</v>
      </c>
      <c r="Q707" s="2" t="s">
        <v>5091</v>
      </c>
      <c r="R707" s="2" t="s">
        <v>5079</v>
      </c>
      <c r="S707" s="2"/>
    </row>
    <row r="708" spans="1:19" x14ac:dyDescent="0.2">
      <c r="A708" s="2">
        <v>3328</v>
      </c>
      <c r="B708" s="6" t="s">
        <v>8140</v>
      </c>
      <c r="C708" s="2" t="s">
        <v>8141</v>
      </c>
      <c r="D708" s="2" t="s">
        <v>8142</v>
      </c>
      <c r="E708" s="2" t="s">
        <v>644</v>
      </c>
      <c r="F708" s="2" t="s">
        <v>67</v>
      </c>
      <c r="G708" s="2" t="s">
        <v>644</v>
      </c>
      <c r="H708" s="2" t="s">
        <v>393</v>
      </c>
      <c r="I708" s="2" t="s">
        <v>874</v>
      </c>
      <c r="J708" s="2"/>
      <c r="K708" s="2"/>
      <c r="L708" s="2" t="s">
        <v>5078</v>
      </c>
      <c r="M708" s="2" t="s">
        <v>5079</v>
      </c>
      <c r="N708" s="2" t="s">
        <v>5325</v>
      </c>
      <c r="O708" s="2" t="s">
        <v>5081</v>
      </c>
      <c r="P708" s="2" t="s">
        <v>8143</v>
      </c>
      <c r="Q708" s="2"/>
      <c r="R708" s="2" t="s">
        <v>5079</v>
      </c>
      <c r="S708" s="2"/>
    </row>
    <row r="709" spans="1:19" x14ac:dyDescent="0.2">
      <c r="A709" s="2">
        <v>3329</v>
      </c>
      <c r="B709" s="6" t="s">
        <v>8144</v>
      </c>
      <c r="C709" s="2" t="s">
        <v>8145</v>
      </c>
      <c r="D709" s="2" t="s">
        <v>8146</v>
      </c>
      <c r="E709" s="2" t="s">
        <v>2478</v>
      </c>
      <c r="F709" s="2" t="s">
        <v>980</v>
      </c>
      <c r="G709" s="2" t="s">
        <v>980</v>
      </c>
      <c r="H709" s="2" t="s">
        <v>393</v>
      </c>
      <c r="I709" s="2" t="s">
        <v>874</v>
      </c>
      <c r="J709" s="2"/>
      <c r="K709" s="2"/>
      <c r="L709" s="2" t="s">
        <v>5078</v>
      </c>
      <c r="M709" s="2" t="s">
        <v>5079</v>
      </c>
      <c r="N709" s="2" t="s">
        <v>5325</v>
      </c>
      <c r="O709" s="2" t="s">
        <v>5362</v>
      </c>
      <c r="P709" s="2" t="s">
        <v>8147</v>
      </c>
      <c r="Q709" s="2" t="s">
        <v>5091</v>
      </c>
      <c r="R709" s="2" t="s">
        <v>5079</v>
      </c>
      <c r="S709" s="2"/>
    </row>
    <row r="710" spans="1:19" x14ac:dyDescent="0.2">
      <c r="A710" s="2">
        <v>3330</v>
      </c>
      <c r="B710" s="6" t="s">
        <v>8148</v>
      </c>
      <c r="C710" s="2" t="s">
        <v>8149</v>
      </c>
      <c r="D710" s="2" t="s">
        <v>8150</v>
      </c>
      <c r="E710" s="2" t="s">
        <v>8151</v>
      </c>
      <c r="F710" s="2"/>
      <c r="G710" s="2"/>
      <c r="H710" s="2" t="s">
        <v>393</v>
      </c>
      <c r="I710" s="2" t="s">
        <v>874</v>
      </c>
      <c r="J710" s="2"/>
      <c r="K710" s="2"/>
      <c r="L710" s="2" t="s">
        <v>5078</v>
      </c>
      <c r="M710" s="2" t="s">
        <v>5107</v>
      </c>
      <c r="N710" s="2" t="s">
        <v>5325</v>
      </c>
      <c r="O710" s="2" t="s">
        <v>5362</v>
      </c>
      <c r="P710" s="2" t="s">
        <v>8152</v>
      </c>
      <c r="Q710" s="2"/>
      <c r="R710" s="2" t="s">
        <v>5107</v>
      </c>
      <c r="S710" s="2"/>
    </row>
    <row r="711" spans="1:19" x14ac:dyDescent="0.2">
      <c r="A711" s="2">
        <v>3331</v>
      </c>
      <c r="B711" s="6" t="s">
        <v>8153</v>
      </c>
      <c r="C711" s="2" t="s">
        <v>8154</v>
      </c>
      <c r="D711" s="2" t="s">
        <v>8155</v>
      </c>
      <c r="E711" s="2" t="s">
        <v>8156</v>
      </c>
      <c r="F711" s="2"/>
      <c r="G711" s="2"/>
      <c r="H711" s="2" t="s">
        <v>393</v>
      </c>
      <c r="I711" s="2" t="s">
        <v>874</v>
      </c>
      <c r="J711" s="2"/>
      <c r="K711" s="2"/>
      <c r="L711" s="2" t="s">
        <v>5078</v>
      </c>
      <c r="M711" s="2" t="s">
        <v>5079</v>
      </c>
      <c r="N711" s="2" t="s">
        <v>5325</v>
      </c>
      <c r="O711" s="2" t="s">
        <v>5081</v>
      </c>
      <c r="P711" s="2" t="s">
        <v>8157</v>
      </c>
      <c r="Q711" s="2" t="s">
        <v>5091</v>
      </c>
      <c r="R711" s="2" t="s">
        <v>5079</v>
      </c>
      <c r="S711" s="2"/>
    </row>
    <row r="712" spans="1:19" x14ac:dyDescent="0.2">
      <c r="A712" s="2">
        <v>3332</v>
      </c>
      <c r="B712" s="6" t="s">
        <v>8158</v>
      </c>
      <c r="C712" s="2" t="s">
        <v>8159</v>
      </c>
      <c r="D712" s="2" t="s">
        <v>8160</v>
      </c>
      <c r="E712" s="2" t="s">
        <v>8161</v>
      </c>
      <c r="F712" s="2"/>
      <c r="G712" s="2"/>
      <c r="H712" s="2" t="s">
        <v>393</v>
      </c>
      <c r="I712" s="2" t="s">
        <v>874</v>
      </c>
      <c r="J712" s="2"/>
      <c r="K712" s="2"/>
      <c r="L712" s="2" t="s">
        <v>5078</v>
      </c>
      <c r="M712" s="2" t="s">
        <v>5079</v>
      </c>
      <c r="N712" s="2" t="s">
        <v>5325</v>
      </c>
      <c r="O712" s="2" t="s">
        <v>5326</v>
      </c>
      <c r="P712" s="2" t="s">
        <v>8162</v>
      </c>
      <c r="Q712" s="2"/>
      <c r="R712" s="2" t="s">
        <v>5079</v>
      </c>
      <c r="S712" s="2" t="s">
        <v>8163</v>
      </c>
    </row>
    <row r="713" spans="1:19" x14ac:dyDescent="0.2">
      <c r="A713" s="2">
        <v>3333</v>
      </c>
      <c r="B713" s="6" t="s">
        <v>8164</v>
      </c>
      <c r="C713" s="2" t="s">
        <v>8165</v>
      </c>
      <c r="D713" s="2" t="s">
        <v>8166</v>
      </c>
      <c r="E713" s="2" t="s">
        <v>8167</v>
      </c>
      <c r="F713" s="2"/>
      <c r="G713" s="2"/>
      <c r="H713" s="2" t="s">
        <v>393</v>
      </c>
      <c r="I713" s="2" t="s">
        <v>874</v>
      </c>
      <c r="J713" s="2"/>
      <c r="K713" s="2"/>
      <c r="L713" s="2" t="s">
        <v>5078</v>
      </c>
      <c r="M713" s="2" t="s">
        <v>5079</v>
      </c>
      <c r="N713" s="2" t="s">
        <v>5325</v>
      </c>
      <c r="O713" s="2" t="s">
        <v>5362</v>
      </c>
      <c r="P713" s="2" t="s">
        <v>8168</v>
      </c>
      <c r="Q713" s="2" t="s">
        <v>5091</v>
      </c>
      <c r="R713" s="2" t="s">
        <v>5079</v>
      </c>
      <c r="S713" s="2"/>
    </row>
    <row r="714" spans="1:19" x14ac:dyDescent="0.2">
      <c r="A714" s="2">
        <v>3385</v>
      </c>
      <c r="B714" s="6" t="s">
        <v>8169</v>
      </c>
      <c r="C714" s="2" t="s">
        <v>8170</v>
      </c>
      <c r="D714" s="2" t="s">
        <v>8171</v>
      </c>
      <c r="E714" s="2" t="s">
        <v>8172</v>
      </c>
      <c r="F714" s="2" t="s">
        <v>8173</v>
      </c>
      <c r="G714" s="2" t="s">
        <v>8172</v>
      </c>
      <c r="H714" s="2" t="s">
        <v>393</v>
      </c>
      <c r="I714" s="2" t="s">
        <v>8174</v>
      </c>
      <c r="J714" s="2" t="s">
        <v>333</v>
      </c>
      <c r="K714" s="2" t="s">
        <v>8175</v>
      </c>
      <c r="L714" s="2" t="s">
        <v>5334</v>
      </c>
      <c r="M714" s="2" t="s">
        <v>5128</v>
      </c>
      <c r="N714" s="2" t="s">
        <v>5325</v>
      </c>
      <c r="O714" s="2" t="s">
        <v>5362</v>
      </c>
      <c r="P714" s="2" t="s">
        <v>8176</v>
      </c>
      <c r="Q714" s="2" t="s">
        <v>8177</v>
      </c>
      <c r="R714" s="2" t="s">
        <v>6322</v>
      </c>
      <c r="S714" s="2" t="s">
        <v>5281</v>
      </c>
    </row>
    <row r="715" spans="1:19" ht="320" x14ac:dyDescent="0.2">
      <c r="A715" s="2">
        <v>3394</v>
      </c>
      <c r="B715" s="6" t="s">
        <v>8178</v>
      </c>
      <c r="C715" s="2" t="s">
        <v>8179</v>
      </c>
      <c r="D715" s="18" t="s">
        <v>8180</v>
      </c>
      <c r="E715" s="2" t="s">
        <v>8181</v>
      </c>
      <c r="F715" s="2"/>
      <c r="G715" s="2"/>
      <c r="H715" s="2" t="s">
        <v>393</v>
      </c>
      <c r="I715" s="2" t="s">
        <v>589</v>
      </c>
      <c r="J715" s="2" t="s">
        <v>135</v>
      </c>
      <c r="K715" s="2"/>
      <c r="L715" s="2" t="s">
        <v>5078</v>
      </c>
      <c r="M715" s="2" t="s">
        <v>5079</v>
      </c>
      <c r="N715" s="2" t="s">
        <v>5325</v>
      </c>
      <c r="O715" s="2" t="s">
        <v>5335</v>
      </c>
      <c r="P715" s="2" t="s">
        <v>8182</v>
      </c>
      <c r="Q715" s="2" t="s">
        <v>5242</v>
      </c>
      <c r="R715" s="2" t="s">
        <v>5079</v>
      </c>
      <c r="S715" s="2" t="s">
        <v>8163</v>
      </c>
    </row>
    <row r="716" spans="1:19" x14ac:dyDescent="0.2">
      <c r="A716" s="2">
        <v>3400</v>
      </c>
      <c r="B716" s="6" t="s">
        <v>8183</v>
      </c>
      <c r="C716" s="2" t="s">
        <v>8184</v>
      </c>
      <c r="D716" s="2" t="s">
        <v>8185</v>
      </c>
      <c r="E716" s="2" t="s">
        <v>8161</v>
      </c>
      <c r="F716" s="2" t="s">
        <v>8161</v>
      </c>
      <c r="G716" s="2" t="s">
        <v>8161</v>
      </c>
      <c r="H716" s="2" t="s">
        <v>393</v>
      </c>
      <c r="I716" s="2" t="s">
        <v>8186</v>
      </c>
      <c r="J716" s="2"/>
      <c r="K716" s="2"/>
      <c r="L716" s="2" t="s">
        <v>5078</v>
      </c>
      <c r="M716" s="2" t="s">
        <v>6340</v>
      </c>
      <c r="N716" s="2" t="s">
        <v>5325</v>
      </c>
      <c r="O716" s="2" t="s">
        <v>5335</v>
      </c>
      <c r="P716" s="2" t="s">
        <v>8187</v>
      </c>
      <c r="Q716" s="2" t="s">
        <v>5091</v>
      </c>
      <c r="R716" s="2" t="s">
        <v>6340</v>
      </c>
      <c r="S716" s="2"/>
    </row>
    <row r="717" spans="1:19" x14ac:dyDescent="0.2">
      <c r="A717" s="2">
        <v>3401</v>
      </c>
      <c r="B717" s="6" t="s">
        <v>8188</v>
      </c>
      <c r="C717" s="2" t="s">
        <v>8189</v>
      </c>
      <c r="D717" s="2" t="s">
        <v>8190</v>
      </c>
      <c r="E717" s="2" t="s">
        <v>8191</v>
      </c>
      <c r="F717" s="2"/>
      <c r="G717" s="2"/>
      <c r="H717" s="2" t="s">
        <v>393</v>
      </c>
      <c r="I717" s="2" t="s">
        <v>8192</v>
      </c>
      <c r="J717" s="2"/>
      <c r="K717" s="2"/>
      <c r="L717" s="2" t="s">
        <v>5087</v>
      </c>
      <c r="M717" s="2"/>
      <c r="N717" s="2" t="s">
        <v>5325</v>
      </c>
      <c r="O717" s="2" t="s">
        <v>5335</v>
      </c>
      <c r="P717" s="2" t="s">
        <v>8193</v>
      </c>
      <c r="Q717" s="2" t="s">
        <v>5091</v>
      </c>
      <c r="R717" s="2" t="s">
        <v>5079</v>
      </c>
      <c r="S717" s="2"/>
    </row>
    <row r="718" spans="1:19" x14ac:dyDescent="0.2">
      <c r="A718" s="2">
        <v>3402</v>
      </c>
      <c r="B718" s="6" t="s">
        <v>8194</v>
      </c>
      <c r="C718" s="2" t="s">
        <v>8195</v>
      </c>
      <c r="D718" s="2" t="s">
        <v>8196</v>
      </c>
      <c r="E718" s="2" t="s">
        <v>8197</v>
      </c>
      <c r="F718" s="2" t="s">
        <v>8197</v>
      </c>
      <c r="G718" s="2" t="s">
        <v>8197</v>
      </c>
      <c r="H718" s="2" t="s">
        <v>393</v>
      </c>
      <c r="I718" s="2" t="s">
        <v>8198</v>
      </c>
      <c r="J718" s="2"/>
      <c r="K718" s="2"/>
      <c r="L718" s="2" t="s">
        <v>5087</v>
      </c>
      <c r="M718" s="2" t="s">
        <v>6561</v>
      </c>
      <c r="N718" s="2" t="s">
        <v>5325</v>
      </c>
      <c r="O718" s="2" t="s">
        <v>5335</v>
      </c>
      <c r="P718" s="2" t="s">
        <v>8199</v>
      </c>
      <c r="Q718" s="2" t="s">
        <v>6990</v>
      </c>
      <c r="R718" s="2" t="s">
        <v>6561</v>
      </c>
      <c r="S718" s="2" t="s">
        <v>8200</v>
      </c>
    </row>
    <row r="719" spans="1:19" x14ac:dyDescent="0.2">
      <c r="A719" s="2">
        <v>3403</v>
      </c>
      <c r="B719" s="6" t="s">
        <v>8201</v>
      </c>
      <c r="C719" s="2" t="s">
        <v>8202</v>
      </c>
      <c r="D719" s="2" t="s">
        <v>8203</v>
      </c>
      <c r="E719" s="2" t="s">
        <v>8204</v>
      </c>
      <c r="F719" s="2"/>
      <c r="G719" s="2"/>
      <c r="H719" s="2" t="s">
        <v>393</v>
      </c>
      <c r="I719" s="2" t="s">
        <v>8205</v>
      </c>
      <c r="J719" s="2"/>
      <c r="K719" s="2"/>
      <c r="L719" s="2" t="s">
        <v>5078</v>
      </c>
      <c r="M719" s="2" t="s">
        <v>5079</v>
      </c>
      <c r="N719" s="2" t="s">
        <v>5325</v>
      </c>
      <c r="O719" s="2" t="s">
        <v>5330</v>
      </c>
      <c r="P719" s="2" t="s">
        <v>8206</v>
      </c>
      <c r="Q719" s="2" t="s">
        <v>5091</v>
      </c>
      <c r="R719" s="2" t="s">
        <v>5079</v>
      </c>
      <c r="S719" s="2"/>
    </row>
    <row r="720" spans="1:19" x14ac:dyDescent="0.2">
      <c r="A720" s="2">
        <v>3404</v>
      </c>
      <c r="B720" s="6" t="s">
        <v>8207</v>
      </c>
      <c r="C720" s="2" t="s">
        <v>8208</v>
      </c>
      <c r="D720" s="2" t="s">
        <v>8209</v>
      </c>
      <c r="E720" s="2" t="s">
        <v>8097</v>
      </c>
      <c r="F720" s="2" t="s">
        <v>1722</v>
      </c>
      <c r="G720" s="2" t="s">
        <v>8097</v>
      </c>
      <c r="H720" s="2" t="s">
        <v>393</v>
      </c>
      <c r="I720" s="2" t="s">
        <v>8210</v>
      </c>
      <c r="J720" s="2"/>
      <c r="K720" s="2"/>
      <c r="L720" s="2" t="s">
        <v>5087</v>
      </c>
      <c r="M720" s="2" t="s">
        <v>5079</v>
      </c>
      <c r="N720" s="2" t="s">
        <v>5325</v>
      </c>
      <c r="O720" s="2" t="s">
        <v>5081</v>
      </c>
      <c r="P720" s="2" t="s">
        <v>8211</v>
      </c>
      <c r="Q720" s="2" t="s">
        <v>5091</v>
      </c>
      <c r="R720" s="2" t="s">
        <v>5079</v>
      </c>
      <c r="S720" s="2"/>
    </row>
    <row r="721" spans="1:19" x14ac:dyDescent="0.2">
      <c r="A721" s="2">
        <v>3412</v>
      </c>
      <c r="B721" s="6" t="s">
        <v>8212</v>
      </c>
      <c r="C721" s="2" t="s">
        <v>8213</v>
      </c>
      <c r="D721" s="2" t="s">
        <v>8214</v>
      </c>
      <c r="E721" s="2" t="s">
        <v>8215</v>
      </c>
      <c r="F721" s="2"/>
      <c r="G721" s="2"/>
      <c r="H721" s="2" t="s">
        <v>393</v>
      </c>
      <c r="I721" s="2" t="s">
        <v>8216</v>
      </c>
      <c r="J721" s="2"/>
      <c r="K721" s="2"/>
      <c r="L721" s="2" t="s">
        <v>5334</v>
      </c>
      <c r="M721" s="2" t="s">
        <v>5107</v>
      </c>
      <c r="N721" s="2" t="s">
        <v>5325</v>
      </c>
      <c r="O721" s="2" t="s">
        <v>5330</v>
      </c>
      <c r="P721" s="2" t="s">
        <v>8217</v>
      </c>
      <c r="Q721" s="2" t="s">
        <v>5091</v>
      </c>
      <c r="R721" s="2" t="s">
        <v>5107</v>
      </c>
      <c r="S721" s="2"/>
    </row>
    <row r="722" spans="1:19" x14ac:dyDescent="0.2">
      <c r="A722" s="2">
        <v>3413</v>
      </c>
      <c r="B722" s="6" t="s">
        <v>8218</v>
      </c>
      <c r="C722" s="2" t="s">
        <v>8219</v>
      </c>
      <c r="D722" s="2" t="s">
        <v>8220</v>
      </c>
      <c r="E722" s="2" t="s">
        <v>8221</v>
      </c>
      <c r="F722" s="2"/>
      <c r="G722" s="2"/>
      <c r="H722" s="2" t="s">
        <v>393</v>
      </c>
      <c r="I722" s="2" t="s">
        <v>8216</v>
      </c>
      <c r="J722" s="2"/>
      <c r="K722" s="2"/>
      <c r="L722" s="2" t="s">
        <v>5334</v>
      </c>
      <c r="M722" s="2" t="s">
        <v>5193</v>
      </c>
      <c r="N722" s="2" t="s">
        <v>5325</v>
      </c>
      <c r="O722" s="2" t="s">
        <v>5335</v>
      </c>
      <c r="P722" s="2" t="s">
        <v>8222</v>
      </c>
      <c r="Q722" s="2" t="s">
        <v>8223</v>
      </c>
      <c r="R722" s="2" t="s">
        <v>5193</v>
      </c>
      <c r="S722" s="2"/>
    </row>
    <row r="723" spans="1:19" x14ac:dyDescent="0.2">
      <c r="A723" s="2">
        <v>3414</v>
      </c>
      <c r="B723" s="6" t="s">
        <v>8224</v>
      </c>
      <c r="C723" s="2" t="s">
        <v>8225</v>
      </c>
      <c r="D723" s="2" t="s">
        <v>8226</v>
      </c>
      <c r="E723" s="2" t="s">
        <v>8227</v>
      </c>
      <c r="F723" s="2"/>
      <c r="G723" s="2"/>
      <c r="H723" s="2" t="s">
        <v>393</v>
      </c>
      <c r="I723" s="2" t="s">
        <v>8216</v>
      </c>
      <c r="J723" s="2"/>
      <c r="K723" s="2"/>
      <c r="L723" s="2" t="s">
        <v>5334</v>
      </c>
      <c r="M723" s="2" t="s">
        <v>7121</v>
      </c>
      <c r="N723" s="2" t="s">
        <v>5325</v>
      </c>
      <c r="O723" s="2" t="s">
        <v>5335</v>
      </c>
      <c r="P723" s="2" t="s">
        <v>8228</v>
      </c>
      <c r="Q723" s="2" t="s">
        <v>7945</v>
      </c>
      <c r="R723" s="2" t="s">
        <v>5095</v>
      </c>
      <c r="S723" s="2"/>
    </row>
    <row r="724" spans="1:19" x14ac:dyDescent="0.2">
      <c r="A724" s="2">
        <v>3415</v>
      </c>
      <c r="B724" s="6" t="s">
        <v>8229</v>
      </c>
      <c r="C724" s="2" t="s">
        <v>8230</v>
      </c>
      <c r="D724" s="2" t="s">
        <v>8231</v>
      </c>
      <c r="E724" s="2" t="s">
        <v>8232</v>
      </c>
      <c r="F724" s="2"/>
      <c r="G724" s="2"/>
      <c r="H724" s="2" t="s">
        <v>393</v>
      </c>
      <c r="I724" s="2" t="s">
        <v>8216</v>
      </c>
      <c r="J724" s="2"/>
      <c r="K724" s="2"/>
      <c r="L724" s="2" t="s">
        <v>5334</v>
      </c>
      <c r="M724" s="2" t="s">
        <v>6561</v>
      </c>
      <c r="N724" s="2" t="s">
        <v>5325</v>
      </c>
      <c r="O724" s="2" t="s">
        <v>5335</v>
      </c>
      <c r="P724" s="2" t="s">
        <v>8233</v>
      </c>
      <c r="Q724" s="2" t="s">
        <v>5091</v>
      </c>
      <c r="R724" s="2" t="s">
        <v>6561</v>
      </c>
      <c r="S724" s="2"/>
    </row>
    <row r="725" spans="1:19" x14ac:dyDescent="0.2">
      <c r="A725" s="2">
        <v>3416</v>
      </c>
      <c r="B725" s="6" t="s">
        <v>8234</v>
      </c>
      <c r="C725" s="2" t="s">
        <v>8235</v>
      </c>
      <c r="D725" s="2" t="s">
        <v>8236</v>
      </c>
      <c r="E725" s="2" t="s">
        <v>8156</v>
      </c>
      <c r="F725" s="2"/>
      <c r="G725" s="2"/>
      <c r="H725" s="2" t="s">
        <v>393</v>
      </c>
      <c r="I725" s="2" t="s">
        <v>8216</v>
      </c>
      <c r="J725" s="2"/>
      <c r="K725" s="2"/>
      <c r="L725" s="2" t="s">
        <v>5334</v>
      </c>
      <c r="M725" s="2" t="s">
        <v>5079</v>
      </c>
      <c r="N725" s="2" t="s">
        <v>5325</v>
      </c>
      <c r="O725" s="2" t="s">
        <v>5335</v>
      </c>
      <c r="P725" s="2" t="s">
        <v>8237</v>
      </c>
      <c r="Q725" s="2" t="s">
        <v>8223</v>
      </c>
      <c r="R725" s="2" t="s">
        <v>5079</v>
      </c>
      <c r="S725" s="2"/>
    </row>
    <row r="726" spans="1:19" x14ac:dyDescent="0.2">
      <c r="A726" s="2">
        <v>3417</v>
      </c>
      <c r="B726" s="6" t="s">
        <v>8238</v>
      </c>
      <c r="C726" s="2" t="s">
        <v>8239</v>
      </c>
      <c r="D726" s="2" t="s">
        <v>8240</v>
      </c>
      <c r="E726" s="2" t="s">
        <v>8241</v>
      </c>
      <c r="F726" s="2"/>
      <c r="G726" s="2"/>
      <c r="H726" s="2" t="s">
        <v>393</v>
      </c>
      <c r="I726" s="2" t="s">
        <v>8216</v>
      </c>
      <c r="J726" s="2"/>
      <c r="K726" s="2"/>
      <c r="L726" s="2" t="s">
        <v>5078</v>
      </c>
      <c r="M726" s="2" t="s">
        <v>5491</v>
      </c>
      <c r="N726" s="2" t="s">
        <v>5325</v>
      </c>
      <c r="O726" s="2" t="s">
        <v>5335</v>
      </c>
      <c r="P726" s="2" t="s">
        <v>8242</v>
      </c>
      <c r="Q726" s="2" t="s">
        <v>5091</v>
      </c>
      <c r="R726" s="2" t="s">
        <v>5491</v>
      </c>
      <c r="S726" s="2"/>
    </row>
    <row r="727" spans="1:19" x14ac:dyDescent="0.2">
      <c r="A727" s="2">
        <v>3429</v>
      </c>
      <c r="B727" s="6" t="s">
        <v>8243</v>
      </c>
      <c r="C727" s="2" t="s">
        <v>8244</v>
      </c>
      <c r="D727" s="2" t="s">
        <v>8245</v>
      </c>
      <c r="E727" s="2" t="s">
        <v>340</v>
      </c>
      <c r="F727" s="2"/>
      <c r="G727" s="2"/>
      <c r="H727" s="2" t="s">
        <v>393</v>
      </c>
      <c r="I727" s="2" t="s">
        <v>8246</v>
      </c>
      <c r="J727" s="2"/>
      <c r="K727" s="2"/>
      <c r="L727" s="2" t="s">
        <v>5078</v>
      </c>
      <c r="M727" s="2" t="s">
        <v>5079</v>
      </c>
      <c r="N727" s="2" t="s">
        <v>5325</v>
      </c>
      <c r="O727" s="2" t="s">
        <v>5330</v>
      </c>
      <c r="P727" s="2" t="s">
        <v>8247</v>
      </c>
      <c r="Q727" s="2" t="s">
        <v>5091</v>
      </c>
      <c r="R727" s="2" t="s">
        <v>5079</v>
      </c>
      <c r="S727" s="2"/>
    </row>
    <row r="728" spans="1:19" x14ac:dyDescent="0.2">
      <c r="A728" s="2">
        <v>3430</v>
      </c>
      <c r="B728" s="6" t="s">
        <v>8248</v>
      </c>
      <c r="C728" s="2" t="s">
        <v>8249</v>
      </c>
      <c r="D728" s="2" t="s">
        <v>8250</v>
      </c>
      <c r="E728" s="2" t="s">
        <v>8251</v>
      </c>
      <c r="F728" s="2"/>
      <c r="G728" s="2"/>
      <c r="H728" s="2" t="s">
        <v>393</v>
      </c>
      <c r="I728" s="2" t="s">
        <v>8246</v>
      </c>
      <c r="J728" s="2" t="s">
        <v>7496</v>
      </c>
      <c r="K728" s="2"/>
      <c r="L728" s="2" t="s">
        <v>5334</v>
      </c>
      <c r="M728" s="2" t="s">
        <v>5079</v>
      </c>
      <c r="N728" s="2" t="s">
        <v>5325</v>
      </c>
      <c r="O728" s="2" t="s">
        <v>5330</v>
      </c>
      <c r="P728" s="2" t="s">
        <v>8252</v>
      </c>
      <c r="Q728" s="2" t="s">
        <v>5091</v>
      </c>
      <c r="R728" s="2" t="s">
        <v>8253</v>
      </c>
      <c r="S728" s="2"/>
    </row>
    <row r="729" spans="1:19" x14ac:dyDescent="0.2">
      <c r="A729" s="2">
        <v>3431</v>
      </c>
      <c r="B729" s="6" t="s">
        <v>8254</v>
      </c>
      <c r="C729" s="2" t="s">
        <v>8255</v>
      </c>
      <c r="D729" s="2" t="s">
        <v>8256</v>
      </c>
      <c r="E729" s="2" t="s">
        <v>8257</v>
      </c>
      <c r="F729" s="2"/>
      <c r="G729" s="2"/>
      <c r="H729" s="2" t="s">
        <v>393</v>
      </c>
      <c r="I729" s="2" t="s">
        <v>8246</v>
      </c>
      <c r="J729" s="2"/>
      <c r="K729" s="2"/>
      <c r="L729" s="2" t="s">
        <v>5334</v>
      </c>
      <c r="M729" s="2" t="s">
        <v>5079</v>
      </c>
      <c r="N729" s="2" t="s">
        <v>5325</v>
      </c>
      <c r="O729" s="2" t="s">
        <v>5330</v>
      </c>
      <c r="P729" s="2" t="s">
        <v>8258</v>
      </c>
      <c r="Q729" s="2"/>
      <c r="R729" s="2" t="s">
        <v>5079</v>
      </c>
      <c r="S729" s="2"/>
    </row>
    <row r="730" spans="1:19" ht="409.6" x14ac:dyDescent="0.2">
      <c r="A730" s="2">
        <v>3445</v>
      </c>
      <c r="B730" s="6" t="s">
        <v>8259</v>
      </c>
      <c r="C730" s="18" t="s">
        <v>8260</v>
      </c>
      <c r="D730" s="18" t="s">
        <v>8261</v>
      </c>
      <c r="E730" s="2" t="s">
        <v>8232</v>
      </c>
      <c r="F730" s="2" t="s">
        <v>8232</v>
      </c>
      <c r="G730" s="2" t="s">
        <v>8232</v>
      </c>
      <c r="H730" s="2" t="s">
        <v>393</v>
      </c>
      <c r="I730" s="2" t="s">
        <v>8042</v>
      </c>
      <c r="J730" s="2" t="s">
        <v>135</v>
      </c>
      <c r="K730" s="2"/>
      <c r="L730" s="2" t="s">
        <v>5078</v>
      </c>
      <c r="M730" s="2" t="s">
        <v>8262</v>
      </c>
      <c r="N730" s="2" t="s">
        <v>5325</v>
      </c>
      <c r="O730" s="2" t="s">
        <v>5330</v>
      </c>
      <c r="P730" s="2" t="s">
        <v>8263</v>
      </c>
      <c r="Q730" s="2" t="s">
        <v>8264</v>
      </c>
      <c r="R730" s="2" t="s">
        <v>5367</v>
      </c>
      <c r="S730" s="2"/>
    </row>
    <row r="731" spans="1:19" x14ac:dyDescent="0.2">
      <c r="A731" s="2">
        <v>3447</v>
      </c>
      <c r="B731" s="6" t="s">
        <v>8265</v>
      </c>
      <c r="C731" s="2" t="s">
        <v>8266</v>
      </c>
      <c r="D731" s="2" t="s">
        <v>8267</v>
      </c>
      <c r="E731" s="2" t="s">
        <v>8197</v>
      </c>
      <c r="F731" s="2" t="s">
        <v>8197</v>
      </c>
      <c r="G731" s="2" t="s">
        <v>8197</v>
      </c>
      <c r="H731" s="2" t="s">
        <v>393</v>
      </c>
      <c r="I731" s="2" t="s">
        <v>8042</v>
      </c>
      <c r="J731" s="2" t="s">
        <v>7586</v>
      </c>
      <c r="K731" s="2"/>
      <c r="L731" s="2" t="s">
        <v>5387</v>
      </c>
      <c r="M731" s="2" t="s">
        <v>8268</v>
      </c>
      <c r="N731" s="2" t="s">
        <v>5325</v>
      </c>
      <c r="O731" s="2" t="s">
        <v>5330</v>
      </c>
      <c r="P731" s="2" t="s">
        <v>8269</v>
      </c>
      <c r="Q731" s="2" t="s">
        <v>8270</v>
      </c>
      <c r="R731" s="2" t="s">
        <v>8268</v>
      </c>
      <c r="S731" s="2" t="s">
        <v>8271</v>
      </c>
    </row>
    <row r="732" spans="1:19" x14ac:dyDescent="0.2">
      <c r="A732" s="2">
        <v>3449</v>
      </c>
      <c r="B732" s="6" t="s">
        <v>8272</v>
      </c>
      <c r="C732" s="2" t="s">
        <v>8273</v>
      </c>
      <c r="D732" s="2" t="s">
        <v>8274</v>
      </c>
      <c r="E732" s="2" t="s">
        <v>8275</v>
      </c>
      <c r="F732" s="2"/>
      <c r="G732" s="2"/>
      <c r="H732" s="2" t="s">
        <v>393</v>
      </c>
      <c r="I732" s="2" t="s">
        <v>8042</v>
      </c>
      <c r="J732" s="2" t="s">
        <v>1353</v>
      </c>
      <c r="K732" s="2"/>
      <c r="L732" s="2" t="s">
        <v>5078</v>
      </c>
      <c r="M732" s="2" t="s">
        <v>6561</v>
      </c>
      <c r="N732" s="2" t="s">
        <v>5325</v>
      </c>
      <c r="O732" s="2" t="s">
        <v>5330</v>
      </c>
      <c r="P732" s="2" t="s">
        <v>8276</v>
      </c>
      <c r="Q732" s="2"/>
      <c r="R732" s="2" t="s">
        <v>6561</v>
      </c>
      <c r="S732" s="2"/>
    </row>
    <row r="733" spans="1:19" x14ac:dyDescent="0.2">
      <c r="A733" s="2">
        <v>3451</v>
      </c>
      <c r="B733" s="6" t="s">
        <v>8277</v>
      </c>
      <c r="C733" s="2" t="s">
        <v>8278</v>
      </c>
      <c r="D733" s="2" t="s">
        <v>8279</v>
      </c>
      <c r="E733" s="2" t="s">
        <v>8280</v>
      </c>
      <c r="F733" s="2" t="s">
        <v>8097</v>
      </c>
      <c r="G733" s="2" t="s">
        <v>8097</v>
      </c>
      <c r="H733" s="2" t="s">
        <v>393</v>
      </c>
      <c r="I733" s="2" t="s">
        <v>8042</v>
      </c>
      <c r="J733" s="2"/>
      <c r="K733" s="2"/>
      <c r="L733" s="2" t="s">
        <v>5078</v>
      </c>
      <c r="M733" s="2" t="s">
        <v>5536</v>
      </c>
      <c r="N733" s="2" t="s">
        <v>5325</v>
      </c>
      <c r="O733" s="2" t="s">
        <v>5330</v>
      </c>
      <c r="P733" s="2" t="s">
        <v>8281</v>
      </c>
      <c r="Q733" s="2" t="s">
        <v>8282</v>
      </c>
      <c r="R733" s="2" t="s">
        <v>5536</v>
      </c>
      <c r="S733" s="2"/>
    </row>
    <row r="734" spans="1:19" x14ac:dyDescent="0.2">
      <c r="A734" s="2">
        <v>3452</v>
      </c>
      <c r="B734" s="6" t="s">
        <v>8283</v>
      </c>
      <c r="C734" s="2" t="s">
        <v>8284</v>
      </c>
      <c r="D734" s="2" t="s">
        <v>8285</v>
      </c>
      <c r="E734" s="2" t="s">
        <v>8280</v>
      </c>
      <c r="F734" s="2" t="s">
        <v>8286</v>
      </c>
      <c r="G734" s="2" t="s">
        <v>8280</v>
      </c>
      <c r="H734" s="2" t="s">
        <v>393</v>
      </c>
      <c r="I734" s="2" t="s">
        <v>8042</v>
      </c>
      <c r="J734" s="2"/>
      <c r="K734" s="2"/>
      <c r="L734" s="2" t="s">
        <v>5078</v>
      </c>
      <c r="M734" s="2" t="s">
        <v>5079</v>
      </c>
      <c r="N734" s="2" t="s">
        <v>5325</v>
      </c>
      <c r="O734" s="2" t="s">
        <v>6047</v>
      </c>
      <c r="P734" s="2" t="s">
        <v>8287</v>
      </c>
      <c r="Q734" s="2" t="s">
        <v>5567</v>
      </c>
      <c r="R734" s="2" t="s">
        <v>8288</v>
      </c>
      <c r="S734" s="2"/>
    </row>
    <row r="735" spans="1:19" x14ac:dyDescent="0.2">
      <c r="A735" s="2">
        <v>3454</v>
      </c>
      <c r="B735" s="6" t="s">
        <v>8289</v>
      </c>
      <c r="C735" s="2" t="s">
        <v>8290</v>
      </c>
      <c r="D735" s="2" t="s">
        <v>8291</v>
      </c>
      <c r="E735" s="2" t="s">
        <v>8292</v>
      </c>
      <c r="F735" s="2" t="s">
        <v>8293</v>
      </c>
      <c r="G735" s="2" t="s">
        <v>8293</v>
      </c>
      <c r="H735" s="2" t="s">
        <v>393</v>
      </c>
      <c r="I735" s="2" t="s">
        <v>8042</v>
      </c>
      <c r="J735" s="2"/>
      <c r="K735" s="2"/>
      <c r="L735" s="2" t="s">
        <v>5078</v>
      </c>
      <c r="M735" s="2" t="s">
        <v>8294</v>
      </c>
      <c r="N735" s="2" t="s">
        <v>5325</v>
      </c>
      <c r="O735" s="2" t="s">
        <v>5330</v>
      </c>
      <c r="P735" s="2" t="s">
        <v>8295</v>
      </c>
      <c r="Q735" s="2" t="s">
        <v>5091</v>
      </c>
      <c r="R735" s="2" t="s">
        <v>6340</v>
      </c>
      <c r="S735" s="2" t="s">
        <v>8163</v>
      </c>
    </row>
    <row r="736" spans="1:19" ht="409.6" x14ac:dyDescent="0.2">
      <c r="A736" s="2">
        <v>3456</v>
      </c>
      <c r="B736" s="6" t="s">
        <v>8296</v>
      </c>
      <c r="C736" s="2" t="s">
        <v>8297</v>
      </c>
      <c r="D736" s="18" t="s">
        <v>8298</v>
      </c>
      <c r="E736" s="2" t="s">
        <v>8299</v>
      </c>
      <c r="F736" s="2" t="s">
        <v>8300</v>
      </c>
      <c r="G736" s="2" t="s">
        <v>8300</v>
      </c>
      <c r="H736" s="2" t="s">
        <v>393</v>
      </c>
      <c r="I736" s="2" t="s">
        <v>8042</v>
      </c>
      <c r="J736" s="2"/>
      <c r="K736" s="2"/>
      <c r="L736" s="2" t="s">
        <v>5334</v>
      </c>
      <c r="M736" s="2" t="s">
        <v>8294</v>
      </c>
      <c r="N736" s="2" t="s">
        <v>5325</v>
      </c>
      <c r="O736" s="2" t="s">
        <v>5335</v>
      </c>
      <c r="P736" s="2" t="s">
        <v>8301</v>
      </c>
      <c r="Q736" s="2" t="s">
        <v>5091</v>
      </c>
      <c r="R736" s="2" t="s">
        <v>6340</v>
      </c>
      <c r="S736" s="2" t="s">
        <v>8163</v>
      </c>
    </row>
    <row r="737" spans="1:19" x14ac:dyDescent="0.2">
      <c r="A737" s="2">
        <v>3457</v>
      </c>
      <c r="B737" s="6" t="s">
        <v>8302</v>
      </c>
      <c r="C737" s="2" t="s">
        <v>8303</v>
      </c>
      <c r="D737" s="2" t="s">
        <v>8304</v>
      </c>
      <c r="E737" s="2" t="s">
        <v>8305</v>
      </c>
      <c r="F737" s="2" t="s">
        <v>8306</v>
      </c>
      <c r="G737" s="2" t="s">
        <v>8305</v>
      </c>
      <c r="H737" s="2" t="s">
        <v>393</v>
      </c>
      <c r="I737" s="2" t="s">
        <v>8042</v>
      </c>
      <c r="J737" s="2"/>
      <c r="K737" s="2"/>
      <c r="L737" s="2" t="s">
        <v>5078</v>
      </c>
      <c r="M737" s="2" t="s">
        <v>5079</v>
      </c>
      <c r="N737" s="2" t="s">
        <v>5325</v>
      </c>
      <c r="O737" s="2" t="s">
        <v>5326</v>
      </c>
      <c r="P737" s="2" t="s">
        <v>8307</v>
      </c>
      <c r="Q737" s="2" t="s">
        <v>7186</v>
      </c>
      <c r="R737" s="2" t="s">
        <v>5079</v>
      </c>
      <c r="S737" s="2"/>
    </row>
    <row r="738" spans="1:19" x14ac:dyDescent="0.2">
      <c r="A738" s="2">
        <v>3458</v>
      </c>
      <c r="B738" s="6" t="s">
        <v>8308</v>
      </c>
      <c r="C738" s="2" t="s">
        <v>8309</v>
      </c>
      <c r="D738" s="2" t="s">
        <v>8310</v>
      </c>
      <c r="E738" s="2" t="s">
        <v>8311</v>
      </c>
      <c r="F738" s="2" t="s">
        <v>8312</v>
      </c>
      <c r="G738" s="2" t="s">
        <v>8311</v>
      </c>
      <c r="H738" s="2" t="s">
        <v>393</v>
      </c>
      <c r="I738" s="2" t="s">
        <v>8042</v>
      </c>
      <c r="J738" s="2"/>
      <c r="K738" s="2"/>
      <c r="L738" s="2" t="s">
        <v>5334</v>
      </c>
      <c r="M738" s="2" t="s">
        <v>5193</v>
      </c>
      <c r="N738" s="2" t="s">
        <v>6756</v>
      </c>
      <c r="O738" s="2" t="s">
        <v>5335</v>
      </c>
      <c r="P738" s="2" t="s">
        <v>8313</v>
      </c>
      <c r="Q738" s="2" t="s">
        <v>5091</v>
      </c>
      <c r="R738" s="2" t="s">
        <v>5193</v>
      </c>
      <c r="S738" s="2"/>
    </row>
    <row r="739" spans="1:19" x14ac:dyDescent="0.2">
      <c r="A739" s="2">
        <v>3459</v>
      </c>
      <c r="B739" s="6" t="s">
        <v>8314</v>
      </c>
      <c r="C739" s="2" t="s">
        <v>8315</v>
      </c>
      <c r="D739" s="2" t="s">
        <v>8316</v>
      </c>
      <c r="E739" s="2" t="s">
        <v>8311</v>
      </c>
      <c r="F739" s="2"/>
      <c r="G739" s="2"/>
      <c r="H739" s="2" t="s">
        <v>393</v>
      </c>
      <c r="I739" s="2" t="s">
        <v>8042</v>
      </c>
      <c r="J739" s="2"/>
      <c r="K739" s="2"/>
      <c r="L739" s="2" t="s">
        <v>5345</v>
      </c>
      <c r="M739" s="2" t="s">
        <v>5100</v>
      </c>
      <c r="N739" s="2" t="s">
        <v>5325</v>
      </c>
      <c r="O739" s="2" t="s">
        <v>5330</v>
      </c>
      <c r="P739" s="2" t="s">
        <v>8317</v>
      </c>
      <c r="Q739" s="2" t="s">
        <v>5091</v>
      </c>
      <c r="R739" s="2" t="s">
        <v>5994</v>
      </c>
      <c r="S739" s="2" t="s">
        <v>5230</v>
      </c>
    </row>
    <row r="740" spans="1:19" ht="409.6" x14ac:dyDescent="0.2">
      <c r="A740" s="2">
        <v>3461</v>
      </c>
      <c r="B740" s="6" t="s">
        <v>8318</v>
      </c>
      <c r="C740" s="2" t="s">
        <v>8319</v>
      </c>
      <c r="D740" s="18" t="s">
        <v>8320</v>
      </c>
      <c r="E740" s="2" t="s">
        <v>8311</v>
      </c>
      <c r="F740" s="2" t="s">
        <v>8321</v>
      </c>
      <c r="G740" s="2" t="s">
        <v>8321</v>
      </c>
      <c r="H740" s="2" t="s">
        <v>393</v>
      </c>
      <c r="I740" s="2" t="s">
        <v>8042</v>
      </c>
      <c r="J740" s="2" t="s">
        <v>5310</v>
      </c>
      <c r="K740" s="2"/>
      <c r="L740" s="2" t="s">
        <v>5345</v>
      </c>
      <c r="M740" s="2"/>
      <c r="N740" s="2" t="s">
        <v>5325</v>
      </c>
      <c r="O740" s="2" t="s">
        <v>5330</v>
      </c>
      <c r="P740" s="2" t="s">
        <v>8322</v>
      </c>
      <c r="Q740" s="2" t="s">
        <v>5091</v>
      </c>
      <c r="R740" s="2" t="s">
        <v>5324</v>
      </c>
      <c r="S740" s="2"/>
    </row>
    <row r="741" spans="1:19" x14ac:dyDescent="0.2">
      <c r="A741" s="2">
        <v>3463</v>
      </c>
      <c r="B741" s="6" t="s">
        <v>8323</v>
      </c>
      <c r="C741" s="2" t="s">
        <v>8324</v>
      </c>
      <c r="D741" s="2" t="s">
        <v>8325</v>
      </c>
      <c r="E741" s="2" t="s">
        <v>8326</v>
      </c>
      <c r="F741" s="2" t="s">
        <v>8326</v>
      </c>
      <c r="G741" s="2" t="s">
        <v>8326</v>
      </c>
      <c r="H741" s="2" t="s">
        <v>393</v>
      </c>
      <c r="I741" s="2" t="s">
        <v>8042</v>
      </c>
      <c r="J741" s="2"/>
      <c r="K741" s="2"/>
      <c r="L741" s="2" t="s">
        <v>5334</v>
      </c>
      <c r="M741" s="2" t="s">
        <v>8327</v>
      </c>
      <c r="N741" s="2" t="s">
        <v>5325</v>
      </c>
      <c r="O741" s="2" t="s">
        <v>5330</v>
      </c>
      <c r="P741" s="2" t="s">
        <v>8328</v>
      </c>
      <c r="Q741" s="2" t="s">
        <v>5091</v>
      </c>
      <c r="R741" s="2" t="s">
        <v>5079</v>
      </c>
      <c r="S741" s="2"/>
    </row>
    <row r="742" spans="1:19" x14ac:dyDescent="0.2">
      <c r="A742" s="2">
        <v>3464</v>
      </c>
      <c r="B742" s="6" t="s">
        <v>8329</v>
      </c>
      <c r="C742" s="2" t="s">
        <v>8330</v>
      </c>
      <c r="D742" s="2" t="s">
        <v>8331</v>
      </c>
      <c r="E742" s="2" t="s">
        <v>8332</v>
      </c>
      <c r="F742" s="2" t="s">
        <v>67</v>
      </c>
      <c r="G742" s="2" t="s">
        <v>8332</v>
      </c>
      <c r="H742" s="2" t="s">
        <v>393</v>
      </c>
      <c r="I742" s="2" t="s">
        <v>8042</v>
      </c>
      <c r="J742" s="2" t="s">
        <v>660</v>
      </c>
      <c r="K742" s="2"/>
      <c r="L742" s="2" t="s">
        <v>5078</v>
      </c>
      <c r="M742" s="2" t="s">
        <v>8294</v>
      </c>
      <c r="N742" s="2" t="s">
        <v>5325</v>
      </c>
      <c r="O742" s="2" t="s">
        <v>5330</v>
      </c>
      <c r="P742" s="2" t="s">
        <v>8333</v>
      </c>
      <c r="Q742" s="2"/>
      <c r="R742" s="2" t="s">
        <v>6340</v>
      </c>
      <c r="S742" s="2"/>
    </row>
    <row r="743" spans="1:19" x14ac:dyDescent="0.2">
      <c r="A743" s="2">
        <v>3468</v>
      </c>
      <c r="B743" s="6" t="s">
        <v>8334</v>
      </c>
      <c r="C743" s="2" t="s">
        <v>8335</v>
      </c>
      <c r="D743" s="2" t="s">
        <v>8336</v>
      </c>
      <c r="E743" s="2" t="s">
        <v>8337</v>
      </c>
      <c r="F743" s="2"/>
      <c r="G743" s="2"/>
      <c r="H743" s="2" t="s">
        <v>393</v>
      </c>
      <c r="I743" s="2" t="s">
        <v>8042</v>
      </c>
      <c r="J743" s="2" t="s">
        <v>2935</v>
      </c>
      <c r="K743" s="2"/>
      <c r="L743" s="2" t="s">
        <v>5078</v>
      </c>
      <c r="M743" s="2" t="s">
        <v>8294</v>
      </c>
      <c r="N743" s="2" t="s">
        <v>5325</v>
      </c>
      <c r="O743" s="2" t="s">
        <v>5330</v>
      </c>
      <c r="P743" s="2" t="s">
        <v>8338</v>
      </c>
      <c r="Q743" s="2" t="s">
        <v>8339</v>
      </c>
      <c r="R743" s="2" t="s">
        <v>6340</v>
      </c>
      <c r="S743" s="2"/>
    </row>
    <row r="744" spans="1:19" x14ac:dyDescent="0.2">
      <c r="A744" s="2">
        <v>3495</v>
      </c>
      <c r="B744" s="6" t="s">
        <v>8340</v>
      </c>
      <c r="C744" s="2" t="s">
        <v>8341</v>
      </c>
      <c r="D744" s="2" t="s">
        <v>8342</v>
      </c>
      <c r="E744" s="2" t="s">
        <v>8311</v>
      </c>
      <c r="F744" s="2"/>
      <c r="G744" s="2"/>
      <c r="H744" s="2" t="s">
        <v>393</v>
      </c>
      <c r="I744" s="2" t="s">
        <v>8343</v>
      </c>
      <c r="J744" s="2" t="s">
        <v>5310</v>
      </c>
      <c r="K744" s="2"/>
      <c r="L744" s="2" t="s">
        <v>5078</v>
      </c>
      <c r="M744" s="2" t="s">
        <v>6340</v>
      </c>
      <c r="N744" s="2" t="s">
        <v>5325</v>
      </c>
      <c r="O744" s="2" t="s">
        <v>5335</v>
      </c>
      <c r="P744" s="2" t="s">
        <v>8344</v>
      </c>
      <c r="Q744" s="2" t="s">
        <v>5268</v>
      </c>
      <c r="R744" s="2" t="s">
        <v>6340</v>
      </c>
      <c r="S744" s="2"/>
    </row>
    <row r="745" spans="1:19" x14ac:dyDescent="0.2">
      <c r="A745" s="2">
        <v>3496</v>
      </c>
      <c r="B745" s="6" t="s">
        <v>8345</v>
      </c>
      <c r="C745" s="2" t="s">
        <v>8346</v>
      </c>
      <c r="D745" s="2" t="s">
        <v>8347</v>
      </c>
      <c r="E745" s="2" t="s">
        <v>8348</v>
      </c>
      <c r="F745" s="2"/>
      <c r="G745" s="2"/>
      <c r="H745" s="2" t="s">
        <v>393</v>
      </c>
      <c r="I745" s="2" t="s">
        <v>8349</v>
      </c>
      <c r="J745" s="2"/>
      <c r="K745" s="2"/>
      <c r="L745" s="2" t="s">
        <v>5078</v>
      </c>
      <c r="M745" s="2" t="s">
        <v>8350</v>
      </c>
      <c r="N745" s="2" t="s">
        <v>5325</v>
      </c>
      <c r="O745" s="2" t="s">
        <v>5330</v>
      </c>
      <c r="P745" s="2" t="s">
        <v>8351</v>
      </c>
      <c r="Q745" s="2" t="s">
        <v>5091</v>
      </c>
      <c r="R745" s="2" t="s">
        <v>8350</v>
      </c>
      <c r="S745" s="2"/>
    </row>
    <row r="746" spans="1:19" x14ac:dyDescent="0.2">
      <c r="A746" s="2">
        <v>3503</v>
      </c>
      <c r="B746" s="2" t="s">
        <v>8352</v>
      </c>
      <c r="C746" s="2" t="s">
        <v>8353</v>
      </c>
      <c r="D746" s="2" t="s">
        <v>8354</v>
      </c>
      <c r="E746" s="2" t="s">
        <v>8355</v>
      </c>
      <c r="F746" s="2" t="s">
        <v>238</v>
      </c>
      <c r="G746" s="2" t="s">
        <v>8355</v>
      </c>
      <c r="H746" s="2" t="s">
        <v>393</v>
      </c>
      <c r="I746" s="2" t="s">
        <v>4939</v>
      </c>
      <c r="J746" s="2"/>
      <c r="K746" s="2"/>
      <c r="L746" s="2" t="s">
        <v>5334</v>
      </c>
      <c r="M746" s="2" t="s">
        <v>5079</v>
      </c>
      <c r="N746" s="2" t="s">
        <v>5325</v>
      </c>
      <c r="O746" s="2" t="s">
        <v>5330</v>
      </c>
      <c r="P746" s="2" t="s">
        <v>8356</v>
      </c>
      <c r="Q746" s="2"/>
      <c r="R746" s="2" t="s">
        <v>5079</v>
      </c>
      <c r="S746" s="2"/>
    </row>
    <row r="747" spans="1:19" x14ac:dyDescent="0.2">
      <c r="A747" s="2">
        <v>3504</v>
      </c>
      <c r="B747" s="6" t="s">
        <v>8357</v>
      </c>
      <c r="C747" s="2" t="s">
        <v>8358</v>
      </c>
      <c r="D747" s="2" t="s">
        <v>8359</v>
      </c>
      <c r="E747" s="2" t="s">
        <v>7599</v>
      </c>
      <c r="F747" s="2" t="s">
        <v>8360</v>
      </c>
      <c r="G747" s="2" t="s">
        <v>7599</v>
      </c>
      <c r="H747" s="2" t="s">
        <v>393</v>
      </c>
      <c r="I747" s="2" t="s">
        <v>4939</v>
      </c>
      <c r="J747" s="2"/>
      <c r="K747" s="2"/>
      <c r="L747" s="2" t="s">
        <v>5078</v>
      </c>
      <c r="M747" s="2" t="s">
        <v>5352</v>
      </c>
      <c r="N747" s="2" t="s">
        <v>5325</v>
      </c>
      <c r="O747" s="2" t="s">
        <v>5330</v>
      </c>
      <c r="P747" s="2" t="s">
        <v>8361</v>
      </c>
      <c r="Q747" s="2" t="s">
        <v>5091</v>
      </c>
      <c r="R747" s="2" t="s">
        <v>5352</v>
      </c>
      <c r="S747" s="2"/>
    </row>
    <row r="748" spans="1:19" x14ac:dyDescent="0.2">
      <c r="A748" s="2">
        <v>3505</v>
      </c>
      <c r="B748" s="6" t="s">
        <v>8362</v>
      </c>
      <c r="C748" s="2" t="s">
        <v>8363</v>
      </c>
      <c r="D748" s="2" t="s">
        <v>8364</v>
      </c>
      <c r="E748" s="2" t="s">
        <v>8365</v>
      </c>
      <c r="F748" s="2"/>
      <c r="G748" s="2"/>
      <c r="H748" s="2" t="s">
        <v>393</v>
      </c>
      <c r="I748" s="2" t="s">
        <v>4939</v>
      </c>
      <c r="J748" s="2"/>
      <c r="K748" s="2"/>
      <c r="L748" s="2" t="s">
        <v>5334</v>
      </c>
      <c r="M748" s="2" t="s">
        <v>6991</v>
      </c>
      <c r="N748" s="2" t="s">
        <v>5325</v>
      </c>
      <c r="O748" s="2" t="s">
        <v>5330</v>
      </c>
      <c r="P748" s="2" t="s">
        <v>8366</v>
      </c>
      <c r="Q748" s="2" t="s">
        <v>8367</v>
      </c>
      <c r="R748" s="2" t="s">
        <v>6991</v>
      </c>
      <c r="S748" s="2"/>
    </row>
    <row r="749" spans="1:19" x14ac:dyDescent="0.2">
      <c r="A749" s="2">
        <v>3506</v>
      </c>
      <c r="B749" s="6" t="s">
        <v>8368</v>
      </c>
      <c r="C749" s="2" t="s">
        <v>8369</v>
      </c>
      <c r="D749" s="2" t="s">
        <v>8370</v>
      </c>
      <c r="E749" s="2" t="s">
        <v>8365</v>
      </c>
      <c r="F749" s="2"/>
      <c r="G749" s="2"/>
      <c r="H749" s="2" t="s">
        <v>393</v>
      </c>
      <c r="I749" s="2" t="s">
        <v>4939</v>
      </c>
      <c r="J749" s="2"/>
      <c r="K749" s="2"/>
      <c r="L749" s="2"/>
      <c r="M749" s="2" t="s">
        <v>8371</v>
      </c>
      <c r="N749" s="2" t="s">
        <v>5325</v>
      </c>
      <c r="O749" s="2" t="s">
        <v>5326</v>
      </c>
      <c r="P749" s="2" t="s">
        <v>8372</v>
      </c>
      <c r="Q749" s="2" t="s">
        <v>5091</v>
      </c>
      <c r="R749" s="2" t="s">
        <v>5107</v>
      </c>
      <c r="S749" s="2"/>
    </row>
    <row r="750" spans="1:19" x14ac:dyDescent="0.2">
      <c r="A750" s="2">
        <v>3507</v>
      </c>
      <c r="B750" s="6" t="s">
        <v>8373</v>
      </c>
      <c r="C750" s="2" t="s">
        <v>8374</v>
      </c>
      <c r="D750" s="2" t="s">
        <v>8375</v>
      </c>
      <c r="E750" s="2" t="s">
        <v>8376</v>
      </c>
      <c r="F750" s="2" t="s">
        <v>8365</v>
      </c>
      <c r="G750" s="2" t="s">
        <v>8376</v>
      </c>
      <c r="H750" s="2" t="s">
        <v>393</v>
      </c>
      <c r="I750" s="2" t="s">
        <v>4939</v>
      </c>
      <c r="J750" s="2"/>
      <c r="K750" s="2"/>
      <c r="L750" s="2" t="s">
        <v>5078</v>
      </c>
      <c r="M750" s="2" t="s">
        <v>5193</v>
      </c>
      <c r="N750" s="2" t="s">
        <v>5325</v>
      </c>
      <c r="O750" s="2" t="s">
        <v>5330</v>
      </c>
      <c r="P750" s="2" t="s">
        <v>8377</v>
      </c>
      <c r="Q750" s="2" t="s">
        <v>5091</v>
      </c>
      <c r="R750" s="2"/>
      <c r="S750" s="2"/>
    </row>
    <row r="751" spans="1:19" x14ac:dyDescent="0.2">
      <c r="A751" s="2">
        <v>3508</v>
      </c>
      <c r="B751" s="6" t="s">
        <v>8378</v>
      </c>
      <c r="C751" s="2" t="s">
        <v>8379</v>
      </c>
      <c r="D751" s="2" t="s">
        <v>8380</v>
      </c>
      <c r="E751" s="2" t="s">
        <v>8381</v>
      </c>
      <c r="F751" s="2" t="s">
        <v>8382</v>
      </c>
      <c r="G751" s="2" t="s">
        <v>8382</v>
      </c>
      <c r="H751" s="2" t="s">
        <v>393</v>
      </c>
      <c r="I751" s="2" t="s">
        <v>4939</v>
      </c>
      <c r="J751" s="2" t="s">
        <v>6433</v>
      </c>
      <c r="K751" s="6" t="s">
        <v>8383</v>
      </c>
      <c r="L751" s="2" t="s">
        <v>5334</v>
      </c>
      <c r="M751" s="2" t="s">
        <v>5128</v>
      </c>
      <c r="N751" s="2" t="s">
        <v>5325</v>
      </c>
      <c r="O751" s="2" t="s">
        <v>5330</v>
      </c>
      <c r="P751" s="2" t="s">
        <v>8384</v>
      </c>
      <c r="Q751" s="2" t="s">
        <v>5091</v>
      </c>
      <c r="R751" s="2" t="s">
        <v>5128</v>
      </c>
      <c r="S751" s="2"/>
    </row>
    <row r="752" spans="1:19" x14ac:dyDescent="0.2">
      <c r="A752" s="2">
        <v>3509</v>
      </c>
      <c r="B752" s="6" t="s">
        <v>8385</v>
      </c>
      <c r="C752" s="2" t="s">
        <v>8386</v>
      </c>
      <c r="D752" s="2" t="s">
        <v>8387</v>
      </c>
      <c r="E752" s="2" t="s">
        <v>8321</v>
      </c>
      <c r="F752" s="2"/>
      <c r="G752" s="2"/>
      <c r="H752" s="2" t="s">
        <v>393</v>
      </c>
      <c r="I752" s="2" t="s">
        <v>4939</v>
      </c>
      <c r="J752" s="2"/>
      <c r="K752" s="2"/>
      <c r="L752" s="2" t="s">
        <v>5078</v>
      </c>
      <c r="M752" s="2" t="s">
        <v>5079</v>
      </c>
      <c r="N752" s="2" t="s">
        <v>5325</v>
      </c>
      <c r="O752" s="2" t="s">
        <v>5330</v>
      </c>
      <c r="P752" s="2" t="s">
        <v>8388</v>
      </c>
      <c r="Q752" s="2" t="s">
        <v>5091</v>
      </c>
      <c r="R752" s="2" t="s">
        <v>5079</v>
      </c>
      <c r="S752" s="2"/>
    </row>
    <row r="753" spans="1:19" x14ac:dyDescent="0.2">
      <c r="A753" s="2">
        <v>3510</v>
      </c>
      <c r="B753" s="6" t="s">
        <v>8389</v>
      </c>
      <c r="C753" s="2" t="s">
        <v>8390</v>
      </c>
      <c r="D753" s="2" t="s">
        <v>8391</v>
      </c>
      <c r="E753" s="2" t="s">
        <v>8321</v>
      </c>
      <c r="F753" s="2" t="s">
        <v>8381</v>
      </c>
      <c r="G753" s="2" t="s">
        <v>8381</v>
      </c>
      <c r="H753" s="2" t="s">
        <v>393</v>
      </c>
      <c r="I753" s="2" t="s">
        <v>4939</v>
      </c>
      <c r="J753" s="2"/>
      <c r="K753" s="2"/>
      <c r="L753" s="2" t="s">
        <v>5078</v>
      </c>
      <c r="M753" s="2" t="s">
        <v>5079</v>
      </c>
      <c r="N753" s="2" t="s">
        <v>5325</v>
      </c>
      <c r="O753" s="2" t="s">
        <v>5330</v>
      </c>
      <c r="P753" s="2" t="s">
        <v>8392</v>
      </c>
      <c r="Q753" s="2" t="s">
        <v>7186</v>
      </c>
      <c r="R753" s="2" t="s">
        <v>5079</v>
      </c>
      <c r="S753" s="2"/>
    </row>
    <row r="754" spans="1:19" x14ac:dyDescent="0.2">
      <c r="A754" s="2">
        <v>3511</v>
      </c>
      <c r="B754" s="6" t="s">
        <v>8393</v>
      </c>
      <c r="C754" s="2" t="s">
        <v>8394</v>
      </c>
      <c r="D754" s="2" t="s">
        <v>8395</v>
      </c>
      <c r="E754" s="2" t="s">
        <v>8321</v>
      </c>
      <c r="F754" s="2" t="s">
        <v>8321</v>
      </c>
      <c r="G754" s="2" t="s">
        <v>8321</v>
      </c>
      <c r="H754" s="2" t="s">
        <v>393</v>
      </c>
      <c r="I754" s="2" t="s">
        <v>4939</v>
      </c>
      <c r="J754" s="2"/>
      <c r="K754" s="2"/>
      <c r="L754" s="2" t="s">
        <v>5078</v>
      </c>
      <c r="M754" s="2" t="s">
        <v>5079</v>
      </c>
      <c r="N754" s="2" t="s">
        <v>5325</v>
      </c>
      <c r="O754" s="2" t="s">
        <v>5330</v>
      </c>
      <c r="P754" s="2" t="s">
        <v>8396</v>
      </c>
      <c r="Q754" s="2" t="s">
        <v>5091</v>
      </c>
      <c r="R754" s="2" t="s">
        <v>5079</v>
      </c>
      <c r="S754" s="2"/>
    </row>
    <row r="755" spans="1:19" x14ac:dyDescent="0.2">
      <c r="A755" s="2">
        <v>3512</v>
      </c>
      <c r="B755" s="6" t="s">
        <v>8397</v>
      </c>
      <c r="C755" s="2" t="s">
        <v>8398</v>
      </c>
      <c r="D755" s="2" t="s">
        <v>8399</v>
      </c>
      <c r="E755" s="2" t="s">
        <v>8321</v>
      </c>
      <c r="F755" s="2" t="s">
        <v>8321</v>
      </c>
      <c r="G755" s="2" t="s">
        <v>8321</v>
      </c>
      <c r="H755" s="2" t="s">
        <v>393</v>
      </c>
      <c r="I755" s="2" t="s">
        <v>4939</v>
      </c>
      <c r="J755" s="2"/>
      <c r="K755" s="2"/>
      <c r="L755" s="2" t="s">
        <v>5334</v>
      </c>
      <c r="M755" s="2" t="s">
        <v>5491</v>
      </c>
      <c r="N755" s="2" t="s">
        <v>5325</v>
      </c>
      <c r="O755" s="2" t="s">
        <v>5330</v>
      </c>
      <c r="P755" s="2" t="s">
        <v>8400</v>
      </c>
      <c r="Q755" s="2" t="s">
        <v>8401</v>
      </c>
      <c r="R755" s="2" t="s">
        <v>5491</v>
      </c>
      <c r="S755" s="2"/>
    </row>
    <row r="756" spans="1:19" x14ac:dyDescent="0.2">
      <c r="A756" s="2">
        <v>3513</v>
      </c>
      <c r="B756" s="6" t="s">
        <v>8402</v>
      </c>
      <c r="C756" s="2" t="s">
        <v>8403</v>
      </c>
      <c r="D756" s="2" t="s">
        <v>8404</v>
      </c>
      <c r="E756" s="2" t="s">
        <v>8405</v>
      </c>
      <c r="F756" s="2"/>
      <c r="G756" s="2"/>
      <c r="H756" s="2" t="s">
        <v>393</v>
      </c>
      <c r="I756" s="2" t="s">
        <v>4939</v>
      </c>
      <c r="J756" s="2"/>
      <c r="K756" s="2"/>
      <c r="L756" s="2" t="s">
        <v>5078</v>
      </c>
      <c r="M756" s="2" t="s">
        <v>5679</v>
      </c>
      <c r="N756" s="2" t="s">
        <v>5325</v>
      </c>
      <c r="O756" s="2" t="s">
        <v>5330</v>
      </c>
      <c r="P756" s="2" t="s">
        <v>8406</v>
      </c>
      <c r="Q756" s="2" t="s">
        <v>5091</v>
      </c>
      <c r="R756" s="2" t="s">
        <v>5079</v>
      </c>
      <c r="S756" s="2"/>
    </row>
    <row r="757" spans="1:19" x14ac:dyDescent="0.2">
      <c r="A757" s="2">
        <v>3514</v>
      </c>
      <c r="B757" s="6" t="s">
        <v>8407</v>
      </c>
      <c r="C757" s="2" t="s">
        <v>8408</v>
      </c>
      <c r="D757" s="2" t="s">
        <v>8409</v>
      </c>
      <c r="E757" s="2"/>
      <c r="F757" s="2" t="s">
        <v>8410</v>
      </c>
      <c r="G757" s="2" t="s">
        <v>8410</v>
      </c>
      <c r="H757" s="2" t="s">
        <v>393</v>
      </c>
      <c r="I757" s="2" t="s">
        <v>4939</v>
      </c>
      <c r="J757" s="2"/>
      <c r="K757" s="2"/>
      <c r="L757" s="2" t="s">
        <v>5334</v>
      </c>
      <c r="M757" s="2" t="s">
        <v>8411</v>
      </c>
      <c r="N757" s="2" t="s">
        <v>5325</v>
      </c>
      <c r="O757" s="2" t="s">
        <v>5330</v>
      </c>
      <c r="P757" s="2" t="s">
        <v>8412</v>
      </c>
      <c r="Q757" s="2" t="s">
        <v>5091</v>
      </c>
      <c r="R757" s="2" t="s">
        <v>5079</v>
      </c>
      <c r="S757" s="2"/>
    </row>
    <row r="758" spans="1:19" x14ac:dyDescent="0.2">
      <c r="A758" s="2">
        <v>3515</v>
      </c>
      <c r="B758" s="6" t="s">
        <v>8413</v>
      </c>
      <c r="C758" s="2" t="s">
        <v>8414</v>
      </c>
      <c r="D758" s="2" t="s">
        <v>8415</v>
      </c>
      <c r="E758" s="2" t="s">
        <v>8416</v>
      </c>
      <c r="F758" s="2" t="s">
        <v>8416</v>
      </c>
      <c r="G758" s="2" t="s">
        <v>8416</v>
      </c>
      <c r="H758" s="2" t="s">
        <v>393</v>
      </c>
      <c r="I758" s="2" t="s">
        <v>4939</v>
      </c>
      <c r="J758" s="2"/>
      <c r="K758" s="2"/>
      <c r="L758" s="2" t="s">
        <v>5078</v>
      </c>
      <c r="M758" s="2" t="s">
        <v>5679</v>
      </c>
      <c r="N758" s="2" t="s">
        <v>5325</v>
      </c>
      <c r="O758" s="2" t="s">
        <v>5330</v>
      </c>
      <c r="P758" s="2" t="s">
        <v>8417</v>
      </c>
      <c r="Q758" s="2" t="s">
        <v>8418</v>
      </c>
      <c r="R758" s="2" t="s">
        <v>5324</v>
      </c>
      <c r="S758" s="2"/>
    </row>
    <row r="759" spans="1:19" x14ac:dyDescent="0.2">
      <c r="A759" s="2">
        <v>3516</v>
      </c>
      <c r="B759" s="6" t="s">
        <v>8419</v>
      </c>
      <c r="C759" s="2" t="s">
        <v>8420</v>
      </c>
      <c r="D759" s="2" t="s">
        <v>8421</v>
      </c>
      <c r="E759" s="2" t="s">
        <v>8173</v>
      </c>
      <c r="F759" s="2" t="s">
        <v>8173</v>
      </c>
      <c r="G759" s="2" t="s">
        <v>8173</v>
      </c>
      <c r="H759" s="2" t="s">
        <v>393</v>
      </c>
      <c r="I759" s="2" t="s">
        <v>4939</v>
      </c>
      <c r="J759" s="2"/>
      <c r="K759" s="2"/>
      <c r="L759" s="2" t="s">
        <v>5078</v>
      </c>
      <c r="M759" s="2" t="s">
        <v>5679</v>
      </c>
      <c r="N759" s="2" t="s">
        <v>5325</v>
      </c>
      <c r="O759" s="2" t="s">
        <v>5330</v>
      </c>
      <c r="P759" s="2" t="s">
        <v>8422</v>
      </c>
      <c r="Q759" s="2" t="s">
        <v>5091</v>
      </c>
      <c r="R759" s="2" t="s">
        <v>5324</v>
      </c>
      <c r="S759" s="2"/>
    </row>
    <row r="760" spans="1:19" x14ac:dyDescent="0.2">
      <c r="A760" s="2">
        <v>3517</v>
      </c>
      <c r="B760" s="6" t="s">
        <v>8423</v>
      </c>
      <c r="C760" s="2" t="s">
        <v>8424</v>
      </c>
      <c r="D760" s="2" t="s">
        <v>8425</v>
      </c>
      <c r="E760" s="2"/>
      <c r="F760" s="2"/>
      <c r="G760" s="2"/>
      <c r="H760" s="2"/>
      <c r="I760" s="2"/>
      <c r="J760" s="2"/>
      <c r="K760" s="2"/>
      <c r="L760" s="2"/>
      <c r="M760" s="2"/>
      <c r="N760" s="2"/>
      <c r="O760" s="2"/>
      <c r="P760" s="2"/>
      <c r="Q760" s="2"/>
      <c r="R760" s="2"/>
      <c r="S760" s="2"/>
    </row>
    <row r="761" spans="1:19" x14ac:dyDescent="0.2">
      <c r="A761" s="2"/>
      <c r="B761" s="2" t="s">
        <v>8173</v>
      </c>
      <c r="C761" s="2" t="s">
        <v>8173</v>
      </c>
      <c r="D761" s="2" t="s">
        <v>8173</v>
      </c>
      <c r="E761" s="2" t="s">
        <v>393</v>
      </c>
      <c r="F761" s="2" t="s">
        <v>4939</v>
      </c>
      <c r="G761" s="2"/>
      <c r="H761" s="2"/>
      <c r="I761" s="2" t="s">
        <v>5078</v>
      </c>
      <c r="J761" s="2" t="s">
        <v>5679</v>
      </c>
      <c r="K761" s="2" t="s">
        <v>5325</v>
      </c>
      <c r="L761" s="2" t="s">
        <v>5330</v>
      </c>
      <c r="M761" s="2" t="s">
        <v>8422</v>
      </c>
      <c r="N761" s="2" t="s">
        <v>5091</v>
      </c>
      <c r="O761" s="2" t="s">
        <v>5324</v>
      </c>
      <c r="P761" s="2"/>
      <c r="Q761" s="2"/>
      <c r="R761" s="2"/>
      <c r="S761" s="2"/>
    </row>
    <row r="762" spans="1:19" ht="225" x14ac:dyDescent="0.2">
      <c r="A762" s="2">
        <v>3518</v>
      </c>
      <c r="B762" s="6" t="s">
        <v>8426</v>
      </c>
      <c r="C762" s="2" t="s">
        <v>8427</v>
      </c>
      <c r="D762" s="18" t="s">
        <v>8428</v>
      </c>
      <c r="E762" s="2" t="s">
        <v>8173</v>
      </c>
      <c r="F762" s="2" t="s">
        <v>8173</v>
      </c>
      <c r="G762" s="2" t="s">
        <v>8173</v>
      </c>
      <c r="H762" s="2" t="s">
        <v>393</v>
      </c>
      <c r="I762" s="2" t="s">
        <v>4939</v>
      </c>
      <c r="J762" s="2"/>
      <c r="K762" s="2"/>
      <c r="L762" s="2" t="s">
        <v>5334</v>
      </c>
      <c r="M762" s="2" t="s">
        <v>5128</v>
      </c>
      <c r="N762" s="2" t="s">
        <v>5325</v>
      </c>
      <c r="O762" s="2" t="s">
        <v>5330</v>
      </c>
      <c r="P762" s="2" t="s">
        <v>8429</v>
      </c>
      <c r="Q762" s="2" t="s">
        <v>5091</v>
      </c>
      <c r="R762" s="2" t="s">
        <v>6322</v>
      </c>
      <c r="S762" s="2" t="s">
        <v>5281</v>
      </c>
    </row>
    <row r="763" spans="1:19" x14ac:dyDescent="0.2">
      <c r="A763" s="2">
        <v>3519</v>
      </c>
      <c r="B763" s="6" t="s">
        <v>8430</v>
      </c>
      <c r="C763" s="2" t="s">
        <v>8431</v>
      </c>
      <c r="D763" s="2" t="s">
        <v>8432</v>
      </c>
      <c r="E763" s="2" t="s">
        <v>8173</v>
      </c>
      <c r="F763" s="2" t="s">
        <v>8173</v>
      </c>
      <c r="G763" s="2" t="s">
        <v>8173</v>
      </c>
      <c r="H763" s="2" t="s">
        <v>393</v>
      </c>
      <c r="I763" s="2" t="s">
        <v>4939</v>
      </c>
      <c r="J763" s="2"/>
      <c r="K763" s="2"/>
      <c r="L763" s="2" t="s">
        <v>5334</v>
      </c>
      <c r="M763" s="2" t="s">
        <v>5107</v>
      </c>
      <c r="N763" s="2" t="s">
        <v>5325</v>
      </c>
      <c r="O763" s="2" t="s">
        <v>5330</v>
      </c>
      <c r="P763" s="2" t="s">
        <v>8433</v>
      </c>
      <c r="Q763" s="2" t="s">
        <v>5091</v>
      </c>
      <c r="R763" s="2" t="s">
        <v>8434</v>
      </c>
      <c r="S763" s="2" t="s">
        <v>5281</v>
      </c>
    </row>
    <row r="764" spans="1:19" x14ac:dyDescent="0.2">
      <c r="A764" s="2">
        <v>3520</v>
      </c>
      <c r="B764" s="6" t="s">
        <v>8435</v>
      </c>
      <c r="C764" s="2" t="s">
        <v>8436</v>
      </c>
      <c r="D764" s="2" t="s">
        <v>8437</v>
      </c>
      <c r="E764" s="2" t="s">
        <v>8438</v>
      </c>
      <c r="F764" s="2" t="s">
        <v>8438</v>
      </c>
      <c r="G764" s="2" t="s">
        <v>8438</v>
      </c>
      <c r="H764" s="2" t="s">
        <v>393</v>
      </c>
      <c r="I764" s="2" t="s">
        <v>4939</v>
      </c>
      <c r="J764" s="2"/>
      <c r="K764" s="2"/>
      <c r="L764" s="2" t="s">
        <v>5334</v>
      </c>
      <c r="M764" s="2" t="s">
        <v>8439</v>
      </c>
      <c r="N764" s="2" t="s">
        <v>5325</v>
      </c>
      <c r="O764" s="2" t="s">
        <v>5330</v>
      </c>
      <c r="P764" s="2" t="s">
        <v>8440</v>
      </c>
      <c r="Q764" s="2" t="s">
        <v>5091</v>
      </c>
      <c r="R764" s="2" t="s">
        <v>6348</v>
      </c>
      <c r="S764" s="2"/>
    </row>
    <row r="765" spans="1:19" x14ac:dyDescent="0.2">
      <c r="A765" s="2">
        <v>3522</v>
      </c>
      <c r="B765" s="6" t="s">
        <v>8441</v>
      </c>
      <c r="C765" s="2" t="s">
        <v>8442</v>
      </c>
      <c r="D765" s="2" t="s">
        <v>8443</v>
      </c>
      <c r="E765" s="2" t="s">
        <v>8444</v>
      </c>
      <c r="F765" s="2" t="s">
        <v>8445</v>
      </c>
      <c r="G765" s="2" t="s">
        <v>8445</v>
      </c>
      <c r="H765" s="2" t="s">
        <v>393</v>
      </c>
      <c r="I765" s="2" t="s">
        <v>4939</v>
      </c>
      <c r="J765" s="2"/>
      <c r="K765" s="2"/>
      <c r="L765" s="2" t="s">
        <v>5078</v>
      </c>
      <c r="M765" s="2" t="s">
        <v>8294</v>
      </c>
      <c r="N765" s="2" t="s">
        <v>5325</v>
      </c>
      <c r="O765" s="2" t="s">
        <v>5330</v>
      </c>
      <c r="P765" s="2" t="s">
        <v>8446</v>
      </c>
      <c r="Q765" s="2" t="s">
        <v>5091</v>
      </c>
      <c r="R765" s="2" t="s">
        <v>6340</v>
      </c>
      <c r="S765" s="2"/>
    </row>
    <row r="766" spans="1:19" x14ac:dyDescent="0.2">
      <c r="A766" s="2">
        <v>3523</v>
      </c>
      <c r="B766" s="6" t="s">
        <v>8447</v>
      </c>
      <c r="C766" s="2" t="s">
        <v>8448</v>
      </c>
      <c r="D766" s="2" t="s">
        <v>8449</v>
      </c>
      <c r="E766" s="2" t="s">
        <v>8232</v>
      </c>
      <c r="F766" s="2" t="s">
        <v>8232</v>
      </c>
      <c r="G766" s="2" t="s">
        <v>8232</v>
      </c>
      <c r="H766" s="2" t="s">
        <v>393</v>
      </c>
      <c r="I766" s="2" t="s">
        <v>4939</v>
      </c>
      <c r="J766" s="2"/>
      <c r="K766" s="2"/>
      <c r="L766" s="2" t="s">
        <v>5078</v>
      </c>
      <c r="M766" s="2" t="s">
        <v>5193</v>
      </c>
      <c r="N766" s="2" t="s">
        <v>5325</v>
      </c>
      <c r="O766" s="2" t="s">
        <v>5330</v>
      </c>
      <c r="P766" s="2" t="s">
        <v>8450</v>
      </c>
      <c r="Q766" s="2" t="s">
        <v>5091</v>
      </c>
      <c r="R766" s="2" t="s">
        <v>5367</v>
      </c>
      <c r="S766" s="2"/>
    </row>
    <row r="767" spans="1:19" x14ac:dyDescent="0.2">
      <c r="A767" s="2">
        <v>3524</v>
      </c>
      <c r="B767" s="6" t="s">
        <v>8451</v>
      </c>
      <c r="C767" s="2" t="s">
        <v>8452</v>
      </c>
      <c r="D767" s="2" t="s">
        <v>8453</v>
      </c>
      <c r="E767" s="2" t="s">
        <v>8191</v>
      </c>
      <c r="F767" s="2" t="s">
        <v>8156</v>
      </c>
      <c r="G767" s="2" t="s">
        <v>8156</v>
      </c>
      <c r="H767" s="2" t="s">
        <v>393</v>
      </c>
      <c r="I767" s="2" t="s">
        <v>4939</v>
      </c>
      <c r="J767" s="2"/>
      <c r="K767" s="2"/>
      <c r="L767" s="2" t="s">
        <v>5078</v>
      </c>
      <c r="M767" s="2" t="s">
        <v>5107</v>
      </c>
      <c r="N767" s="2" t="s">
        <v>5325</v>
      </c>
      <c r="O767" s="2" t="s">
        <v>5330</v>
      </c>
      <c r="P767" s="2" t="s">
        <v>8454</v>
      </c>
      <c r="Q767" s="2" t="s">
        <v>5091</v>
      </c>
      <c r="R767" s="2" t="s">
        <v>5107</v>
      </c>
      <c r="S767" s="2"/>
    </row>
    <row r="768" spans="1:19" x14ac:dyDescent="0.2">
      <c r="A768" s="2">
        <v>3525</v>
      </c>
      <c r="B768" s="6" t="s">
        <v>8455</v>
      </c>
      <c r="C768" s="2" t="s">
        <v>8456</v>
      </c>
      <c r="D768" s="2" t="s">
        <v>8457</v>
      </c>
      <c r="E768" s="2" t="s">
        <v>8275</v>
      </c>
      <c r="F768" s="2"/>
      <c r="G768" s="2"/>
      <c r="H768" s="2" t="s">
        <v>393</v>
      </c>
      <c r="I768" s="2" t="s">
        <v>4939</v>
      </c>
      <c r="J768" s="2"/>
      <c r="K768" s="2"/>
      <c r="L768" s="2" t="s">
        <v>5078</v>
      </c>
      <c r="M768" s="2" t="s">
        <v>5193</v>
      </c>
      <c r="N768" s="2" t="s">
        <v>5325</v>
      </c>
      <c r="O768" s="2" t="s">
        <v>5330</v>
      </c>
      <c r="P768" s="2" t="s">
        <v>8458</v>
      </c>
      <c r="Q768" s="2" t="s">
        <v>5091</v>
      </c>
      <c r="R768" s="2" t="s">
        <v>5367</v>
      </c>
      <c r="S768" s="2"/>
    </row>
    <row r="769" spans="1:19" x14ac:dyDescent="0.2">
      <c r="A769" s="2">
        <v>3526</v>
      </c>
      <c r="B769" s="6" t="s">
        <v>8459</v>
      </c>
      <c r="C769" s="2" t="s">
        <v>8460</v>
      </c>
      <c r="D769" s="2" t="s">
        <v>8461</v>
      </c>
      <c r="E769" s="2" t="s">
        <v>8275</v>
      </c>
      <c r="F769" s="2"/>
      <c r="G769" s="2"/>
      <c r="H769" s="2" t="s">
        <v>393</v>
      </c>
      <c r="I769" s="2" t="s">
        <v>4939</v>
      </c>
      <c r="J769" s="2"/>
      <c r="K769" s="2"/>
      <c r="L769" s="2" t="s">
        <v>5078</v>
      </c>
      <c r="M769" s="2" t="s">
        <v>5107</v>
      </c>
      <c r="N769" s="2" t="s">
        <v>5325</v>
      </c>
      <c r="O769" s="2" t="s">
        <v>5335</v>
      </c>
      <c r="P769" s="2" t="s">
        <v>8462</v>
      </c>
      <c r="Q769" s="2" t="s">
        <v>5091</v>
      </c>
      <c r="R769" s="2" t="s">
        <v>5107</v>
      </c>
      <c r="S769" s="2"/>
    </row>
    <row r="770" spans="1:19" x14ac:dyDescent="0.2">
      <c r="A770" s="2">
        <v>3527</v>
      </c>
      <c r="B770" s="6" t="s">
        <v>8463</v>
      </c>
      <c r="C770" s="2" t="s">
        <v>8464</v>
      </c>
      <c r="D770" s="2" t="s">
        <v>8465</v>
      </c>
      <c r="E770" s="2" t="s">
        <v>8275</v>
      </c>
      <c r="F770" s="2" t="s">
        <v>8275</v>
      </c>
      <c r="G770" s="2" t="s">
        <v>8275</v>
      </c>
      <c r="H770" s="2" t="s">
        <v>393</v>
      </c>
      <c r="I770" s="2" t="s">
        <v>4939</v>
      </c>
      <c r="J770" s="2"/>
      <c r="K770" s="2"/>
      <c r="L770" s="2" t="s">
        <v>5334</v>
      </c>
      <c r="M770" s="2" t="s">
        <v>5107</v>
      </c>
      <c r="N770" s="2" t="s">
        <v>5325</v>
      </c>
      <c r="O770" s="2" t="s">
        <v>5335</v>
      </c>
      <c r="P770" s="2" t="s">
        <v>8466</v>
      </c>
      <c r="Q770" s="2" t="s">
        <v>5091</v>
      </c>
      <c r="R770" s="2" t="s">
        <v>5107</v>
      </c>
      <c r="S770" s="2"/>
    </row>
    <row r="771" spans="1:19" x14ac:dyDescent="0.2">
      <c r="A771" s="2">
        <v>3528</v>
      </c>
      <c r="B771" s="6" t="s">
        <v>8467</v>
      </c>
      <c r="C771" s="2" t="s">
        <v>8468</v>
      </c>
      <c r="D771" s="2" t="s">
        <v>8469</v>
      </c>
      <c r="E771" s="2" t="s">
        <v>8167</v>
      </c>
      <c r="F771" s="2" t="s">
        <v>8167</v>
      </c>
      <c r="G771" s="2" t="s">
        <v>8167</v>
      </c>
      <c r="H771" s="2" t="s">
        <v>393</v>
      </c>
      <c r="I771" s="2" t="s">
        <v>4939</v>
      </c>
      <c r="J771" s="2"/>
      <c r="K771" s="2"/>
      <c r="L771" s="2" t="s">
        <v>5078</v>
      </c>
      <c r="M771" s="2" t="s">
        <v>8470</v>
      </c>
      <c r="N771" s="2" t="s">
        <v>5325</v>
      </c>
      <c r="O771" s="2" t="s">
        <v>5330</v>
      </c>
      <c r="P771" s="2" t="s">
        <v>8471</v>
      </c>
      <c r="Q771" s="2" t="s">
        <v>5091</v>
      </c>
      <c r="R771" s="2" t="s">
        <v>5324</v>
      </c>
      <c r="S771" s="2"/>
    </row>
    <row r="772" spans="1:19" x14ac:dyDescent="0.2">
      <c r="A772" s="2">
        <v>3529</v>
      </c>
      <c r="B772" s="6" t="s">
        <v>8472</v>
      </c>
      <c r="C772" s="2" t="s">
        <v>8473</v>
      </c>
      <c r="D772" s="2" t="s">
        <v>8474</v>
      </c>
      <c r="E772" s="2" t="s">
        <v>8167</v>
      </c>
      <c r="F772" s="2" t="s">
        <v>8167</v>
      </c>
      <c r="G772" s="2" t="s">
        <v>8167</v>
      </c>
      <c r="H772" s="2" t="s">
        <v>393</v>
      </c>
      <c r="I772" s="2" t="s">
        <v>4939</v>
      </c>
      <c r="J772" s="2"/>
      <c r="K772" s="2"/>
      <c r="L772" s="2" t="s">
        <v>5078</v>
      </c>
      <c r="M772" s="2" t="s">
        <v>8470</v>
      </c>
      <c r="N772" s="2" t="s">
        <v>5325</v>
      </c>
      <c r="O772" s="2" t="s">
        <v>5330</v>
      </c>
      <c r="P772" s="2" t="s">
        <v>8471</v>
      </c>
      <c r="Q772" s="2" t="s">
        <v>5091</v>
      </c>
      <c r="R772" s="2" t="s">
        <v>5324</v>
      </c>
      <c r="S772" s="2"/>
    </row>
    <row r="773" spans="1:19" ht="409.6" x14ac:dyDescent="0.2">
      <c r="A773" s="2">
        <v>3530</v>
      </c>
      <c r="B773" s="6" t="s">
        <v>8475</v>
      </c>
      <c r="C773" s="2" t="s">
        <v>8476</v>
      </c>
      <c r="D773" s="18" t="s">
        <v>8477</v>
      </c>
      <c r="E773" s="2" t="s">
        <v>8241</v>
      </c>
      <c r="F773" s="2"/>
      <c r="G773" s="2"/>
      <c r="H773" s="2" t="s">
        <v>393</v>
      </c>
      <c r="I773" s="2" t="s">
        <v>4939</v>
      </c>
      <c r="J773" s="2"/>
      <c r="K773" s="2"/>
      <c r="L773" s="2" t="s">
        <v>5078</v>
      </c>
      <c r="M773" s="2" t="s">
        <v>8478</v>
      </c>
      <c r="N773" s="2" t="s">
        <v>5325</v>
      </c>
      <c r="O773" s="2" t="s">
        <v>5330</v>
      </c>
      <c r="P773" s="2" t="s">
        <v>8479</v>
      </c>
      <c r="Q773" s="2" t="s">
        <v>5091</v>
      </c>
      <c r="R773" s="2" t="s">
        <v>5324</v>
      </c>
      <c r="S773" s="2"/>
    </row>
    <row r="774" spans="1:19" x14ac:dyDescent="0.2">
      <c r="A774" s="2">
        <v>3532</v>
      </c>
      <c r="B774" s="6" t="s">
        <v>8480</v>
      </c>
      <c r="C774" s="2" t="s">
        <v>8481</v>
      </c>
      <c r="D774" s="2" t="s">
        <v>8482</v>
      </c>
      <c r="E774" s="2" t="s">
        <v>8483</v>
      </c>
      <c r="F774" s="2"/>
      <c r="G774" s="2"/>
      <c r="H774" s="2" t="s">
        <v>393</v>
      </c>
      <c r="I774" s="2" t="s">
        <v>4939</v>
      </c>
      <c r="J774" s="2"/>
      <c r="K774" s="2"/>
      <c r="L774" s="2" t="s">
        <v>5078</v>
      </c>
      <c r="M774" s="2" t="s">
        <v>5079</v>
      </c>
      <c r="N774" s="2" t="s">
        <v>5325</v>
      </c>
      <c r="O774" s="2" t="s">
        <v>5330</v>
      </c>
      <c r="P774" s="2" t="s">
        <v>8458</v>
      </c>
      <c r="Q774" s="2" t="s">
        <v>5091</v>
      </c>
      <c r="R774" s="2" t="s">
        <v>5079</v>
      </c>
      <c r="S774" s="2"/>
    </row>
    <row r="775" spans="1:19" x14ac:dyDescent="0.2">
      <c r="A775" s="2">
        <v>3533</v>
      </c>
      <c r="B775" s="6" t="s">
        <v>8484</v>
      </c>
      <c r="C775" s="2" t="s">
        <v>8485</v>
      </c>
      <c r="D775" s="2" t="s">
        <v>8486</v>
      </c>
      <c r="E775" s="2" t="s">
        <v>8487</v>
      </c>
      <c r="F775" s="2"/>
      <c r="G775" s="2"/>
      <c r="H775" s="2" t="s">
        <v>393</v>
      </c>
      <c r="I775" s="2" t="s">
        <v>4939</v>
      </c>
      <c r="J775" s="2"/>
      <c r="K775" s="2"/>
      <c r="L775" s="2" t="s">
        <v>5078</v>
      </c>
      <c r="M775" s="2" t="s">
        <v>5079</v>
      </c>
      <c r="N775" s="2" t="s">
        <v>5325</v>
      </c>
      <c r="O775" s="2" t="s">
        <v>5330</v>
      </c>
      <c r="P775" s="2" t="s">
        <v>8488</v>
      </c>
      <c r="Q775" s="2" t="s">
        <v>5091</v>
      </c>
      <c r="R775" s="2" t="s">
        <v>5079</v>
      </c>
      <c r="S775" s="2"/>
    </row>
    <row r="776" spans="1:19" x14ac:dyDescent="0.2">
      <c r="A776" s="2">
        <v>3534</v>
      </c>
      <c r="B776" s="6" t="s">
        <v>8489</v>
      </c>
      <c r="C776" s="2" t="s">
        <v>8490</v>
      </c>
      <c r="D776" s="2" t="s">
        <v>8491</v>
      </c>
      <c r="E776" s="2" t="s">
        <v>8299</v>
      </c>
      <c r="F776" s="2"/>
      <c r="G776" s="2"/>
      <c r="H776" s="2" t="s">
        <v>393</v>
      </c>
      <c r="I776" s="2" t="s">
        <v>4939</v>
      </c>
      <c r="J776" s="2"/>
      <c r="K776" s="2"/>
      <c r="L776" s="2" t="s">
        <v>5078</v>
      </c>
      <c r="M776" s="2" t="s">
        <v>5079</v>
      </c>
      <c r="N776" s="2" t="s">
        <v>5325</v>
      </c>
      <c r="O776" s="2" t="s">
        <v>5330</v>
      </c>
      <c r="P776" s="2" t="s">
        <v>8458</v>
      </c>
      <c r="Q776" s="2" t="s">
        <v>5091</v>
      </c>
      <c r="R776" s="2" t="s">
        <v>5193</v>
      </c>
      <c r="S776" s="2"/>
    </row>
    <row r="777" spans="1:19" x14ac:dyDescent="0.2">
      <c r="A777" s="2">
        <v>3536</v>
      </c>
      <c r="B777" s="6" t="s">
        <v>8492</v>
      </c>
      <c r="C777" s="2" t="s">
        <v>8493</v>
      </c>
      <c r="D777" s="2" t="s">
        <v>8494</v>
      </c>
      <c r="E777" s="2" t="s">
        <v>8495</v>
      </c>
      <c r="F777" s="2"/>
      <c r="G777" s="2"/>
      <c r="H777" s="2" t="s">
        <v>393</v>
      </c>
      <c r="I777" s="2" t="s">
        <v>4939</v>
      </c>
      <c r="J777" s="2"/>
      <c r="K777" s="2"/>
      <c r="L777" s="2" t="s">
        <v>5078</v>
      </c>
      <c r="M777" s="2" t="s">
        <v>5134</v>
      </c>
      <c r="N777" s="2" t="s">
        <v>5325</v>
      </c>
      <c r="O777" s="2" t="s">
        <v>5330</v>
      </c>
      <c r="P777" s="2" t="s">
        <v>8496</v>
      </c>
      <c r="Q777" s="2" t="s">
        <v>5091</v>
      </c>
      <c r="R777" s="2" t="s">
        <v>5536</v>
      </c>
      <c r="S777" s="2"/>
    </row>
    <row r="778" spans="1:19" x14ac:dyDescent="0.2">
      <c r="A778" s="2">
        <v>3537</v>
      </c>
      <c r="B778" s="6" t="s">
        <v>8497</v>
      </c>
      <c r="C778" s="2" t="s">
        <v>8498</v>
      </c>
      <c r="D778" s="2" t="s">
        <v>8499</v>
      </c>
      <c r="E778" s="2" t="s">
        <v>8305</v>
      </c>
      <c r="F778" s="2" t="s">
        <v>8305</v>
      </c>
      <c r="G778" s="2" t="s">
        <v>8305</v>
      </c>
      <c r="H778" s="2" t="s">
        <v>393</v>
      </c>
      <c r="I778" s="2" t="s">
        <v>4939</v>
      </c>
      <c r="J778" s="2"/>
      <c r="K778" s="2"/>
      <c r="L778" s="2" t="s">
        <v>5078</v>
      </c>
      <c r="M778" s="2" t="s">
        <v>6582</v>
      </c>
      <c r="N778" s="2" t="s">
        <v>5325</v>
      </c>
      <c r="O778" s="2" t="s">
        <v>5330</v>
      </c>
      <c r="P778" s="2" t="s">
        <v>8500</v>
      </c>
      <c r="Q778" s="2" t="s">
        <v>5091</v>
      </c>
      <c r="R778" s="2" t="s">
        <v>6561</v>
      </c>
      <c r="S778" s="2"/>
    </row>
    <row r="779" spans="1:19" x14ac:dyDescent="0.2">
      <c r="A779" s="2">
        <v>3538</v>
      </c>
      <c r="B779" s="6" t="s">
        <v>8501</v>
      </c>
      <c r="C779" s="2" t="s">
        <v>8502</v>
      </c>
      <c r="D779" s="2" t="s">
        <v>8503</v>
      </c>
      <c r="E779" s="2" t="s">
        <v>8504</v>
      </c>
      <c r="F779" s="2" t="s">
        <v>8505</v>
      </c>
      <c r="G779" s="2" t="s">
        <v>8505</v>
      </c>
      <c r="H779" s="2" t="s">
        <v>393</v>
      </c>
      <c r="I779" s="2" t="s">
        <v>4939</v>
      </c>
      <c r="J779" s="2"/>
      <c r="K779" s="2"/>
      <c r="L779" s="2" t="s">
        <v>5078</v>
      </c>
      <c r="M779" s="2" t="s">
        <v>8350</v>
      </c>
      <c r="N779" s="2" t="s">
        <v>5325</v>
      </c>
      <c r="O779" s="2" t="s">
        <v>5330</v>
      </c>
      <c r="P779" s="2" t="s">
        <v>8506</v>
      </c>
      <c r="Q779" s="2" t="s">
        <v>5091</v>
      </c>
      <c r="R779" s="2" t="s">
        <v>5128</v>
      </c>
      <c r="S779" s="2"/>
    </row>
    <row r="780" spans="1:19" x14ac:dyDescent="0.2">
      <c r="A780" s="2">
        <v>3539</v>
      </c>
      <c r="B780" s="6" t="s">
        <v>8507</v>
      </c>
      <c r="C780" s="2" t="s">
        <v>8508</v>
      </c>
      <c r="D780" s="2" t="s">
        <v>8509</v>
      </c>
      <c r="E780" s="2" t="s">
        <v>8337</v>
      </c>
      <c r="F780" s="2" t="s">
        <v>8337</v>
      </c>
      <c r="G780" s="2" t="s">
        <v>8337</v>
      </c>
      <c r="H780" s="2" t="s">
        <v>393</v>
      </c>
      <c r="I780" s="2" t="s">
        <v>4939</v>
      </c>
      <c r="J780" s="2"/>
      <c r="K780" s="2"/>
      <c r="L780" s="2" t="s">
        <v>5078</v>
      </c>
      <c r="M780" s="2" t="s">
        <v>5079</v>
      </c>
      <c r="N780" s="2" t="s">
        <v>5325</v>
      </c>
      <c r="O780" s="2" t="s">
        <v>5362</v>
      </c>
      <c r="P780" s="2" t="s">
        <v>8510</v>
      </c>
      <c r="Q780" s="2" t="s">
        <v>5091</v>
      </c>
      <c r="R780" s="2" t="s">
        <v>5079</v>
      </c>
      <c r="S780" s="2"/>
    </row>
    <row r="781" spans="1:19" x14ac:dyDescent="0.2">
      <c r="A781" s="2">
        <v>3540</v>
      </c>
      <c r="B781" s="6" t="s">
        <v>8511</v>
      </c>
      <c r="C781" s="2" t="s">
        <v>8512</v>
      </c>
      <c r="D781" s="2" t="s">
        <v>8513</v>
      </c>
      <c r="E781" s="2" t="s">
        <v>8514</v>
      </c>
      <c r="F781" s="2"/>
      <c r="G781" s="2"/>
      <c r="H781" s="2" t="s">
        <v>393</v>
      </c>
      <c r="I781" s="2" t="s">
        <v>4939</v>
      </c>
      <c r="J781" s="2"/>
      <c r="K781" s="2"/>
      <c r="L781" s="2" t="s">
        <v>5078</v>
      </c>
      <c r="M781" s="2" t="s">
        <v>8515</v>
      </c>
      <c r="N781" s="2" t="s">
        <v>5325</v>
      </c>
      <c r="O781" s="2" t="s">
        <v>5330</v>
      </c>
      <c r="P781" s="2" t="s">
        <v>8516</v>
      </c>
      <c r="Q781" s="2" t="s">
        <v>5091</v>
      </c>
      <c r="R781" s="2" t="s">
        <v>5324</v>
      </c>
      <c r="S781" s="2"/>
    </row>
    <row r="782" spans="1:19" x14ac:dyDescent="0.2">
      <c r="A782" s="2">
        <v>3541</v>
      </c>
      <c r="B782" s="6" t="s">
        <v>8517</v>
      </c>
      <c r="C782" s="2" t="s">
        <v>8518</v>
      </c>
      <c r="D782" s="2" t="s">
        <v>8518</v>
      </c>
      <c r="E782" s="2" t="s">
        <v>2776</v>
      </c>
      <c r="F782" s="2" t="s">
        <v>2776</v>
      </c>
      <c r="G782" s="2" t="s">
        <v>2776</v>
      </c>
      <c r="H782" s="2" t="s">
        <v>393</v>
      </c>
      <c r="I782" s="2" t="s">
        <v>8519</v>
      </c>
      <c r="J782" s="2" t="s">
        <v>5085</v>
      </c>
      <c r="K782" s="2"/>
      <c r="L782" s="2" t="s">
        <v>5087</v>
      </c>
      <c r="M782" s="2" t="s">
        <v>5079</v>
      </c>
      <c r="N782" s="2" t="s">
        <v>5325</v>
      </c>
      <c r="O782" s="2" t="s">
        <v>5326</v>
      </c>
      <c r="P782" s="2" t="s">
        <v>8520</v>
      </c>
      <c r="Q782" s="2" t="s">
        <v>5091</v>
      </c>
      <c r="R782" s="2" t="s">
        <v>5079</v>
      </c>
      <c r="S782" s="2"/>
    </row>
    <row r="783" spans="1:19" x14ac:dyDescent="0.2">
      <c r="A783" s="2">
        <v>3543</v>
      </c>
      <c r="B783" s="6" t="s">
        <v>8521</v>
      </c>
      <c r="C783" s="2" t="s">
        <v>8522</v>
      </c>
      <c r="D783" s="2" t="s">
        <v>8523</v>
      </c>
      <c r="E783" s="2" t="s">
        <v>8524</v>
      </c>
      <c r="F783" s="2"/>
      <c r="G783" s="2"/>
      <c r="H783" s="2" t="s">
        <v>393</v>
      </c>
      <c r="I783" s="2" t="s">
        <v>8525</v>
      </c>
      <c r="J783" s="2"/>
      <c r="K783" s="2"/>
      <c r="L783" s="2" t="s">
        <v>5078</v>
      </c>
      <c r="M783" s="2" t="s">
        <v>5079</v>
      </c>
      <c r="N783" s="2" t="s">
        <v>5325</v>
      </c>
      <c r="O783" s="2" t="s">
        <v>5330</v>
      </c>
      <c r="P783" s="2" t="s">
        <v>8526</v>
      </c>
      <c r="Q783" s="2" t="s">
        <v>5091</v>
      </c>
      <c r="R783" s="2" t="s">
        <v>5079</v>
      </c>
      <c r="S783" s="2"/>
    </row>
    <row r="784" spans="1:19" x14ac:dyDescent="0.2">
      <c r="A784" s="2">
        <v>3545</v>
      </c>
      <c r="B784" s="6" t="s">
        <v>8527</v>
      </c>
      <c r="C784" s="2" t="s">
        <v>8528</v>
      </c>
      <c r="D784" s="2" t="s">
        <v>8529</v>
      </c>
      <c r="E784" s="2" t="s">
        <v>8300</v>
      </c>
      <c r="F784" s="2" t="s">
        <v>8173</v>
      </c>
      <c r="G784" s="2" t="s">
        <v>8173</v>
      </c>
      <c r="H784" s="2" t="s">
        <v>393</v>
      </c>
      <c r="I784" s="2" t="s">
        <v>8530</v>
      </c>
      <c r="J784" s="2"/>
      <c r="K784" s="2"/>
      <c r="L784" s="2" t="s">
        <v>5078</v>
      </c>
      <c r="M784" s="2" t="s">
        <v>8294</v>
      </c>
      <c r="N784" s="2" t="s">
        <v>5325</v>
      </c>
      <c r="O784" s="2" t="s">
        <v>5081</v>
      </c>
      <c r="P784" s="2" t="s">
        <v>8531</v>
      </c>
      <c r="Q784" s="2" t="s">
        <v>8532</v>
      </c>
      <c r="R784" s="2" t="s">
        <v>8533</v>
      </c>
      <c r="S784" s="2" t="s">
        <v>8534</v>
      </c>
    </row>
    <row r="785" spans="1:19" ht="71" x14ac:dyDescent="0.2">
      <c r="A785" s="2">
        <v>3546</v>
      </c>
      <c r="B785" s="6" t="s">
        <v>8535</v>
      </c>
      <c r="C785" s="2" t="s">
        <v>8536</v>
      </c>
      <c r="D785" s="2" t="s">
        <v>8537</v>
      </c>
      <c r="E785" s="2" t="s">
        <v>8538</v>
      </c>
      <c r="F785" s="2"/>
      <c r="G785" s="2"/>
      <c r="H785" s="2" t="s">
        <v>393</v>
      </c>
      <c r="I785" s="18" t="s">
        <v>8539</v>
      </c>
      <c r="J785" s="2"/>
      <c r="K785" s="2"/>
      <c r="L785" s="2" t="s">
        <v>5078</v>
      </c>
      <c r="M785" s="2" t="s">
        <v>5079</v>
      </c>
      <c r="N785" s="2" t="s">
        <v>5325</v>
      </c>
      <c r="O785" s="2" t="s">
        <v>5326</v>
      </c>
      <c r="P785" s="2" t="s">
        <v>8540</v>
      </c>
      <c r="Q785" s="2" t="s">
        <v>8541</v>
      </c>
      <c r="R785" s="2" t="s">
        <v>5079</v>
      </c>
      <c r="S785" s="2"/>
    </row>
    <row r="786" spans="1:19" ht="71" x14ac:dyDescent="0.2">
      <c r="A786" s="2">
        <v>3547</v>
      </c>
      <c r="B786" s="6" t="s">
        <v>8542</v>
      </c>
      <c r="C786" s="2" t="s">
        <v>8543</v>
      </c>
      <c r="D786" s="2" t="s">
        <v>8544</v>
      </c>
      <c r="E786" s="2" t="s">
        <v>8545</v>
      </c>
      <c r="F786" s="2"/>
      <c r="G786" s="2"/>
      <c r="H786" s="2" t="s">
        <v>393</v>
      </c>
      <c r="I786" s="18" t="s">
        <v>8539</v>
      </c>
      <c r="J786" s="2"/>
      <c r="K786" s="2"/>
      <c r="L786" s="2" t="s">
        <v>5078</v>
      </c>
      <c r="M786" s="2" t="s">
        <v>5079</v>
      </c>
      <c r="N786" s="2" t="s">
        <v>5325</v>
      </c>
      <c r="O786" s="2" t="s">
        <v>5081</v>
      </c>
      <c r="P786" s="2" t="s">
        <v>8546</v>
      </c>
      <c r="Q786" s="2" t="s">
        <v>6990</v>
      </c>
      <c r="R786" s="2" t="s">
        <v>5079</v>
      </c>
      <c r="S786" s="2"/>
    </row>
    <row r="787" spans="1:19" x14ac:dyDescent="0.2">
      <c r="A787" s="2">
        <v>3548</v>
      </c>
      <c r="B787" s="6" t="s">
        <v>8547</v>
      </c>
      <c r="C787" s="2" t="s">
        <v>8548</v>
      </c>
      <c r="D787" s="2" t="s">
        <v>8549</v>
      </c>
      <c r="E787" s="2" t="s">
        <v>8550</v>
      </c>
      <c r="F787" s="2"/>
      <c r="G787" s="2"/>
      <c r="H787" s="2" t="s">
        <v>393</v>
      </c>
      <c r="I787" s="2" t="s">
        <v>8551</v>
      </c>
      <c r="J787" s="2"/>
      <c r="K787" s="2"/>
      <c r="L787" s="2" t="s">
        <v>5709</v>
      </c>
      <c r="M787" s="2" t="s">
        <v>8552</v>
      </c>
      <c r="N787" s="2" t="s">
        <v>5325</v>
      </c>
      <c r="O787" s="2" t="s">
        <v>5335</v>
      </c>
      <c r="P787" s="2" t="s">
        <v>8553</v>
      </c>
      <c r="Q787" s="2" t="s">
        <v>5091</v>
      </c>
      <c r="R787" s="2" t="s">
        <v>5107</v>
      </c>
      <c r="S787" s="2" t="s">
        <v>5281</v>
      </c>
    </row>
    <row r="788" spans="1:19" x14ac:dyDescent="0.2">
      <c r="A788" s="2">
        <v>3552</v>
      </c>
      <c r="B788" s="6" t="s">
        <v>8554</v>
      </c>
      <c r="C788" s="2" t="s">
        <v>8555</v>
      </c>
      <c r="D788" s="2" t="s">
        <v>8556</v>
      </c>
      <c r="E788" s="2" t="s">
        <v>8557</v>
      </c>
      <c r="F788" s="2" t="s">
        <v>8557</v>
      </c>
      <c r="G788" s="2" t="s">
        <v>8557</v>
      </c>
      <c r="H788" s="2" t="s">
        <v>393</v>
      </c>
      <c r="I788" s="2" t="s">
        <v>8551</v>
      </c>
      <c r="J788" s="2"/>
      <c r="K788" s="2"/>
      <c r="L788" s="2" t="s">
        <v>5334</v>
      </c>
      <c r="M788" s="2" t="s">
        <v>8558</v>
      </c>
      <c r="N788" s="2" t="s">
        <v>5325</v>
      </c>
      <c r="O788" s="2" t="s">
        <v>5362</v>
      </c>
      <c r="P788" s="2" t="s">
        <v>8559</v>
      </c>
      <c r="Q788" s="2" t="s">
        <v>5091</v>
      </c>
      <c r="R788" s="2" t="s">
        <v>5617</v>
      </c>
      <c r="S788" s="2"/>
    </row>
    <row r="789" spans="1:19" x14ac:dyDescent="0.2">
      <c r="A789" s="2">
        <v>3556</v>
      </c>
      <c r="B789" s="6" t="s">
        <v>8560</v>
      </c>
      <c r="C789" s="2" t="s">
        <v>8561</v>
      </c>
      <c r="D789" s="2" t="s">
        <v>8562</v>
      </c>
      <c r="E789" s="2" t="s">
        <v>8161</v>
      </c>
      <c r="F789" s="2" t="s">
        <v>8173</v>
      </c>
      <c r="G789" s="2" t="s">
        <v>8173</v>
      </c>
      <c r="H789" s="2" t="s">
        <v>393</v>
      </c>
      <c r="I789" s="2" t="s">
        <v>8563</v>
      </c>
      <c r="J789" s="2"/>
      <c r="K789" s="2"/>
      <c r="L789" s="2" t="s">
        <v>5078</v>
      </c>
      <c r="M789" s="2" t="s">
        <v>5324</v>
      </c>
      <c r="N789" s="2" t="s">
        <v>5325</v>
      </c>
      <c r="O789" s="2" t="s">
        <v>5081</v>
      </c>
      <c r="P789" s="2" t="s">
        <v>8564</v>
      </c>
      <c r="Q789" s="2" t="s">
        <v>6990</v>
      </c>
      <c r="R789" s="2" t="s">
        <v>5324</v>
      </c>
      <c r="S789" s="2" t="s">
        <v>8163</v>
      </c>
    </row>
    <row r="790" spans="1:19" x14ac:dyDescent="0.2">
      <c r="A790" s="2">
        <v>3557</v>
      </c>
      <c r="B790" s="6" t="s">
        <v>8565</v>
      </c>
      <c r="C790" s="2" t="s">
        <v>8566</v>
      </c>
      <c r="D790" s="2" t="s">
        <v>8567</v>
      </c>
      <c r="E790" s="2" t="s">
        <v>8299</v>
      </c>
      <c r="F790" s="2" t="s">
        <v>8299</v>
      </c>
      <c r="G790" s="2" t="s">
        <v>8299</v>
      </c>
      <c r="H790" s="2" t="s">
        <v>393</v>
      </c>
      <c r="I790" s="2" t="s">
        <v>8568</v>
      </c>
      <c r="J790" s="2"/>
      <c r="K790" s="2"/>
      <c r="L790" s="2" t="s">
        <v>5078</v>
      </c>
      <c r="M790" s="2" t="s">
        <v>8569</v>
      </c>
      <c r="N790" s="2" t="s">
        <v>5325</v>
      </c>
      <c r="O790" s="2" t="s">
        <v>5081</v>
      </c>
      <c r="P790" s="2" t="s">
        <v>8570</v>
      </c>
      <c r="Q790" s="2" t="s">
        <v>5091</v>
      </c>
      <c r="R790" s="2" t="s">
        <v>8571</v>
      </c>
      <c r="S790" s="2"/>
    </row>
    <row r="791" spans="1:19" x14ac:dyDescent="0.2">
      <c r="A791" s="2">
        <v>3558</v>
      </c>
      <c r="B791" s="6" t="s">
        <v>8572</v>
      </c>
      <c r="C791" s="2" t="s">
        <v>8573</v>
      </c>
      <c r="D791" s="2" t="s">
        <v>8574</v>
      </c>
      <c r="E791" s="2" t="s">
        <v>8575</v>
      </c>
      <c r="F791" s="2" t="s">
        <v>8575</v>
      </c>
      <c r="G791" s="2" t="s">
        <v>8575</v>
      </c>
      <c r="H791" s="2" t="s">
        <v>393</v>
      </c>
      <c r="I791" s="2" t="s">
        <v>8563</v>
      </c>
      <c r="J791" s="2"/>
      <c r="K791" s="2"/>
      <c r="L791" s="2" t="s">
        <v>5087</v>
      </c>
      <c r="M791" s="2" t="s">
        <v>5107</v>
      </c>
      <c r="N791" s="2" t="s">
        <v>5325</v>
      </c>
      <c r="O791" s="2" t="s">
        <v>5335</v>
      </c>
      <c r="P791" s="2" t="s">
        <v>8576</v>
      </c>
      <c r="Q791" s="2" t="s">
        <v>5091</v>
      </c>
      <c r="R791" s="2" t="s">
        <v>5107</v>
      </c>
      <c r="S791" s="2"/>
    </row>
    <row r="792" spans="1:19" x14ac:dyDescent="0.2">
      <c r="A792" s="2">
        <v>3567</v>
      </c>
      <c r="B792" s="6" t="s">
        <v>8577</v>
      </c>
      <c r="C792" s="2" t="s">
        <v>8578</v>
      </c>
      <c r="D792" s="2" t="s">
        <v>8579</v>
      </c>
      <c r="E792" s="2" t="s">
        <v>8580</v>
      </c>
      <c r="F792" s="2" t="s">
        <v>8581</v>
      </c>
      <c r="G792" s="2" t="s">
        <v>8581</v>
      </c>
      <c r="H792" s="2" t="s">
        <v>393</v>
      </c>
      <c r="I792" s="2" t="s">
        <v>1669</v>
      </c>
      <c r="J792" s="2" t="s">
        <v>333</v>
      </c>
      <c r="K792" s="2"/>
      <c r="L792" s="2" t="s">
        <v>5334</v>
      </c>
      <c r="M792" s="2" t="s">
        <v>8294</v>
      </c>
      <c r="N792" s="2" t="s">
        <v>5325</v>
      </c>
      <c r="O792" s="2" t="s">
        <v>5330</v>
      </c>
      <c r="P792" s="2" t="s">
        <v>8582</v>
      </c>
      <c r="Q792" s="2" t="s">
        <v>5091</v>
      </c>
      <c r="R792" s="2" t="s">
        <v>6340</v>
      </c>
      <c r="S792" s="2" t="s">
        <v>8163</v>
      </c>
    </row>
    <row r="793" spans="1:19" x14ac:dyDescent="0.2">
      <c r="A793" s="2">
        <v>3568</v>
      </c>
      <c r="B793" s="6" t="s">
        <v>8583</v>
      </c>
      <c r="C793" s="2" t="s">
        <v>8584</v>
      </c>
      <c r="D793" s="2" t="s">
        <v>8585</v>
      </c>
      <c r="E793" s="2" t="s">
        <v>8586</v>
      </c>
      <c r="F793" s="2"/>
      <c r="G793" s="2"/>
      <c r="H793" s="2" t="s">
        <v>393</v>
      </c>
      <c r="I793" s="2" t="s">
        <v>790</v>
      </c>
      <c r="J793" s="2"/>
      <c r="K793" s="2"/>
      <c r="L793" s="2" t="s">
        <v>5334</v>
      </c>
      <c r="M793" s="2" t="s">
        <v>5079</v>
      </c>
      <c r="N793" s="2" t="s">
        <v>5325</v>
      </c>
      <c r="O793" s="2" t="s">
        <v>5330</v>
      </c>
      <c r="P793" s="2" t="s">
        <v>8587</v>
      </c>
      <c r="Q793" s="2" t="s">
        <v>5091</v>
      </c>
      <c r="R793" s="2" t="s">
        <v>5079</v>
      </c>
      <c r="S793" s="2"/>
    </row>
    <row r="794" spans="1:19" x14ac:dyDescent="0.2">
      <c r="A794" s="2">
        <v>3569</v>
      </c>
      <c r="B794" s="6" t="s">
        <v>8588</v>
      </c>
      <c r="C794" s="2" t="s">
        <v>8589</v>
      </c>
      <c r="D794" s="2" t="s">
        <v>8590</v>
      </c>
      <c r="E794" s="2" t="s">
        <v>327</v>
      </c>
      <c r="F794" s="2" t="s">
        <v>8591</v>
      </c>
      <c r="G794" s="2" t="s">
        <v>327</v>
      </c>
      <c r="H794" s="2" t="s">
        <v>393</v>
      </c>
      <c r="I794" s="2" t="s">
        <v>8592</v>
      </c>
      <c r="J794" s="2"/>
      <c r="K794" s="2"/>
      <c r="L794" s="2" t="s">
        <v>5334</v>
      </c>
      <c r="M794" s="2" t="s">
        <v>6348</v>
      </c>
      <c r="N794" s="2" t="s">
        <v>5325</v>
      </c>
      <c r="O794" s="2" t="s">
        <v>5330</v>
      </c>
      <c r="P794" s="2" t="s">
        <v>8593</v>
      </c>
      <c r="Q794" s="2" t="s">
        <v>5091</v>
      </c>
      <c r="R794" s="2" t="s">
        <v>6348</v>
      </c>
      <c r="S794" s="2"/>
    </row>
    <row r="795" spans="1:19" x14ac:dyDescent="0.2">
      <c r="A795" s="2">
        <v>3570</v>
      </c>
      <c r="B795" s="6" t="s">
        <v>8594</v>
      </c>
      <c r="C795" s="2" t="s">
        <v>8595</v>
      </c>
      <c r="D795" s="2" t="s">
        <v>8596</v>
      </c>
      <c r="E795" s="2" t="s">
        <v>8597</v>
      </c>
      <c r="F795" s="2"/>
      <c r="G795" s="2"/>
      <c r="H795" s="2" t="s">
        <v>393</v>
      </c>
      <c r="I795" s="2" t="s">
        <v>411</v>
      </c>
      <c r="J795" s="2"/>
      <c r="K795" s="2"/>
      <c r="L795" s="2" t="s">
        <v>5334</v>
      </c>
      <c r="M795" s="2" t="s">
        <v>5079</v>
      </c>
      <c r="N795" s="2" t="s">
        <v>5325</v>
      </c>
      <c r="O795" s="2" t="s">
        <v>5330</v>
      </c>
      <c r="P795" s="2" t="s">
        <v>8598</v>
      </c>
      <c r="Q795" s="2" t="s">
        <v>5091</v>
      </c>
      <c r="R795" s="2" t="s">
        <v>5079</v>
      </c>
      <c r="S795" s="2"/>
    </row>
    <row r="796" spans="1:19" x14ac:dyDescent="0.2">
      <c r="A796" s="2">
        <v>3572</v>
      </c>
      <c r="B796" s="6" t="s">
        <v>8599</v>
      </c>
      <c r="C796" s="2" t="s">
        <v>8600</v>
      </c>
      <c r="D796" s="2" t="s">
        <v>8601</v>
      </c>
      <c r="E796" s="2" t="s">
        <v>8602</v>
      </c>
      <c r="F796" s="2"/>
      <c r="G796" s="2"/>
      <c r="H796" s="2" t="s">
        <v>393</v>
      </c>
      <c r="I796" s="2" t="s">
        <v>817</v>
      </c>
      <c r="J796" s="2"/>
      <c r="K796" s="2"/>
      <c r="L796" s="2" t="s">
        <v>5078</v>
      </c>
      <c r="M796" s="2" t="s">
        <v>5079</v>
      </c>
      <c r="N796" s="2" t="s">
        <v>5325</v>
      </c>
      <c r="O796" s="2" t="s">
        <v>8603</v>
      </c>
      <c r="P796" s="2" t="s">
        <v>8604</v>
      </c>
      <c r="Q796" s="2" t="s">
        <v>5091</v>
      </c>
      <c r="R796" s="2" t="s">
        <v>5079</v>
      </c>
      <c r="S796" s="2"/>
    </row>
    <row r="797" spans="1:19" x14ac:dyDescent="0.2">
      <c r="A797" s="2">
        <v>3573</v>
      </c>
      <c r="B797" s="6" t="s">
        <v>8605</v>
      </c>
      <c r="C797" s="2" t="s">
        <v>8606</v>
      </c>
      <c r="D797" s="2" t="s">
        <v>8607</v>
      </c>
      <c r="E797" s="2" t="s">
        <v>8608</v>
      </c>
      <c r="F797" s="2"/>
      <c r="G797" s="2"/>
      <c r="H797" s="2" t="s">
        <v>393</v>
      </c>
      <c r="I797" s="2" t="s">
        <v>8609</v>
      </c>
      <c r="J797" s="2" t="s">
        <v>1324</v>
      </c>
      <c r="K797" s="2"/>
      <c r="L797" s="2" t="s">
        <v>5078</v>
      </c>
      <c r="M797" s="2" t="s">
        <v>5079</v>
      </c>
      <c r="N797" s="2" t="s">
        <v>5325</v>
      </c>
      <c r="O797" s="2" t="s">
        <v>5081</v>
      </c>
      <c r="P797" s="2" t="s">
        <v>8510</v>
      </c>
      <c r="Q797" s="2" t="s">
        <v>5091</v>
      </c>
      <c r="R797" s="2" t="s">
        <v>5079</v>
      </c>
      <c r="S797" s="2"/>
    </row>
    <row r="798" spans="1:19" x14ac:dyDescent="0.2">
      <c r="A798" s="2">
        <v>3575</v>
      </c>
      <c r="B798" s="6" t="s">
        <v>8610</v>
      </c>
      <c r="C798" s="2" t="s">
        <v>8611</v>
      </c>
      <c r="D798" s="2" t="s">
        <v>8612</v>
      </c>
      <c r="E798" s="2" t="s">
        <v>8257</v>
      </c>
      <c r="F798" s="2" t="s">
        <v>8275</v>
      </c>
      <c r="G798" s="2" t="s">
        <v>8275</v>
      </c>
      <c r="H798" s="2" t="s">
        <v>393</v>
      </c>
      <c r="I798" s="2" t="s">
        <v>8613</v>
      </c>
      <c r="J798" s="2" t="s">
        <v>8614</v>
      </c>
      <c r="K798" s="2"/>
      <c r="L798" s="2" t="s">
        <v>5078</v>
      </c>
      <c r="M798" s="2" t="s">
        <v>5107</v>
      </c>
      <c r="N798" s="2" t="s">
        <v>5325</v>
      </c>
      <c r="O798" s="2" t="s">
        <v>5081</v>
      </c>
      <c r="P798" s="2" t="s">
        <v>8615</v>
      </c>
      <c r="Q798" s="2" t="s">
        <v>5091</v>
      </c>
      <c r="R798" s="2" t="s">
        <v>5107</v>
      </c>
      <c r="S798" s="2"/>
    </row>
    <row r="799" spans="1:19" x14ac:dyDescent="0.2">
      <c r="A799" s="2">
        <v>3576</v>
      </c>
      <c r="B799" s="6" t="s">
        <v>8616</v>
      </c>
      <c r="C799" s="2" t="s">
        <v>8617</v>
      </c>
      <c r="D799" s="2" t="s">
        <v>8618</v>
      </c>
      <c r="E799" s="2" t="s">
        <v>8619</v>
      </c>
      <c r="F799" s="2"/>
      <c r="G799" s="2"/>
      <c r="H799" s="2" t="s">
        <v>393</v>
      </c>
      <c r="I799" s="2" t="s">
        <v>8620</v>
      </c>
      <c r="J799" s="2"/>
      <c r="K799" s="2"/>
      <c r="L799" s="2" t="s">
        <v>5078</v>
      </c>
      <c r="M799" s="2"/>
      <c r="N799" s="2" t="s">
        <v>5325</v>
      </c>
      <c r="O799" s="2" t="s">
        <v>8621</v>
      </c>
      <c r="P799" s="2" t="s">
        <v>8622</v>
      </c>
      <c r="Q799" s="2"/>
      <c r="R799" s="2"/>
      <c r="S799" s="2"/>
    </row>
    <row r="800" spans="1:19" x14ac:dyDescent="0.2">
      <c r="A800" s="2">
        <v>3577</v>
      </c>
      <c r="B800" s="6" t="s">
        <v>8623</v>
      </c>
      <c r="C800" s="2" t="s">
        <v>8624</v>
      </c>
      <c r="D800" s="2" t="s">
        <v>8625</v>
      </c>
      <c r="E800" s="2" t="s">
        <v>8626</v>
      </c>
      <c r="F800" s="2" t="s">
        <v>67</v>
      </c>
      <c r="G800" s="2" t="s">
        <v>8627</v>
      </c>
      <c r="H800" s="2" t="s">
        <v>393</v>
      </c>
      <c r="I800" s="2" t="s">
        <v>8620</v>
      </c>
      <c r="J800" s="2"/>
      <c r="K800" s="2"/>
      <c r="L800" s="2" t="s">
        <v>5078</v>
      </c>
      <c r="M800" s="2" t="s">
        <v>5079</v>
      </c>
      <c r="N800" s="2" t="s">
        <v>5325</v>
      </c>
      <c r="O800" s="2" t="s">
        <v>8621</v>
      </c>
      <c r="P800" s="2" t="s">
        <v>8628</v>
      </c>
      <c r="Q800" s="2" t="s">
        <v>5487</v>
      </c>
      <c r="R800" s="2" t="s">
        <v>5079</v>
      </c>
      <c r="S800" s="2"/>
    </row>
    <row r="801" spans="1:19" x14ac:dyDescent="0.2">
      <c r="A801" s="2">
        <v>3578</v>
      </c>
      <c r="B801" s="6" t="s">
        <v>8629</v>
      </c>
      <c r="C801" s="2" t="s">
        <v>8630</v>
      </c>
      <c r="D801" s="2" t="s">
        <v>797</v>
      </c>
      <c r="E801" s="2"/>
      <c r="F801" s="2"/>
      <c r="G801" s="2" t="s">
        <v>393</v>
      </c>
      <c r="H801" s="2" t="s">
        <v>825</v>
      </c>
      <c r="I801" s="2"/>
      <c r="J801" s="2"/>
      <c r="K801" s="2" t="s">
        <v>5345</v>
      </c>
      <c r="L801" s="2" t="s">
        <v>5193</v>
      </c>
      <c r="M801" s="2" t="s">
        <v>5325</v>
      </c>
      <c r="N801" s="2" t="s">
        <v>5335</v>
      </c>
      <c r="O801" s="2" t="s">
        <v>8631</v>
      </c>
      <c r="P801" s="2" t="s">
        <v>5091</v>
      </c>
      <c r="Q801" s="2" t="s">
        <v>5193</v>
      </c>
      <c r="R801" s="2"/>
      <c r="S801" s="2"/>
    </row>
    <row r="802" spans="1:19" x14ac:dyDescent="0.2">
      <c r="A802" s="2">
        <v>3580</v>
      </c>
      <c r="B802" s="6" t="s">
        <v>8632</v>
      </c>
      <c r="C802" s="2" t="s">
        <v>8633</v>
      </c>
      <c r="D802" s="2" t="s">
        <v>8634</v>
      </c>
      <c r="E802" s="2" t="s">
        <v>8103</v>
      </c>
      <c r="F802" s="2"/>
      <c r="G802" s="2"/>
      <c r="H802" s="2" t="s">
        <v>393</v>
      </c>
      <c r="I802" s="2" t="s">
        <v>825</v>
      </c>
      <c r="J802" s="2"/>
      <c r="K802" s="2"/>
      <c r="L802" s="2" t="s">
        <v>5334</v>
      </c>
      <c r="M802" s="2" t="s">
        <v>8635</v>
      </c>
      <c r="N802" s="2" t="s">
        <v>5325</v>
      </c>
      <c r="O802" s="2" t="s">
        <v>5330</v>
      </c>
      <c r="P802" s="2" t="s">
        <v>8636</v>
      </c>
      <c r="Q802" s="2" t="s">
        <v>5091</v>
      </c>
      <c r="R802" s="2" t="s">
        <v>5352</v>
      </c>
      <c r="S802" s="2"/>
    </row>
    <row r="803" spans="1:19" x14ac:dyDescent="0.2">
      <c r="A803" s="2">
        <v>3582</v>
      </c>
      <c r="B803" s="6" t="s">
        <v>8637</v>
      </c>
      <c r="C803" s="2" t="s">
        <v>8638</v>
      </c>
      <c r="D803" s="2" t="s">
        <v>8639</v>
      </c>
      <c r="E803" s="2" t="s">
        <v>3938</v>
      </c>
      <c r="F803" s="2"/>
      <c r="G803" s="2"/>
      <c r="H803" s="2" t="s">
        <v>393</v>
      </c>
      <c r="I803" s="2" t="s">
        <v>825</v>
      </c>
      <c r="J803" s="2"/>
      <c r="K803" s="2"/>
      <c r="L803" s="2" t="s">
        <v>5334</v>
      </c>
      <c r="M803" s="2" t="s">
        <v>5134</v>
      </c>
      <c r="N803" s="2" t="s">
        <v>5325</v>
      </c>
      <c r="O803" s="2" t="s">
        <v>5330</v>
      </c>
      <c r="P803" s="2" t="s">
        <v>8640</v>
      </c>
      <c r="Q803" s="2" t="s">
        <v>5091</v>
      </c>
      <c r="R803" s="2" t="s">
        <v>5617</v>
      </c>
      <c r="S803" s="2"/>
    </row>
    <row r="804" spans="1:19" x14ac:dyDescent="0.2">
      <c r="A804" s="2">
        <v>3584</v>
      </c>
      <c r="B804" s="6" t="s">
        <v>8641</v>
      </c>
      <c r="C804" s="2" t="s">
        <v>8642</v>
      </c>
      <c r="D804" s="2" t="s">
        <v>8643</v>
      </c>
      <c r="E804" s="2" t="s">
        <v>8644</v>
      </c>
      <c r="F804" s="2" t="s">
        <v>8644</v>
      </c>
      <c r="G804" s="2" t="s">
        <v>8644</v>
      </c>
      <c r="H804" s="2" t="s">
        <v>393</v>
      </c>
      <c r="I804" s="2" t="s">
        <v>825</v>
      </c>
      <c r="J804" s="2"/>
      <c r="K804" s="2"/>
      <c r="L804" s="2" t="s">
        <v>5334</v>
      </c>
      <c r="M804" s="2" t="s">
        <v>5088</v>
      </c>
      <c r="N804" s="2" t="s">
        <v>5325</v>
      </c>
      <c r="O804" s="2" t="s">
        <v>5330</v>
      </c>
      <c r="P804" s="2" t="s">
        <v>8645</v>
      </c>
      <c r="Q804" s="2" t="s">
        <v>5091</v>
      </c>
      <c r="R804" s="2" t="s">
        <v>5088</v>
      </c>
      <c r="S804" s="2"/>
    </row>
    <row r="805" spans="1:19" x14ac:dyDescent="0.2">
      <c r="A805" s="2">
        <v>3585</v>
      </c>
      <c r="B805" s="6" t="s">
        <v>8646</v>
      </c>
      <c r="C805" s="2" t="s">
        <v>8647</v>
      </c>
      <c r="D805" s="2" t="s">
        <v>8648</v>
      </c>
      <c r="E805" s="2" t="s">
        <v>8649</v>
      </c>
      <c r="F805" s="2" t="s">
        <v>8311</v>
      </c>
      <c r="G805" s="2" t="s">
        <v>8311</v>
      </c>
      <c r="H805" s="2" t="s">
        <v>393</v>
      </c>
      <c r="I805" s="2" t="s">
        <v>825</v>
      </c>
      <c r="J805" s="2"/>
      <c r="K805" s="2"/>
      <c r="L805" s="2" t="s">
        <v>5078</v>
      </c>
      <c r="M805" s="2" t="s">
        <v>5324</v>
      </c>
      <c r="N805" s="2" t="s">
        <v>5325</v>
      </c>
      <c r="O805" s="2" t="s">
        <v>5691</v>
      </c>
      <c r="P805" s="2" t="s">
        <v>8650</v>
      </c>
      <c r="Q805" s="2" t="s">
        <v>5091</v>
      </c>
      <c r="R805" s="2" t="s">
        <v>5324</v>
      </c>
      <c r="S805" s="2"/>
    </row>
    <row r="806" spans="1:19" x14ac:dyDescent="0.2">
      <c r="A806" s="2">
        <v>3586</v>
      </c>
      <c r="B806" s="6" t="s">
        <v>8651</v>
      </c>
      <c r="C806" s="2" t="s">
        <v>8652</v>
      </c>
      <c r="D806" s="2" t="s">
        <v>8653</v>
      </c>
      <c r="E806" s="2" t="s">
        <v>8654</v>
      </c>
      <c r="F806" s="2"/>
      <c r="G806" s="2"/>
      <c r="H806" s="2" t="s">
        <v>393</v>
      </c>
      <c r="I806" s="2" t="s">
        <v>825</v>
      </c>
      <c r="J806" s="2"/>
      <c r="K806" s="2"/>
      <c r="L806" s="2" t="s">
        <v>5078</v>
      </c>
      <c r="M806" s="2" t="s">
        <v>8655</v>
      </c>
      <c r="N806" s="2" t="s">
        <v>5325</v>
      </c>
      <c r="O806" s="2" t="s">
        <v>5691</v>
      </c>
      <c r="P806" s="2" t="s">
        <v>8656</v>
      </c>
      <c r="Q806" s="2" t="s">
        <v>5091</v>
      </c>
      <c r="R806" s="2" t="s">
        <v>6340</v>
      </c>
      <c r="S806" s="2"/>
    </row>
    <row r="807" spans="1:19" x14ac:dyDescent="0.2">
      <c r="A807" s="2">
        <v>3592</v>
      </c>
      <c r="B807" s="6" t="s">
        <v>8657</v>
      </c>
      <c r="C807" s="2" t="s">
        <v>8658</v>
      </c>
      <c r="D807" s="2" t="s">
        <v>8659</v>
      </c>
      <c r="E807" s="2" t="s">
        <v>2452</v>
      </c>
      <c r="F807" s="2"/>
      <c r="G807" s="2"/>
      <c r="H807" s="2" t="s">
        <v>393</v>
      </c>
      <c r="I807" s="2" t="s">
        <v>4771</v>
      </c>
      <c r="J807" s="2"/>
      <c r="K807" s="2"/>
      <c r="L807" s="2" t="s">
        <v>5078</v>
      </c>
      <c r="M807" s="2" t="s">
        <v>8478</v>
      </c>
      <c r="N807" s="2" t="s">
        <v>5325</v>
      </c>
      <c r="O807" s="2" t="s">
        <v>5362</v>
      </c>
      <c r="P807" s="2" t="s">
        <v>8660</v>
      </c>
      <c r="Q807" s="2" t="s">
        <v>5091</v>
      </c>
      <c r="R807" s="2" t="s">
        <v>8478</v>
      </c>
      <c r="S807" s="2"/>
    </row>
    <row r="808" spans="1:19" x14ac:dyDescent="0.2">
      <c r="A808" s="2">
        <v>3593</v>
      </c>
      <c r="B808" s="6" t="s">
        <v>8661</v>
      </c>
      <c r="C808" s="2" t="s">
        <v>8662</v>
      </c>
      <c r="D808" s="2" t="s">
        <v>8663</v>
      </c>
      <c r="E808" s="2" t="s">
        <v>2452</v>
      </c>
      <c r="F808" s="2"/>
      <c r="G808" s="2"/>
      <c r="H808" s="2" t="s">
        <v>393</v>
      </c>
      <c r="I808" s="2" t="s">
        <v>4771</v>
      </c>
      <c r="J808" s="2"/>
      <c r="K808" s="2"/>
      <c r="L808" s="2" t="s">
        <v>5334</v>
      </c>
      <c r="M808" s="2" t="s">
        <v>8478</v>
      </c>
      <c r="N808" s="2" t="s">
        <v>5325</v>
      </c>
      <c r="O808" s="2" t="s">
        <v>6047</v>
      </c>
      <c r="P808" s="2" t="s">
        <v>8664</v>
      </c>
      <c r="Q808" s="2" t="s">
        <v>5091</v>
      </c>
      <c r="R808" s="2" t="s">
        <v>8478</v>
      </c>
      <c r="S808" s="2"/>
    </row>
    <row r="809" spans="1:19" x14ac:dyDescent="0.2">
      <c r="A809" s="2">
        <v>3594</v>
      </c>
      <c r="B809" s="6" t="s">
        <v>8665</v>
      </c>
      <c r="C809" s="2" t="s">
        <v>8666</v>
      </c>
      <c r="D809" s="2" t="s">
        <v>8667</v>
      </c>
      <c r="E809" s="2" t="s">
        <v>8668</v>
      </c>
      <c r="F809" s="2"/>
      <c r="G809" s="2"/>
      <c r="H809" s="2" t="s">
        <v>393</v>
      </c>
      <c r="I809" s="2" t="s">
        <v>4771</v>
      </c>
      <c r="J809" s="2"/>
      <c r="K809" s="2"/>
      <c r="L809" s="2" t="s">
        <v>5334</v>
      </c>
      <c r="M809" s="2"/>
      <c r="N809" s="2" t="s">
        <v>5325</v>
      </c>
      <c r="O809" s="2" t="s">
        <v>5330</v>
      </c>
      <c r="P809" s="2" t="s">
        <v>8669</v>
      </c>
      <c r="Q809" s="2"/>
      <c r="R809" s="2"/>
      <c r="S809" s="2"/>
    </row>
    <row r="810" spans="1:19" x14ac:dyDescent="0.2">
      <c r="A810" s="2">
        <v>3596</v>
      </c>
      <c r="B810" s="6" t="s">
        <v>8670</v>
      </c>
      <c r="C810" s="2" t="s">
        <v>8671</v>
      </c>
      <c r="D810" s="2" t="s">
        <v>8672</v>
      </c>
      <c r="E810" s="2" t="s">
        <v>8097</v>
      </c>
      <c r="F810" s="2" t="s">
        <v>8097</v>
      </c>
      <c r="G810" s="2" t="s">
        <v>8097</v>
      </c>
      <c r="H810" s="2" t="s">
        <v>393</v>
      </c>
      <c r="I810" s="2" t="s">
        <v>4771</v>
      </c>
      <c r="J810" s="2"/>
      <c r="K810" s="2"/>
      <c r="L810" s="2" t="s">
        <v>5078</v>
      </c>
      <c r="M810" s="2" t="s">
        <v>5107</v>
      </c>
      <c r="N810" s="2" t="s">
        <v>5325</v>
      </c>
      <c r="O810" s="2" t="s">
        <v>5330</v>
      </c>
      <c r="P810" s="2" t="s">
        <v>8673</v>
      </c>
      <c r="Q810" s="2" t="s">
        <v>5091</v>
      </c>
      <c r="R810" s="2" t="s">
        <v>5107</v>
      </c>
      <c r="S810" s="2"/>
    </row>
    <row r="811" spans="1:19" x14ac:dyDescent="0.2">
      <c r="A811" s="2">
        <v>3597</v>
      </c>
      <c r="B811" s="6" t="s">
        <v>8674</v>
      </c>
      <c r="C811" s="2" t="s">
        <v>8675</v>
      </c>
      <c r="D811" s="2" t="s">
        <v>8676</v>
      </c>
      <c r="E811" s="2"/>
      <c r="F811" s="2"/>
      <c r="G811" s="2"/>
      <c r="H811" s="2" t="s">
        <v>393</v>
      </c>
      <c r="I811" s="2" t="s">
        <v>4771</v>
      </c>
      <c r="J811" s="2"/>
      <c r="K811" s="2"/>
      <c r="L811" s="2" t="s">
        <v>5334</v>
      </c>
      <c r="M811" s="2" t="s">
        <v>5324</v>
      </c>
      <c r="N811" s="2" t="s">
        <v>5325</v>
      </c>
      <c r="O811" s="2" t="s">
        <v>5330</v>
      </c>
      <c r="P811" s="2" t="s">
        <v>8677</v>
      </c>
      <c r="Q811" s="2" t="s">
        <v>5091</v>
      </c>
      <c r="R811" s="2" t="s">
        <v>5324</v>
      </c>
      <c r="S811" s="2"/>
    </row>
    <row r="812" spans="1:19" x14ac:dyDescent="0.2">
      <c r="A812" s="2">
        <v>3599</v>
      </c>
      <c r="B812" s="6" t="s">
        <v>8678</v>
      </c>
      <c r="C812" s="2" t="s">
        <v>8679</v>
      </c>
      <c r="D812" s="2" t="s">
        <v>8679</v>
      </c>
      <c r="E812" s="2" t="s">
        <v>8191</v>
      </c>
      <c r="F812" s="2" t="s">
        <v>8680</v>
      </c>
      <c r="G812" s="2" t="s">
        <v>8680</v>
      </c>
      <c r="H812" s="2" t="s">
        <v>393</v>
      </c>
      <c r="I812" s="2" t="s">
        <v>4771</v>
      </c>
      <c r="J812" s="2"/>
      <c r="K812" s="2"/>
      <c r="L812" s="2" t="s">
        <v>5078</v>
      </c>
      <c r="M812" s="2" t="s">
        <v>5079</v>
      </c>
      <c r="N812" s="2" t="s">
        <v>5325</v>
      </c>
      <c r="O812" s="2" t="s">
        <v>5691</v>
      </c>
      <c r="P812" s="2" t="s">
        <v>8660</v>
      </c>
      <c r="Q812" s="2" t="s">
        <v>5091</v>
      </c>
      <c r="R812" s="2" t="s">
        <v>5079</v>
      </c>
      <c r="S812" s="2"/>
    </row>
    <row r="813" spans="1:19" x14ac:dyDescent="0.2">
      <c r="A813" s="2">
        <v>3600</v>
      </c>
      <c r="B813" s="6" t="s">
        <v>8681</v>
      </c>
      <c r="C813" s="2" t="s">
        <v>8682</v>
      </c>
      <c r="D813" s="2" t="s">
        <v>8682</v>
      </c>
      <c r="E813" s="2" t="s">
        <v>8161</v>
      </c>
      <c r="F813" s="2" t="s">
        <v>8161</v>
      </c>
      <c r="G813" s="2" t="s">
        <v>8161</v>
      </c>
      <c r="H813" s="2" t="s">
        <v>393</v>
      </c>
      <c r="I813" s="2" t="s">
        <v>4771</v>
      </c>
      <c r="J813" s="2"/>
      <c r="K813" s="2"/>
      <c r="L813" s="2" t="s">
        <v>5078</v>
      </c>
      <c r="M813" s="2" t="s">
        <v>5324</v>
      </c>
      <c r="N813" s="2" t="s">
        <v>5325</v>
      </c>
      <c r="O813" s="2" t="s">
        <v>5517</v>
      </c>
      <c r="P813" s="2" t="s">
        <v>8683</v>
      </c>
      <c r="Q813" s="2" t="s">
        <v>5091</v>
      </c>
      <c r="R813" s="2" t="s">
        <v>5079</v>
      </c>
      <c r="S813" s="2"/>
    </row>
    <row r="814" spans="1:19" x14ac:dyDescent="0.2">
      <c r="A814" s="2">
        <v>3601</v>
      </c>
      <c r="B814" s="6" t="s">
        <v>8684</v>
      </c>
      <c r="C814" s="2" t="s">
        <v>8685</v>
      </c>
      <c r="D814" s="2" t="s">
        <v>8686</v>
      </c>
      <c r="E814" s="2" t="s">
        <v>8687</v>
      </c>
      <c r="F814" s="2" t="s">
        <v>8161</v>
      </c>
      <c r="G814" s="2" t="s">
        <v>8161</v>
      </c>
      <c r="H814" s="2" t="s">
        <v>393</v>
      </c>
      <c r="I814" s="2" t="s">
        <v>4771</v>
      </c>
      <c r="J814" s="2"/>
      <c r="K814" s="2"/>
      <c r="L814" s="2" t="s">
        <v>5078</v>
      </c>
      <c r="M814" s="2" t="s">
        <v>5324</v>
      </c>
      <c r="N814" s="2" t="s">
        <v>5325</v>
      </c>
      <c r="O814" s="2" t="s">
        <v>5517</v>
      </c>
      <c r="P814" s="2" t="s">
        <v>8688</v>
      </c>
      <c r="Q814" s="2" t="s">
        <v>5091</v>
      </c>
      <c r="R814" s="2" t="s">
        <v>5324</v>
      </c>
      <c r="S814" s="2"/>
    </row>
    <row r="815" spans="1:19" x14ac:dyDescent="0.2">
      <c r="A815" s="2">
        <v>3602</v>
      </c>
      <c r="B815" s="6" t="s">
        <v>8689</v>
      </c>
      <c r="C815" s="2" t="s">
        <v>8690</v>
      </c>
      <c r="D815" s="2" t="s">
        <v>8691</v>
      </c>
      <c r="E815" s="2" t="s">
        <v>8687</v>
      </c>
      <c r="F815" s="2"/>
      <c r="G815" s="2"/>
      <c r="H815" s="2" t="s">
        <v>393</v>
      </c>
      <c r="I815" s="2" t="s">
        <v>4771</v>
      </c>
      <c r="J815" s="2"/>
      <c r="K815" s="2"/>
      <c r="L815" s="2" t="s">
        <v>5078</v>
      </c>
      <c r="M815" s="2" t="s">
        <v>5324</v>
      </c>
      <c r="N815" s="2" t="s">
        <v>5325</v>
      </c>
      <c r="O815" s="2" t="s">
        <v>5330</v>
      </c>
      <c r="P815" s="2" t="s">
        <v>8692</v>
      </c>
      <c r="Q815" s="2" t="s">
        <v>5091</v>
      </c>
      <c r="R815" s="2" t="s">
        <v>5324</v>
      </c>
      <c r="S815" s="2"/>
    </row>
    <row r="816" spans="1:19" x14ac:dyDescent="0.2">
      <c r="A816" s="2">
        <v>3603</v>
      </c>
      <c r="B816" s="6" t="s">
        <v>8693</v>
      </c>
      <c r="C816" s="2" t="s">
        <v>8694</v>
      </c>
      <c r="D816" s="2" t="s">
        <v>8695</v>
      </c>
      <c r="E816" s="2" t="s">
        <v>8167</v>
      </c>
      <c r="F816" s="2" t="s">
        <v>8167</v>
      </c>
      <c r="G816" s="2" t="s">
        <v>8167</v>
      </c>
      <c r="H816" s="2" t="s">
        <v>393</v>
      </c>
      <c r="I816" s="2" t="s">
        <v>4771</v>
      </c>
      <c r="J816" s="2"/>
      <c r="K816" s="2"/>
      <c r="L816" s="2" t="s">
        <v>5078</v>
      </c>
      <c r="M816" s="2" t="s">
        <v>8696</v>
      </c>
      <c r="N816" s="2" t="s">
        <v>5325</v>
      </c>
      <c r="O816" s="2" t="s">
        <v>5330</v>
      </c>
      <c r="P816" s="2" t="s">
        <v>8697</v>
      </c>
      <c r="Q816" s="2" t="s">
        <v>5091</v>
      </c>
      <c r="R816" s="2" t="s">
        <v>8698</v>
      </c>
      <c r="S816" s="2"/>
    </row>
    <row r="817" spans="1:19" x14ac:dyDescent="0.2">
      <c r="A817" s="2">
        <v>3604</v>
      </c>
      <c r="B817" s="6" t="s">
        <v>8699</v>
      </c>
      <c r="C817" s="2" t="s">
        <v>8700</v>
      </c>
      <c r="D817" s="2" t="s">
        <v>8701</v>
      </c>
      <c r="E817" s="2" t="s">
        <v>8483</v>
      </c>
      <c r="F817" s="2"/>
      <c r="G817" s="2"/>
      <c r="H817" s="2" t="s">
        <v>393</v>
      </c>
      <c r="I817" s="2" t="s">
        <v>4771</v>
      </c>
      <c r="J817" s="2"/>
      <c r="K817" s="2"/>
      <c r="L817" s="2" t="s">
        <v>5078</v>
      </c>
      <c r="M817" s="2" t="s">
        <v>5367</v>
      </c>
      <c r="N817" s="2" t="s">
        <v>5325</v>
      </c>
      <c r="O817" s="2" t="s">
        <v>5330</v>
      </c>
      <c r="P817" s="2" t="s">
        <v>8702</v>
      </c>
      <c r="Q817" s="2" t="s">
        <v>5091</v>
      </c>
      <c r="R817" s="2" t="s">
        <v>5367</v>
      </c>
      <c r="S817" s="2"/>
    </row>
    <row r="818" spans="1:19" x14ac:dyDescent="0.2">
      <c r="A818" s="2">
        <v>3606</v>
      </c>
      <c r="B818" s="6" t="s">
        <v>8703</v>
      </c>
      <c r="C818" s="2" t="s">
        <v>8704</v>
      </c>
      <c r="D818" s="2" t="s">
        <v>8705</v>
      </c>
      <c r="E818" s="2" t="s">
        <v>8311</v>
      </c>
      <c r="F818" s="2" t="s">
        <v>8706</v>
      </c>
      <c r="G818" s="2" t="s">
        <v>8706</v>
      </c>
      <c r="H818" s="2" t="s">
        <v>393</v>
      </c>
      <c r="I818" s="2" t="s">
        <v>4771</v>
      </c>
      <c r="J818" s="2"/>
      <c r="K818" s="2"/>
      <c r="L818" s="2" t="s">
        <v>5078</v>
      </c>
      <c r="M818" s="2" t="s">
        <v>5367</v>
      </c>
      <c r="N818" s="2" t="s">
        <v>5325</v>
      </c>
      <c r="O818" s="2" t="s">
        <v>5362</v>
      </c>
      <c r="P818" s="2" t="s">
        <v>8707</v>
      </c>
      <c r="Q818" s="2" t="s">
        <v>5091</v>
      </c>
      <c r="R818" s="2" t="s">
        <v>5367</v>
      </c>
      <c r="S818" s="2"/>
    </row>
    <row r="819" spans="1:19" x14ac:dyDescent="0.2">
      <c r="A819" s="2">
        <v>3607</v>
      </c>
      <c r="B819" s="6" t="s">
        <v>8708</v>
      </c>
      <c r="C819" s="2" t="s">
        <v>8709</v>
      </c>
      <c r="D819" s="2" t="s">
        <v>8710</v>
      </c>
      <c r="E819" s="2" t="s">
        <v>8505</v>
      </c>
      <c r="F819" s="2"/>
      <c r="G819" s="2"/>
      <c r="H819" s="2" t="s">
        <v>393</v>
      </c>
      <c r="I819" s="2" t="s">
        <v>4771</v>
      </c>
      <c r="J819" s="2" t="s">
        <v>1316</v>
      </c>
      <c r="K819" s="2"/>
      <c r="L819" s="2" t="s">
        <v>5078</v>
      </c>
      <c r="M819" s="2" t="s">
        <v>5079</v>
      </c>
      <c r="N819" s="2" t="s">
        <v>5325</v>
      </c>
      <c r="O819" s="2" t="s">
        <v>5330</v>
      </c>
      <c r="P819" s="2" t="s">
        <v>8711</v>
      </c>
      <c r="Q819" s="2" t="s">
        <v>5091</v>
      </c>
      <c r="R819" s="2" t="s">
        <v>5079</v>
      </c>
      <c r="S819" s="2"/>
    </row>
    <row r="820" spans="1:19" x14ac:dyDescent="0.2">
      <c r="A820" s="2">
        <v>3608</v>
      </c>
      <c r="B820" s="6" t="s">
        <v>8712</v>
      </c>
      <c r="C820" s="2" t="s">
        <v>8713</v>
      </c>
      <c r="D820" s="2" t="s">
        <v>8714</v>
      </c>
      <c r="E820" s="2" t="s">
        <v>8505</v>
      </c>
      <c r="F820" s="2" t="s">
        <v>8505</v>
      </c>
      <c r="G820" s="2" t="s">
        <v>8505</v>
      </c>
      <c r="H820" s="2" t="s">
        <v>393</v>
      </c>
      <c r="I820" s="2" t="s">
        <v>4771</v>
      </c>
      <c r="J820" s="2" t="s">
        <v>2454</v>
      </c>
      <c r="K820" s="2"/>
      <c r="L820" s="2" t="s">
        <v>5078</v>
      </c>
      <c r="M820" s="2" t="s">
        <v>5079</v>
      </c>
      <c r="N820" s="2" t="s">
        <v>5325</v>
      </c>
      <c r="O820" s="2" t="s">
        <v>5330</v>
      </c>
      <c r="P820" s="2" t="s">
        <v>8715</v>
      </c>
      <c r="Q820" s="2"/>
      <c r="R820" s="2" t="s">
        <v>5079</v>
      </c>
      <c r="S820" s="2" t="s">
        <v>6688</v>
      </c>
    </row>
    <row r="821" spans="1:19" x14ac:dyDescent="0.2">
      <c r="A821" s="2">
        <v>3609</v>
      </c>
      <c r="B821" s="6" t="s">
        <v>8716</v>
      </c>
      <c r="C821" s="2" t="s">
        <v>8717</v>
      </c>
      <c r="D821" s="2" t="s">
        <v>8718</v>
      </c>
      <c r="E821" s="2" t="s">
        <v>8619</v>
      </c>
      <c r="F821" s="2" t="s">
        <v>8311</v>
      </c>
      <c r="G821" s="2" t="s">
        <v>8619</v>
      </c>
      <c r="H821" s="2" t="s">
        <v>393</v>
      </c>
      <c r="I821" s="2" t="s">
        <v>4771</v>
      </c>
      <c r="J821" s="2"/>
      <c r="K821" s="2"/>
      <c r="L821" s="2" t="s">
        <v>5078</v>
      </c>
      <c r="M821" s="2" t="s">
        <v>5324</v>
      </c>
      <c r="N821" s="2" t="s">
        <v>5325</v>
      </c>
      <c r="O821" s="2" t="s">
        <v>5330</v>
      </c>
      <c r="P821" s="2" t="s">
        <v>8719</v>
      </c>
      <c r="Q821" s="2" t="s">
        <v>5091</v>
      </c>
      <c r="R821" s="2" t="s">
        <v>5324</v>
      </c>
      <c r="S821" s="2"/>
    </row>
    <row r="822" spans="1:19" x14ac:dyDescent="0.2">
      <c r="A822" s="2">
        <v>3610</v>
      </c>
      <c r="B822" s="6" t="s">
        <v>8720</v>
      </c>
      <c r="C822" s="2" t="s">
        <v>8721</v>
      </c>
      <c r="D822" s="2" t="s">
        <v>8722</v>
      </c>
      <c r="E822" s="2" t="s">
        <v>8723</v>
      </c>
      <c r="F822" s="2" t="s">
        <v>8723</v>
      </c>
      <c r="G822" s="2" t="s">
        <v>8723</v>
      </c>
      <c r="H822" s="2" t="s">
        <v>393</v>
      </c>
      <c r="I822" s="2" t="s">
        <v>4771</v>
      </c>
      <c r="J822" s="2"/>
      <c r="K822" s="2"/>
      <c r="L822" s="2" t="s">
        <v>5334</v>
      </c>
      <c r="M822" s="2" t="s">
        <v>5367</v>
      </c>
      <c r="N822" s="2" t="s">
        <v>5325</v>
      </c>
      <c r="O822" s="2" t="s">
        <v>5330</v>
      </c>
      <c r="P822" s="2" t="s">
        <v>8724</v>
      </c>
      <c r="Q822" s="2" t="s">
        <v>5091</v>
      </c>
      <c r="R822" s="2" t="s">
        <v>5367</v>
      </c>
      <c r="S822" s="2"/>
    </row>
    <row r="823" spans="1:19" x14ac:dyDescent="0.2">
      <c r="A823" s="2">
        <v>3611</v>
      </c>
      <c r="B823" s="6" t="s">
        <v>8725</v>
      </c>
      <c r="C823" s="2" t="s">
        <v>8726</v>
      </c>
      <c r="D823" s="2" t="s">
        <v>8727</v>
      </c>
      <c r="E823" s="2" t="s">
        <v>2570</v>
      </c>
      <c r="F823" s="2"/>
      <c r="G823" s="2"/>
      <c r="H823" s="2" t="s">
        <v>393</v>
      </c>
      <c r="I823" s="2" t="s">
        <v>8728</v>
      </c>
      <c r="J823" s="2"/>
      <c r="K823" s="2"/>
      <c r="L823" s="2" t="s">
        <v>5078</v>
      </c>
      <c r="M823" s="2" t="s">
        <v>5079</v>
      </c>
      <c r="N823" s="2" t="s">
        <v>5325</v>
      </c>
      <c r="O823" s="2" t="s">
        <v>5081</v>
      </c>
      <c r="P823" s="2" t="s">
        <v>8729</v>
      </c>
      <c r="Q823" s="2" t="s">
        <v>8730</v>
      </c>
      <c r="R823" s="2" t="s">
        <v>5079</v>
      </c>
      <c r="S823" s="2"/>
    </row>
    <row r="824" spans="1:19" x14ac:dyDescent="0.2">
      <c r="A824" s="2">
        <v>3612</v>
      </c>
      <c r="B824" s="6" t="s">
        <v>8731</v>
      </c>
      <c r="C824" s="2" t="s">
        <v>8732</v>
      </c>
      <c r="D824" s="2" t="s">
        <v>8733</v>
      </c>
      <c r="E824" s="2" t="s">
        <v>8734</v>
      </c>
      <c r="F824" s="2"/>
      <c r="G824" s="2"/>
      <c r="H824" s="2" t="s">
        <v>393</v>
      </c>
      <c r="I824" s="2" t="s">
        <v>1026</v>
      </c>
      <c r="J824" s="2"/>
      <c r="K824" s="2"/>
      <c r="L824" s="2" t="s">
        <v>5078</v>
      </c>
      <c r="M824" s="2" t="s">
        <v>6193</v>
      </c>
      <c r="N824" s="2" t="s">
        <v>5325</v>
      </c>
      <c r="O824" s="2" t="s">
        <v>5326</v>
      </c>
      <c r="P824" s="2" t="s">
        <v>8735</v>
      </c>
      <c r="Q824" s="2" t="s">
        <v>5091</v>
      </c>
      <c r="R824" s="2" t="s">
        <v>5107</v>
      </c>
      <c r="S824" s="2"/>
    </row>
    <row r="825" spans="1:19" x14ac:dyDescent="0.2">
      <c r="A825" s="2">
        <v>3619</v>
      </c>
      <c r="B825" s="6" t="s">
        <v>8736</v>
      </c>
      <c r="C825" s="2" t="s">
        <v>8737</v>
      </c>
      <c r="D825" s="2" t="s">
        <v>8738</v>
      </c>
      <c r="E825" s="2" t="s">
        <v>8300</v>
      </c>
      <c r="F825" s="2"/>
      <c r="G825" s="2"/>
      <c r="H825" s="2" t="s">
        <v>393</v>
      </c>
      <c r="I825" s="2" t="s">
        <v>1026</v>
      </c>
      <c r="J825" s="2"/>
      <c r="K825" s="2"/>
      <c r="L825" s="2" t="s">
        <v>5078</v>
      </c>
      <c r="M825" s="2"/>
      <c r="N825" s="2" t="s">
        <v>5325</v>
      </c>
      <c r="O825" s="2" t="s">
        <v>5362</v>
      </c>
      <c r="P825" s="2" t="s">
        <v>8739</v>
      </c>
      <c r="Q825" s="2" t="s">
        <v>6990</v>
      </c>
      <c r="R825" s="2"/>
      <c r="S825" s="2" t="s">
        <v>8740</v>
      </c>
    </row>
    <row r="826" spans="1:19" x14ac:dyDescent="0.2">
      <c r="A826" s="2">
        <v>3620</v>
      </c>
      <c r="B826" s="6" t="s">
        <v>8741</v>
      </c>
      <c r="C826" s="2" t="s">
        <v>8742</v>
      </c>
      <c r="D826" s="2" t="s">
        <v>8743</v>
      </c>
      <c r="E826" s="2" t="s">
        <v>2119</v>
      </c>
      <c r="F826" s="2"/>
      <c r="G826" s="2"/>
      <c r="H826" s="2" t="s">
        <v>393</v>
      </c>
      <c r="I826" s="2" t="s">
        <v>1026</v>
      </c>
      <c r="J826" s="2"/>
      <c r="K826" s="2"/>
      <c r="L826" s="2" t="s">
        <v>5078</v>
      </c>
      <c r="M826" s="2"/>
      <c r="N826" s="2" t="s">
        <v>5325</v>
      </c>
      <c r="O826" s="2" t="s">
        <v>5081</v>
      </c>
      <c r="P826" s="2" t="s">
        <v>8744</v>
      </c>
      <c r="Q826" s="2" t="s">
        <v>5091</v>
      </c>
      <c r="R826" s="2"/>
      <c r="S826" s="2"/>
    </row>
    <row r="827" spans="1:19" x14ac:dyDescent="0.2">
      <c r="A827" s="2">
        <v>3621</v>
      </c>
      <c r="B827" s="6" t="s">
        <v>8745</v>
      </c>
      <c r="C827" s="2" t="s">
        <v>8746</v>
      </c>
      <c r="D827" s="2" t="s">
        <v>8747</v>
      </c>
      <c r="E827" s="2" t="s">
        <v>8748</v>
      </c>
      <c r="F827" s="2" t="s">
        <v>67</v>
      </c>
      <c r="G827" s="2" t="s">
        <v>8748</v>
      </c>
      <c r="H827" s="2" t="s">
        <v>393</v>
      </c>
      <c r="I827" s="2" t="s">
        <v>8749</v>
      </c>
      <c r="J827" s="2"/>
      <c r="K827" s="2"/>
      <c r="L827" s="2" t="s">
        <v>5087</v>
      </c>
      <c r="M827" s="2" t="s">
        <v>5079</v>
      </c>
      <c r="N827" s="2" t="s">
        <v>5325</v>
      </c>
      <c r="O827" s="2" t="s">
        <v>5081</v>
      </c>
      <c r="P827" s="2" t="s">
        <v>8750</v>
      </c>
      <c r="Q827" s="2" t="s">
        <v>6990</v>
      </c>
      <c r="R827" s="2" t="s">
        <v>5079</v>
      </c>
      <c r="S827" s="2"/>
    </row>
    <row r="828" spans="1:19" ht="253" x14ac:dyDescent="0.2">
      <c r="A828" s="2">
        <v>3623</v>
      </c>
      <c r="B828" s="6" t="s">
        <v>8751</v>
      </c>
      <c r="C828" s="2" t="s">
        <v>8752</v>
      </c>
      <c r="D828" s="18" t="s">
        <v>8753</v>
      </c>
      <c r="E828" s="2" t="s">
        <v>8754</v>
      </c>
      <c r="F828" s="2" t="s">
        <v>67</v>
      </c>
      <c r="G828" s="2" t="s">
        <v>8755</v>
      </c>
      <c r="H828" s="2" t="s">
        <v>393</v>
      </c>
      <c r="I828" s="2" t="s">
        <v>8756</v>
      </c>
      <c r="J828" s="2"/>
      <c r="K828" s="2"/>
      <c r="L828" s="2" t="s">
        <v>5078</v>
      </c>
      <c r="M828" s="2" t="s">
        <v>8757</v>
      </c>
      <c r="N828" s="2" t="s">
        <v>5325</v>
      </c>
      <c r="O828" s="2" t="s">
        <v>5326</v>
      </c>
      <c r="P828" s="2" t="s">
        <v>8758</v>
      </c>
      <c r="Q828" s="2" t="s">
        <v>5091</v>
      </c>
      <c r="R828" s="2" t="s">
        <v>5558</v>
      </c>
      <c r="S828" s="2"/>
    </row>
    <row r="829" spans="1:19" x14ac:dyDescent="0.2">
      <c r="A829" s="2">
        <v>3624</v>
      </c>
      <c r="B829" s="6" t="s">
        <v>8759</v>
      </c>
      <c r="C829" s="2" t="s">
        <v>8760</v>
      </c>
      <c r="D829" s="2" t="s">
        <v>8761</v>
      </c>
      <c r="E829" s="2" t="s">
        <v>68</v>
      </c>
      <c r="F829" s="2" t="s">
        <v>67</v>
      </c>
      <c r="G829" s="2" t="s">
        <v>68</v>
      </c>
      <c r="H829" s="2" t="s">
        <v>393</v>
      </c>
      <c r="I829" s="2" t="s">
        <v>1422</v>
      </c>
      <c r="J829" s="2" t="s">
        <v>5187</v>
      </c>
      <c r="K829" s="2"/>
      <c r="L829" s="2" t="s">
        <v>5345</v>
      </c>
      <c r="M829" s="2" t="s">
        <v>5079</v>
      </c>
      <c r="N829" s="2" t="s">
        <v>5325</v>
      </c>
      <c r="O829" s="2" t="s">
        <v>5335</v>
      </c>
      <c r="P829" s="2" t="s">
        <v>8762</v>
      </c>
      <c r="Q829" s="2" t="s">
        <v>6990</v>
      </c>
      <c r="R829" s="2" t="s">
        <v>5079</v>
      </c>
      <c r="S829" s="2" t="s">
        <v>8763</v>
      </c>
    </row>
    <row r="830" spans="1:19" x14ac:dyDescent="0.2">
      <c r="A830" s="2">
        <v>3625</v>
      </c>
      <c r="B830" s="6" t="s">
        <v>8764</v>
      </c>
      <c r="C830" s="2" t="s">
        <v>8765</v>
      </c>
      <c r="D830" s="2" t="s">
        <v>8766</v>
      </c>
      <c r="E830" s="2" t="s">
        <v>8767</v>
      </c>
      <c r="F830" s="2"/>
      <c r="G830" s="2"/>
      <c r="H830" s="2" t="s">
        <v>393</v>
      </c>
      <c r="I830" s="2" t="s">
        <v>5611</v>
      </c>
      <c r="J830" s="2"/>
      <c r="K830" s="2"/>
      <c r="L830" s="2" t="s">
        <v>5087</v>
      </c>
      <c r="M830" s="2" t="s">
        <v>5088</v>
      </c>
      <c r="N830" s="2" t="s">
        <v>5325</v>
      </c>
      <c r="O830" s="2" t="s">
        <v>5081</v>
      </c>
      <c r="P830" s="2" t="s">
        <v>8768</v>
      </c>
      <c r="Q830" s="2" t="s">
        <v>8769</v>
      </c>
      <c r="R830" s="2" t="s">
        <v>5088</v>
      </c>
      <c r="S830" s="2"/>
    </row>
    <row r="831" spans="1:19" x14ac:dyDescent="0.2">
      <c r="A831" s="2">
        <v>3627</v>
      </c>
      <c r="B831" s="6" t="s">
        <v>8770</v>
      </c>
      <c r="C831" s="2" t="s">
        <v>8771</v>
      </c>
      <c r="D831" s="2" t="s">
        <v>8772</v>
      </c>
      <c r="E831" s="2" t="s">
        <v>1191</v>
      </c>
      <c r="F831" s="16">
        <v>45383</v>
      </c>
      <c r="G831" s="16">
        <v>45444</v>
      </c>
      <c r="H831" s="2" t="s">
        <v>393</v>
      </c>
      <c r="I831" s="2" t="s">
        <v>8773</v>
      </c>
      <c r="J831" s="2" t="s">
        <v>8774</v>
      </c>
      <c r="K831" s="2"/>
      <c r="L831" s="2" t="s">
        <v>5078</v>
      </c>
      <c r="M831" s="2" t="s">
        <v>8775</v>
      </c>
      <c r="N831" s="2" t="s">
        <v>5325</v>
      </c>
      <c r="O831" s="2" t="s">
        <v>8603</v>
      </c>
      <c r="P831" s="2" t="s">
        <v>8776</v>
      </c>
      <c r="Q831" s="2" t="s">
        <v>8777</v>
      </c>
      <c r="R831" s="2" t="s">
        <v>5352</v>
      </c>
      <c r="S831" s="2"/>
    </row>
    <row r="832" spans="1:19" x14ac:dyDescent="0.2">
      <c r="A832" s="2">
        <v>3628</v>
      </c>
      <c r="B832" s="6" t="s">
        <v>8778</v>
      </c>
      <c r="C832" s="2" t="s">
        <v>8779</v>
      </c>
      <c r="D832" s="2" t="s">
        <v>8780</v>
      </c>
      <c r="E832" s="2" t="s">
        <v>2580</v>
      </c>
      <c r="F832" s="2"/>
      <c r="G832" s="2"/>
      <c r="H832" s="2" t="s">
        <v>393</v>
      </c>
      <c r="I832" s="2" t="s">
        <v>8773</v>
      </c>
      <c r="J832" s="2"/>
      <c r="K832" s="2"/>
      <c r="L832" s="2" t="s">
        <v>5334</v>
      </c>
      <c r="M832" s="2" t="s">
        <v>8781</v>
      </c>
      <c r="N832" s="2" t="s">
        <v>5325</v>
      </c>
      <c r="O832" s="2" t="s">
        <v>5330</v>
      </c>
      <c r="P832" s="2" t="s">
        <v>8782</v>
      </c>
      <c r="Q832" s="2" t="s">
        <v>5091</v>
      </c>
      <c r="R832" s="2" t="s">
        <v>5536</v>
      </c>
      <c r="S832" s="2"/>
    </row>
    <row r="833" spans="1:19" x14ac:dyDescent="0.2">
      <c r="A833" s="2">
        <v>3629</v>
      </c>
      <c r="B833" s="6" t="s">
        <v>8783</v>
      </c>
      <c r="C833" s="2" t="s">
        <v>8784</v>
      </c>
      <c r="D833" s="2" t="s">
        <v>8785</v>
      </c>
      <c r="E833" s="2" t="s">
        <v>101</v>
      </c>
      <c r="F833" s="2"/>
      <c r="G833" s="2"/>
      <c r="H833" s="2" t="s">
        <v>393</v>
      </c>
      <c r="I833" s="2" t="s">
        <v>8773</v>
      </c>
      <c r="J833" s="2"/>
      <c r="K833" s="2"/>
      <c r="L833" s="2" t="s">
        <v>5334</v>
      </c>
      <c r="M833" s="2"/>
      <c r="N833" s="2" t="s">
        <v>5325</v>
      </c>
      <c r="O833" s="2" t="s">
        <v>5330</v>
      </c>
      <c r="P833" s="2" t="s">
        <v>8786</v>
      </c>
      <c r="Q833" s="2" t="s">
        <v>5091</v>
      </c>
      <c r="R833" s="2"/>
      <c r="S833" s="2"/>
    </row>
    <row r="834" spans="1:19" x14ac:dyDescent="0.2">
      <c r="A834" s="2">
        <v>3630</v>
      </c>
      <c r="B834" s="6" t="s">
        <v>8787</v>
      </c>
      <c r="C834" s="2" t="s">
        <v>8788</v>
      </c>
      <c r="D834" s="2" t="s">
        <v>8789</v>
      </c>
      <c r="E834" s="2" t="s">
        <v>8790</v>
      </c>
      <c r="F834" s="2"/>
      <c r="G834" s="2"/>
      <c r="H834" s="2" t="s">
        <v>393</v>
      </c>
      <c r="I834" s="2" t="s">
        <v>8773</v>
      </c>
      <c r="J834" s="2"/>
      <c r="K834" s="2"/>
      <c r="L834" s="2" t="s">
        <v>5078</v>
      </c>
      <c r="M834" s="2" t="s">
        <v>5193</v>
      </c>
      <c r="N834" s="2" t="s">
        <v>5325</v>
      </c>
      <c r="O834" s="2" t="s">
        <v>5362</v>
      </c>
      <c r="P834" s="2" t="s">
        <v>8791</v>
      </c>
      <c r="Q834" s="2" t="s">
        <v>5091</v>
      </c>
      <c r="R834" s="2" t="s">
        <v>5193</v>
      </c>
      <c r="S834" s="2"/>
    </row>
    <row r="835" spans="1:19" x14ac:dyDescent="0.2">
      <c r="A835" s="2">
        <v>3635</v>
      </c>
      <c r="B835" s="6" t="s">
        <v>8792</v>
      </c>
      <c r="C835" s="2" t="s">
        <v>8793</v>
      </c>
      <c r="D835" s="2" t="s">
        <v>8794</v>
      </c>
      <c r="E835" s="2" t="s">
        <v>514</v>
      </c>
      <c r="F835" s="2" t="s">
        <v>514</v>
      </c>
      <c r="G835" s="2" t="s">
        <v>514</v>
      </c>
      <c r="H835" s="2" t="s">
        <v>393</v>
      </c>
      <c r="I835" s="2" t="s">
        <v>8795</v>
      </c>
      <c r="J835" s="2"/>
      <c r="K835" s="2"/>
      <c r="L835" s="2" t="s">
        <v>5078</v>
      </c>
      <c r="M835" s="2" t="s">
        <v>8796</v>
      </c>
      <c r="N835" s="2" t="s">
        <v>5325</v>
      </c>
      <c r="O835" s="2" t="s">
        <v>5362</v>
      </c>
      <c r="P835" s="2" t="s">
        <v>8797</v>
      </c>
      <c r="Q835" s="2" t="s">
        <v>5091</v>
      </c>
      <c r="R835" s="2" t="s">
        <v>5107</v>
      </c>
      <c r="S835" s="2"/>
    </row>
    <row r="836" spans="1:19" x14ac:dyDescent="0.2">
      <c r="A836" s="2">
        <v>3640</v>
      </c>
      <c r="B836" s="6" t="s">
        <v>8798</v>
      </c>
      <c r="C836" s="2" t="s">
        <v>8799</v>
      </c>
      <c r="D836" s="2" t="s">
        <v>8800</v>
      </c>
      <c r="E836" s="2" t="s">
        <v>8241</v>
      </c>
      <c r="F836" s="2"/>
      <c r="G836" s="2"/>
      <c r="H836" s="2" t="s">
        <v>393</v>
      </c>
      <c r="I836" s="2" t="s">
        <v>8801</v>
      </c>
      <c r="J836" s="2"/>
      <c r="K836" s="2"/>
      <c r="L836" s="2" t="s">
        <v>5087</v>
      </c>
      <c r="M836" s="2" t="s">
        <v>5079</v>
      </c>
      <c r="N836" s="2" t="s">
        <v>5325</v>
      </c>
      <c r="O836" s="2" t="s">
        <v>5362</v>
      </c>
      <c r="P836" s="2" t="s">
        <v>8802</v>
      </c>
      <c r="Q836" s="2" t="s">
        <v>8803</v>
      </c>
      <c r="R836" s="2" t="s">
        <v>5079</v>
      </c>
      <c r="S836" s="2"/>
    </row>
    <row r="837" spans="1:19" x14ac:dyDescent="0.2">
      <c r="A837" s="2">
        <v>3641</v>
      </c>
      <c r="B837" s="6" t="s">
        <v>8804</v>
      </c>
      <c r="C837" s="2" t="s">
        <v>8805</v>
      </c>
      <c r="D837" s="2" t="s">
        <v>8806</v>
      </c>
      <c r="E837" s="2" t="s">
        <v>8807</v>
      </c>
      <c r="F837" s="2"/>
      <c r="G837" s="2"/>
      <c r="H837" s="2" t="s">
        <v>393</v>
      </c>
      <c r="I837" s="2" t="s">
        <v>8801</v>
      </c>
      <c r="J837" s="2"/>
      <c r="K837" s="2"/>
      <c r="L837" s="2" t="s">
        <v>5087</v>
      </c>
      <c r="M837" s="2" t="s">
        <v>5491</v>
      </c>
      <c r="N837" s="2" t="s">
        <v>5325</v>
      </c>
      <c r="O837" s="2" t="s">
        <v>5330</v>
      </c>
      <c r="P837" s="2" t="s">
        <v>8808</v>
      </c>
      <c r="Q837" s="2" t="s">
        <v>8803</v>
      </c>
      <c r="R837" s="2" t="s">
        <v>5491</v>
      </c>
      <c r="S837" s="2"/>
    </row>
    <row r="838" spans="1:19" x14ac:dyDescent="0.2">
      <c r="A838" s="2">
        <v>3642</v>
      </c>
      <c r="B838" s="6" t="s">
        <v>8809</v>
      </c>
      <c r="C838" s="2" t="s">
        <v>8810</v>
      </c>
      <c r="D838" s="2" t="s">
        <v>8811</v>
      </c>
      <c r="E838" s="2" t="s">
        <v>8807</v>
      </c>
      <c r="F838" s="2"/>
      <c r="G838" s="2"/>
      <c r="H838" s="2" t="s">
        <v>393</v>
      </c>
      <c r="I838" s="2" t="s">
        <v>8801</v>
      </c>
      <c r="J838" s="2"/>
      <c r="K838" s="2"/>
      <c r="L838" s="2" t="s">
        <v>5087</v>
      </c>
      <c r="M838" s="2" t="s">
        <v>5079</v>
      </c>
      <c r="N838" s="2" t="s">
        <v>5325</v>
      </c>
      <c r="O838" s="2" t="s">
        <v>5326</v>
      </c>
      <c r="P838" s="2" t="s">
        <v>8812</v>
      </c>
      <c r="Q838" s="2" t="s">
        <v>8803</v>
      </c>
      <c r="R838" s="2" t="s">
        <v>5079</v>
      </c>
      <c r="S838" s="2"/>
    </row>
    <row r="839" spans="1:19" x14ac:dyDescent="0.2">
      <c r="A839" s="2">
        <v>3643</v>
      </c>
      <c r="B839" s="6" t="s">
        <v>8813</v>
      </c>
      <c r="C839" s="2" t="s">
        <v>8814</v>
      </c>
      <c r="D839" s="2" t="s">
        <v>8815</v>
      </c>
      <c r="E839" s="2" t="s">
        <v>8300</v>
      </c>
      <c r="F839" s="2"/>
      <c r="G839" s="2"/>
      <c r="H839" s="2" t="s">
        <v>393</v>
      </c>
      <c r="I839" s="2" t="s">
        <v>8801</v>
      </c>
      <c r="J839" s="2"/>
      <c r="K839" s="2"/>
      <c r="L839" s="2" t="s">
        <v>5087</v>
      </c>
      <c r="M839" s="2" t="s">
        <v>8816</v>
      </c>
      <c r="N839" s="2" t="s">
        <v>5325</v>
      </c>
      <c r="O839" s="2" t="s">
        <v>5335</v>
      </c>
      <c r="P839" s="2" t="s">
        <v>8817</v>
      </c>
      <c r="Q839" s="2" t="s">
        <v>7945</v>
      </c>
      <c r="R839" s="2" t="s">
        <v>8818</v>
      </c>
      <c r="S839" s="2"/>
    </row>
    <row r="840" spans="1:19" x14ac:dyDescent="0.2">
      <c r="A840" s="2">
        <v>3648</v>
      </c>
      <c r="B840" s="6" t="s">
        <v>8819</v>
      </c>
      <c r="C840" s="2" t="s">
        <v>8820</v>
      </c>
      <c r="D840" s="2" t="s">
        <v>8821</v>
      </c>
      <c r="E840" s="2" t="s">
        <v>8822</v>
      </c>
      <c r="F840" s="2"/>
      <c r="G840" s="2"/>
      <c r="H840" s="2" t="s">
        <v>393</v>
      </c>
      <c r="I840" s="2" t="s">
        <v>659</v>
      </c>
      <c r="J840" s="2" t="s">
        <v>2678</v>
      </c>
      <c r="K840" s="2"/>
      <c r="L840" s="2" t="s">
        <v>5078</v>
      </c>
      <c r="M840" s="2" t="s">
        <v>5079</v>
      </c>
      <c r="N840" s="2" t="s">
        <v>5325</v>
      </c>
      <c r="O840" s="2" t="s">
        <v>5330</v>
      </c>
      <c r="P840" s="2" t="s">
        <v>8823</v>
      </c>
      <c r="Q840" s="2" t="s">
        <v>5091</v>
      </c>
      <c r="R840" s="2" t="s">
        <v>5079</v>
      </c>
      <c r="S840" s="2"/>
    </row>
    <row r="841" spans="1:19" x14ac:dyDescent="0.2">
      <c r="A841" s="2">
        <v>3654</v>
      </c>
      <c r="B841" s="6" t="s">
        <v>8824</v>
      </c>
      <c r="C841" s="2" t="s">
        <v>8825</v>
      </c>
      <c r="D841" s="2" t="s">
        <v>8826</v>
      </c>
      <c r="E841" s="2" t="s">
        <v>8173</v>
      </c>
      <c r="F841" s="2"/>
      <c r="G841" s="2"/>
      <c r="H841" s="2" t="s">
        <v>393</v>
      </c>
      <c r="I841" s="2" t="s">
        <v>8827</v>
      </c>
      <c r="J841" s="2"/>
      <c r="K841" s="2"/>
      <c r="L841" s="2" t="s">
        <v>5078</v>
      </c>
      <c r="M841" s="2" t="s">
        <v>5079</v>
      </c>
      <c r="N841" s="2" t="s">
        <v>5325</v>
      </c>
      <c r="O841" s="2" t="s">
        <v>5362</v>
      </c>
      <c r="P841" s="2" t="s">
        <v>8828</v>
      </c>
      <c r="Q841" s="2" t="s">
        <v>5091</v>
      </c>
      <c r="R841" s="2" t="s">
        <v>5079</v>
      </c>
      <c r="S841" s="2"/>
    </row>
    <row r="842" spans="1:19" x14ac:dyDescent="0.2">
      <c r="A842" s="2">
        <v>3655</v>
      </c>
      <c r="B842" s="6" t="s">
        <v>8829</v>
      </c>
      <c r="C842" s="2" t="s">
        <v>8830</v>
      </c>
      <c r="D842" s="2" t="s">
        <v>8831</v>
      </c>
      <c r="E842" s="2" t="s">
        <v>8232</v>
      </c>
      <c r="F842" s="2"/>
      <c r="G842" s="2"/>
      <c r="H842" s="2" t="s">
        <v>393</v>
      </c>
      <c r="I842" s="2" t="s">
        <v>8827</v>
      </c>
      <c r="J842" s="2"/>
      <c r="K842" s="2"/>
      <c r="L842" s="2" t="s">
        <v>5334</v>
      </c>
      <c r="M842" s="2" t="s">
        <v>5079</v>
      </c>
      <c r="N842" s="2" t="s">
        <v>5325</v>
      </c>
      <c r="O842" s="2" t="s">
        <v>5330</v>
      </c>
      <c r="P842" s="2" t="s">
        <v>8832</v>
      </c>
      <c r="Q842" s="2" t="s">
        <v>5091</v>
      </c>
      <c r="R842" s="2" t="s">
        <v>5079</v>
      </c>
      <c r="S842" s="2"/>
    </row>
    <row r="843" spans="1:19" x14ac:dyDescent="0.2">
      <c r="A843" s="2">
        <v>3656</v>
      </c>
      <c r="B843" s="6" t="s">
        <v>8833</v>
      </c>
      <c r="C843" s="2" t="s">
        <v>8834</v>
      </c>
      <c r="D843" s="2" t="s">
        <v>8835</v>
      </c>
      <c r="E843" s="2" t="s">
        <v>8836</v>
      </c>
      <c r="F843" s="2" t="s">
        <v>8837</v>
      </c>
      <c r="G843" s="2" t="s">
        <v>8837</v>
      </c>
      <c r="H843" s="2" t="s">
        <v>393</v>
      </c>
      <c r="I843" s="2" t="s">
        <v>3592</v>
      </c>
      <c r="J843" s="2" t="s">
        <v>1324</v>
      </c>
      <c r="K843" s="2"/>
      <c r="L843" s="2" t="s">
        <v>5078</v>
      </c>
      <c r="M843" s="2" t="s">
        <v>8838</v>
      </c>
      <c r="N843" s="2" t="s">
        <v>5325</v>
      </c>
      <c r="O843" s="2" t="s">
        <v>5330</v>
      </c>
      <c r="P843" s="2" t="s">
        <v>8839</v>
      </c>
      <c r="Q843" s="2" t="s">
        <v>5091</v>
      </c>
      <c r="R843" s="2" t="s">
        <v>6015</v>
      </c>
      <c r="S843" s="2"/>
    </row>
    <row r="844" spans="1:19" x14ac:dyDescent="0.2">
      <c r="A844" s="2">
        <v>3657</v>
      </c>
      <c r="B844" s="6" t="s">
        <v>8840</v>
      </c>
      <c r="C844" s="2" t="s">
        <v>8841</v>
      </c>
      <c r="D844" s="2" t="s">
        <v>8842</v>
      </c>
      <c r="E844" s="2" t="s">
        <v>8836</v>
      </c>
      <c r="F844" s="2" t="s">
        <v>8837</v>
      </c>
      <c r="G844" s="2" t="s">
        <v>8837</v>
      </c>
      <c r="H844" s="2" t="s">
        <v>393</v>
      </c>
      <c r="I844" s="2" t="s">
        <v>3592</v>
      </c>
      <c r="J844" s="2" t="s">
        <v>1324</v>
      </c>
      <c r="K844" s="2"/>
      <c r="L844" s="2" t="s">
        <v>5078</v>
      </c>
      <c r="M844" s="2" t="s">
        <v>5079</v>
      </c>
      <c r="N844" s="2" t="s">
        <v>5325</v>
      </c>
      <c r="O844" s="2" t="s">
        <v>5330</v>
      </c>
      <c r="P844" s="2" t="s">
        <v>8843</v>
      </c>
      <c r="Q844" s="2" t="s">
        <v>5091</v>
      </c>
      <c r="R844" s="2" t="s">
        <v>5079</v>
      </c>
      <c r="S844" s="2"/>
    </row>
    <row r="845" spans="1:19" x14ac:dyDescent="0.2">
      <c r="A845" s="2">
        <v>3658</v>
      </c>
      <c r="B845" s="6" t="s">
        <v>8844</v>
      </c>
      <c r="C845" s="2" t="s">
        <v>8845</v>
      </c>
      <c r="D845" s="2" t="s">
        <v>8846</v>
      </c>
      <c r="E845" s="2" t="s">
        <v>8847</v>
      </c>
      <c r="F845" s="2"/>
      <c r="G845" s="2"/>
      <c r="H845" s="2" t="s">
        <v>393</v>
      </c>
      <c r="I845" s="2" t="s">
        <v>3592</v>
      </c>
      <c r="J845" s="2" t="s">
        <v>1324</v>
      </c>
      <c r="K845" s="2"/>
      <c r="L845" s="2" t="s">
        <v>5078</v>
      </c>
      <c r="M845" s="2" t="s">
        <v>8848</v>
      </c>
      <c r="N845" s="2" t="s">
        <v>5325</v>
      </c>
      <c r="O845" s="2" t="s">
        <v>5330</v>
      </c>
      <c r="P845" s="2" t="s">
        <v>8849</v>
      </c>
      <c r="Q845" s="2" t="s">
        <v>5091</v>
      </c>
      <c r="R845" s="2" t="s">
        <v>6340</v>
      </c>
      <c r="S845" s="2"/>
    </row>
    <row r="846" spans="1:19" x14ac:dyDescent="0.2">
      <c r="A846" s="2">
        <v>3659</v>
      </c>
      <c r="B846" s="6" t="s">
        <v>8850</v>
      </c>
      <c r="C846" s="2" t="s">
        <v>8851</v>
      </c>
      <c r="D846" s="2" t="s">
        <v>8852</v>
      </c>
      <c r="E846" s="2" t="s">
        <v>172</v>
      </c>
      <c r="F846" s="2"/>
      <c r="G846" s="2"/>
      <c r="H846" s="2" t="s">
        <v>393</v>
      </c>
      <c r="I846" s="2" t="s">
        <v>3592</v>
      </c>
      <c r="J846" s="2" t="s">
        <v>1324</v>
      </c>
      <c r="K846" s="2"/>
      <c r="L846" s="2" t="s">
        <v>5078</v>
      </c>
      <c r="M846" s="2" t="s">
        <v>8853</v>
      </c>
      <c r="N846" s="2" t="s">
        <v>5325</v>
      </c>
      <c r="O846" s="2" t="s">
        <v>5330</v>
      </c>
      <c r="P846" s="2" t="s">
        <v>8854</v>
      </c>
      <c r="Q846" s="2" t="s">
        <v>5091</v>
      </c>
      <c r="R846" s="2" t="s">
        <v>5558</v>
      </c>
      <c r="S846" s="2"/>
    </row>
    <row r="847" spans="1:19" ht="294" x14ac:dyDescent="0.2">
      <c r="A847" s="2">
        <v>3660</v>
      </c>
      <c r="B847" s="6" t="s">
        <v>8855</v>
      </c>
      <c r="C847" s="2" t="s">
        <v>8845</v>
      </c>
      <c r="D847" s="18" t="s">
        <v>8856</v>
      </c>
      <c r="E847" s="2" t="s">
        <v>8857</v>
      </c>
      <c r="F847" s="2"/>
      <c r="G847" s="2"/>
      <c r="H847" s="2" t="s">
        <v>393</v>
      </c>
      <c r="I847" s="2" t="s">
        <v>3592</v>
      </c>
      <c r="J847" s="2" t="s">
        <v>1324</v>
      </c>
      <c r="K847" s="2"/>
      <c r="L847" s="2" t="s">
        <v>5078</v>
      </c>
      <c r="M847" s="2" t="s">
        <v>8848</v>
      </c>
      <c r="N847" s="2" t="s">
        <v>5325</v>
      </c>
      <c r="O847" s="2" t="s">
        <v>5330</v>
      </c>
      <c r="P847" s="2" t="s">
        <v>8858</v>
      </c>
      <c r="Q847" s="2" t="s">
        <v>5091</v>
      </c>
      <c r="R847" s="2" t="s">
        <v>6340</v>
      </c>
      <c r="S847" s="2"/>
    </row>
    <row r="848" spans="1:19" x14ac:dyDescent="0.2">
      <c r="A848" s="2">
        <v>3661</v>
      </c>
      <c r="B848" s="6" t="s">
        <v>8859</v>
      </c>
      <c r="C848" s="2" t="s">
        <v>8860</v>
      </c>
      <c r="D848" s="2" t="s">
        <v>8861</v>
      </c>
      <c r="E848" s="2" t="s">
        <v>8128</v>
      </c>
      <c r="F848" s="2"/>
      <c r="G848" s="2"/>
      <c r="H848" s="2" t="s">
        <v>393</v>
      </c>
      <c r="I848" s="2" t="s">
        <v>3592</v>
      </c>
      <c r="J848" s="2" t="s">
        <v>1353</v>
      </c>
      <c r="K848" s="2"/>
      <c r="L848" s="2" t="s">
        <v>5078</v>
      </c>
      <c r="M848" s="2" t="s">
        <v>8862</v>
      </c>
      <c r="N848" s="2" t="s">
        <v>5325</v>
      </c>
      <c r="O848" s="2" t="s">
        <v>5330</v>
      </c>
      <c r="P848" s="2" t="s">
        <v>8863</v>
      </c>
      <c r="Q848" s="2" t="s">
        <v>5091</v>
      </c>
      <c r="R848" s="2" t="s">
        <v>5079</v>
      </c>
      <c r="S848" s="2"/>
    </row>
    <row r="849" spans="1:19" x14ac:dyDescent="0.2">
      <c r="A849" s="2">
        <v>3662</v>
      </c>
      <c r="B849" s="6" t="s">
        <v>8864</v>
      </c>
      <c r="C849" s="2" t="s">
        <v>8865</v>
      </c>
      <c r="D849" s="2" t="s">
        <v>8866</v>
      </c>
      <c r="E849" s="2" t="s">
        <v>8306</v>
      </c>
      <c r="F849" s="2"/>
      <c r="G849" s="2"/>
      <c r="H849" s="2" t="s">
        <v>393</v>
      </c>
      <c r="I849" s="2" t="s">
        <v>3592</v>
      </c>
      <c r="J849" s="2" t="s">
        <v>1213</v>
      </c>
      <c r="K849" s="2"/>
      <c r="L849" s="2" t="s">
        <v>5078</v>
      </c>
      <c r="M849" s="2" t="s">
        <v>8294</v>
      </c>
      <c r="N849" s="2" t="s">
        <v>5325</v>
      </c>
      <c r="O849" s="2" t="s">
        <v>6176</v>
      </c>
      <c r="P849" s="2" t="s">
        <v>8867</v>
      </c>
      <c r="Q849" s="2" t="s">
        <v>5091</v>
      </c>
      <c r="R849" s="2" t="s">
        <v>6340</v>
      </c>
      <c r="S849" s="2"/>
    </row>
    <row r="850" spans="1:19" x14ac:dyDescent="0.2">
      <c r="A850" s="2">
        <v>3663</v>
      </c>
      <c r="B850" s="6" t="s">
        <v>8868</v>
      </c>
      <c r="C850" s="2" t="s">
        <v>8869</v>
      </c>
      <c r="D850" s="2" t="s">
        <v>8870</v>
      </c>
      <c r="E850" s="2" t="s">
        <v>8871</v>
      </c>
      <c r="F850" s="2"/>
      <c r="G850" s="2"/>
      <c r="H850" s="2" t="s">
        <v>393</v>
      </c>
      <c r="I850" s="2" t="s">
        <v>3592</v>
      </c>
      <c r="J850" s="2" t="s">
        <v>1324</v>
      </c>
      <c r="K850" s="2"/>
      <c r="L850" s="2" t="s">
        <v>5078</v>
      </c>
      <c r="M850" s="2" t="s">
        <v>5079</v>
      </c>
      <c r="N850" s="2" t="s">
        <v>5325</v>
      </c>
      <c r="O850" s="2" t="s">
        <v>5330</v>
      </c>
      <c r="P850" s="2" t="s">
        <v>8872</v>
      </c>
      <c r="Q850" s="2" t="s">
        <v>5091</v>
      </c>
      <c r="R850" s="2" t="s">
        <v>5079</v>
      </c>
      <c r="S850" s="2"/>
    </row>
    <row r="851" spans="1:19" x14ac:dyDescent="0.2">
      <c r="A851" s="2">
        <v>3664</v>
      </c>
      <c r="B851" s="6" t="s">
        <v>8873</v>
      </c>
      <c r="C851" s="2" t="s">
        <v>8874</v>
      </c>
      <c r="D851" s="2" t="s">
        <v>8875</v>
      </c>
      <c r="E851" s="2" t="s">
        <v>8591</v>
      </c>
      <c r="F851" s="2" t="s">
        <v>8591</v>
      </c>
      <c r="G851" s="2" t="s">
        <v>8591</v>
      </c>
      <c r="H851" s="2" t="s">
        <v>393</v>
      </c>
      <c r="I851" s="2" t="s">
        <v>8876</v>
      </c>
      <c r="J851" s="2"/>
      <c r="K851" s="2"/>
      <c r="L851" s="2" t="s">
        <v>5078</v>
      </c>
      <c r="M851" s="2" t="s">
        <v>5324</v>
      </c>
      <c r="N851" s="2" t="s">
        <v>5325</v>
      </c>
      <c r="O851" s="2" t="s">
        <v>5081</v>
      </c>
      <c r="P851" s="2" t="s">
        <v>8877</v>
      </c>
      <c r="Q851" s="2" t="s">
        <v>5091</v>
      </c>
      <c r="R851" s="2" t="s">
        <v>5324</v>
      </c>
      <c r="S851" s="2"/>
    </row>
    <row r="852" spans="1:19" x14ac:dyDescent="0.2">
      <c r="A852" s="2">
        <v>3665</v>
      </c>
      <c r="B852" s="6" t="s">
        <v>8878</v>
      </c>
      <c r="C852" s="2" t="s">
        <v>8879</v>
      </c>
      <c r="D852" s="2" t="s">
        <v>8880</v>
      </c>
      <c r="E852" s="2" t="s">
        <v>2793</v>
      </c>
      <c r="F852" s="2"/>
      <c r="G852" s="2"/>
      <c r="H852" s="2" t="s">
        <v>393</v>
      </c>
      <c r="I852" s="2" t="s">
        <v>8881</v>
      </c>
      <c r="J852" s="2"/>
      <c r="K852" s="2"/>
      <c r="L852" s="2" t="s">
        <v>5078</v>
      </c>
      <c r="M852" s="2" t="s">
        <v>5079</v>
      </c>
      <c r="N852" s="2" t="s">
        <v>5325</v>
      </c>
      <c r="O852" s="2" t="s">
        <v>5081</v>
      </c>
      <c r="P852" s="2" t="s">
        <v>8882</v>
      </c>
      <c r="Q852" s="2" t="s">
        <v>7186</v>
      </c>
      <c r="R852" s="2" t="s">
        <v>5079</v>
      </c>
      <c r="S852" s="2"/>
    </row>
    <row r="853" spans="1:19" x14ac:dyDescent="0.2">
      <c r="A853" s="2">
        <v>3666</v>
      </c>
      <c r="B853" s="6" t="s">
        <v>8883</v>
      </c>
      <c r="C853" s="2" t="s">
        <v>8884</v>
      </c>
      <c r="D853" s="2" t="s">
        <v>8885</v>
      </c>
      <c r="E853" s="2" t="s">
        <v>8886</v>
      </c>
      <c r="F853" s="2" t="s">
        <v>8538</v>
      </c>
      <c r="G853" s="2" t="s">
        <v>8514</v>
      </c>
      <c r="H853" s="2" t="s">
        <v>393</v>
      </c>
      <c r="I853" s="2" t="s">
        <v>8887</v>
      </c>
      <c r="J853" s="2" t="s">
        <v>8888</v>
      </c>
      <c r="K853" s="2"/>
      <c r="L853" s="2" t="s">
        <v>5078</v>
      </c>
      <c r="M853" s="2" t="s">
        <v>5079</v>
      </c>
      <c r="N853" s="2" t="s">
        <v>5325</v>
      </c>
      <c r="O853" s="2" t="s">
        <v>5326</v>
      </c>
      <c r="P853" s="2" t="s">
        <v>8889</v>
      </c>
      <c r="Q853" s="2" t="s">
        <v>7186</v>
      </c>
      <c r="R853" s="2" t="s">
        <v>5079</v>
      </c>
      <c r="S853" s="2"/>
    </row>
    <row r="854" spans="1:19" x14ac:dyDescent="0.2">
      <c r="A854" s="2">
        <v>3667</v>
      </c>
      <c r="B854" s="6" t="s">
        <v>8890</v>
      </c>
      <c r="C854" s="2" t="s">
        <v>8891</v>
      </c>
      <c r="D854" s="2" t="s">
        <v>8892</v>
      </c>
      <c r="E854" s="2" t="s">
        <v>47</v>
      </c>
      <c r="F854" s="2"/>
      <c r="G854" s="2"/>
      <c r="H854" s="2" t="s">
        <v>393</v>
      </c>
      <c r="I854" s="2" t="s">
        <v>8893</v>
      </c>
      <c r="J854" s="2" t="s">
        <v>1353</v>
      </c>
      <c r="K854" s="2"/>
      <c r="L854" s="2" t="s">
        <v>5078</v>
      </c>
      <c r="M854" s="2" t="s">
        <v>8853</v>
      </c>
      <c r="N854" s="2" t="s">
        <v>5325</v>
      </c>
      <c r="O854" s="2" t="s">
        <v>5330</v>
      </c>
      <c r="P854" s="2" t="s">
        <v>8894</v>
      </c>
      <c r="Q854" s="2" t="s">
        <v>5091</v>
      </c>
      <c r="R854" s="2" t="s">
        <v>5558</v>
      </c>
      <c r="S854" s="2"/>
    </row>
    <row r="855" spans="1:19" x14ac:dyDescent="0.2">
      <c r="A855" s="2">
        <v>3668</v>
      </c>
      <c r="B855" s="6" t="s">
        <v>8895</v>
      </c>
      <c r="C855" s="2" t="s">
        <v>8896</v>
      </c>
      <c r="D855" s="2" t="s">
        <v>8897</v>
      </c>
      <c r="E855" s="2" t="s">
        <v>8173</v>
      </c>
      <c r="F855" s="2" t="s">
        <v>8173</v>
      </c>
      <c r="G855" s="2" t="s">
        <v>8173</v>
      </c>
      <c r="H855" s="2" t="s">
        <v>393</v>
      </c>
      <c r="I855" s="2" t="s">
        <v>8893</v>
      </c>
      <c r="J855" s="2"/>
      <c r="K855" s="2"/>
      <c r="L855" s="2" t="s">
        <v>5334</v>
      </c>
      <c r="M855" s="2" t="s">
        <v>5193</v>
      </c>
      <c r="N855" s="2" t="s">
        <v>5325</v>
      </c>
      <c r="O855" s="2" t="s">
        <v>5330</v>
      </c>
      <c r="P855" s="2" t="s">
        <v>8898</v>
      </c>
      <c r="Q855" s="2" t="s">
        <v>5091</v>
      </c>
      <c r="R855" s="2" t="s">
        <v>5193</v>
      </c>
      <c r="S855" s="2"/>
    </row>
    <row r="856" spans="1:19" x14ac:dyDescent="0.2">
      <c r="A856" s="2">
        <v>3669</v>
      </c>
      <c r="B856" s="6" t="s">
        <v>8899</v>
      </c>
      <c r="C856" s="2" t="s">
        <v>8900</v>
      </c>
      <c r="D856" s="2" t="s">
        <v>8901</v>
      </c>
      <c r="E856" s="2" t="s">
        <v>3718</v>
      </c>
      <c r="F856" s="2" t="s">
        <v>1722</v>
      </c>
      <c r="G856" s="2" t="s">
        <v>1722</v>
      </c>
      <c r="H856" s="2" t="s">
        <v>393</v>
      </c>
      <c r="I856" s="2" t="s">
        <v>8902</v>
      </c>
      <c r="J856" s="2"/>
      <c r="K856" s="2"/>
      <c r="L856" s="2" t="s">
        <v>5078</v>
      </c>
      <c r="M856" s="2" t="s">
        <v>8903</v>
      </c>
      <c r="N856" s="2" t="s">
        <v>5325</v>
      </c>
      <c r="O856" s="2" t="s">
        <v>5362</v>
      </c>
      <c r="P856" s="2" t="s">
        <v>8904</v>
      </c>
      <c r="Q856" s="2" t="s">
        <v>5091</v>
      </c>
      <c r="R856" s="2" t="s">
        <v>5599</v>
      </c>
      <c r="S856" s="2"/>
    </row>
    <row r="857" spans="1:19" x14ac:dyDescent="0.2">
      <c r="A857" s="2">
        <v>3671</v>
      </c>
      <c r="B857" s="6" t="s">
        <v>8905</v>
      </c>
      <c r="C857" s="2" t="s">
        <v>8906</v>
      </c>
      <c r="D857" s="2" t="s">
        <v>8907</v>
      </c>
      <c r="E857" s="2" t="s">
        <v>8908</v>
      </c>
      <c r="F857" s="2" t="s">
        <v>8909</v>
      </c>
      <c r="G857" s="2" t="s">
        <v>8909</v>
      </c>
      <c r="H857" s="2" t="s">
        <v>393</v>
      </c>
      <c r="I857" s="2" t="s">
        <v>8902</v>
      </c>
      <c r="J857" s="2" t="s">
        <v>333</v>
      </c>
      <c r="K857" s="2"/>
      <c r="L857" s="2" t="s">
        <v>5078</v>
      </c>
      <c r="M857" s="2" t="s">
        <v>8910</v>
      </c>
      <c r="N857" s="2" t="s">
        <v>5325</v>
      </c>
      <c r="O857" s="2" t="s">
        <v>5330</v>
      </c>
      <c r="P857" s="2" t="s">
        <v>8911</v>
      </c>
      <c r="Q857" s="2" t="s">
        <v>5091</v>
      </c>
      <c r="R857" s="2" t="s">
        <v>8910</v>
      </c>
      <c r="S857" s="2"/>
    </row>
    <row r="858" spans="1:19" x14ac:dyDescent="0.2">
      <c r="A858" s="2">
        <v>3672</v>
      </c>
      <c r="B858" s="6" t="s">
        <v>8912</v>
      </c>
      <c r="C858" s="2" t="s">
        <v>8913</v>
      </c>
      <c r="D858" s="2" t="s">
        <v>8914</v>
      </c>
      <c r="E858" s="2" t="s">
        <v>8915</v>
      </c>
      <c r="F858" s="2"/>
      <c r="G858" s="2"/>
      <c r="H858" s="2" t="s">
        <v>393</v>
      </c>
      <c r="I858" s="2" t="s">
        <v>8902</v>
      </c>
      <c r="J858" s="2" t="s">
        <v>1324</v>
      </c>
      <c r="K858" s="2"/>
      <c r="L858" s="2" t="s">
        <v>5334</v>
      </c>
      <c r="M858" s="2" t="s">
        <v>8916</v>
      </c>
      <c r="N858" s="2" t="s">
        <v>5325</v>
      </c>
      <c r="O858" s="2" t="s">
        <v>5330</v>
      </c>
      <c r="P858" s="2" t="s">
        <v>8917</v>
      </c>
      <c r="Q858" s="2" t="s">
        <v>5091</v>
      </c>
      <c r="R858" s="2" t="s">
        <v>6561</v>
      </c>
      <c r="S858" s="2"/>
    </row>
    <row r="859" spans="1:19" x14ac:dyDescent="0.2">
      <c r="A859" s="2">
        <v>3673</v>
      </c>
      <c r="B859" s="6" t="s">
        <v>8918</v>
      </c>
      <c r="C859" s="2" t="s">
        <v>8919</v>
      </c>
      <c r="D859" s="2" t="s">
        <v>8920</v>
      </c>
      <c r="E859" s="2" t="s">
        <v>8173</v>
      </c>
      <c r="F859" s="2"/>
      <c r="G859" s="2"/>
      <c r="H859" s="2" t="s">
        <v>393</v>
      </c>
      <c r="I859" s="2" t="s">
        <v>8921</v>
      </c>
      <c r="J859" s="2" t="s">
        <v>1324</v>
      </c>
      <c r="K859" s="2"/>
      <c r="L859" s="2" t="s">
        <v>5334</v>
      </c>
      <c r="M859" s="2" t="s">
        <v>5079</v>
      </c>
      <c r="N859" s="2" t="s">
        <v>5325</v>
      </c>
      <c r="O859" s="2" t="s">
        <v>5330</v>
      </c>
      <c r="P859" s="2" t="s">
        <v>8922</v>
      </c>
      <c r="Q859" s="2" t="s">
        <v>5091</v>
      </c>
      <c r="R859" s="2" t="s">
        <v>5079</v>
      </c>
      <c r="S859" s="2"/>
    </row>
    <row r="860" spans="1:19" x14ac:dyDescent="0.2">
      <c r="A860" s="2">
        <v>3674</v>
      </c>
      <c r="B860" s="6" t="s">
        <v>8923</v>
      </c>
      <c r="C860" s="2" t="s">
        <v>8924</v>
      </c>
      <c r="D860" s="2" t="s">
        <v>8925</v>
      </c>
      <c r="E860" s="2" t="s">
        <v>8305</v>
      </c>
      <c r="F860" s="2"/>
      <c r="G860" s="2"/>
      <c r="H860" s="2" t="s">
        <v>393</v>
      </c>
      <c r="I860" s="2" t="s">
        <v>8921</v>
      </c>
      <c r="J860" s="2" t="s">
        <v>1353</v>
      </c>
      <c r="K860" s="2"/>
      <c r="L860" s="2" t="s">
        <v>5078</v>
      </c>
      <c r="M860" s="2" t="s">
        <v>8926</v>
      </c>
      <c r="N860" s="2" t="s">
        <v>5325</v>
      </c>
      <c r="O860" s="2" t="s">
        <v>5330</v>
      </c>
      <c r="P860" s="2" t="s">
        <v>8927</v>
      </c>
      <c r="Q860" s="2" t="s">
        <v>5091</v>
      </c>
      <c r="R860" s="2" t="s">
        <v>8928</v>
      </c>
      <c r="S860" s="2"/>
    </row>
    <row r="861" spans="1:19" x14ac:dyDescent="0.2">
      <c r="A861" s="2">
        <v>3678</v>
      </c>
      <c r="B861" s="6" t="s">
        <v>8929</v>
      </c>
      <c r="C861" s="2" t="s">
        <v>8930</v>
      </c>
      <c r="D861" s="2" t="s">
        <v>8930</v>
      </c>
      <c r="E861" s="2" t="s">
        <v>8085</v>
      </c>
      <c r="F861" s="2"/>
      <c r="G861" s="2"/>
      <c r="H861" s="2" t="s">
        <v>393</v>
      </c>
      <c r="I861" s="2" t="s">
        <v>8931</v>
      </c>
      <c r="J861" s="2"/>
      <c r="K861" s="2"/>
      <c r="L861" s="2" t="s">
        <v>5078</v>
      </c>
      <c r="M861" s="2" t="s">
        <v>5088</v>
      </c>
      <c r="N861" s="2" t="s">
        <v>5325</v>
      </c>
      <c r="O861" s="2" t="s">
        <v>5362</v>
      </c>
      <c r="P861" s="2" t="s">
        <v>8932</v>
      </c>
      <c r="Q861" s="2" t="s">
        <v>5091</v>
      </c>
      <c r="R861" s="2" t="s">
        <v>5088</v>
      </c>
      <c r="S861" s="2"/>
    </row>
    <row r="862" spans="1:19" x14ac:dyDescent="0.2">
      <c r="A862" s="2">
        <v>3679</v>
      </c>
      <c r="B862" s="6" t="s">
        <v>8933</v>
      </c>
      <c r="C862" s="2" t="s">
        <v>8934</v>
      </c>
      <c r="D862" s="2" t="s">
        <v>8934</v>
      </c>
      <c r="E862" s="2" t="s">
        <v>8056</v>
      </c>
      <c r="F862" s="2"/>
      <c r="G862" s="2"/>
      <c r="H862" s="2" t="s">
        <v>393</v>
      </c>
      <c r="I862" s="2" t="s">
        <v>8931</v>
      </c>
      <c r="J862" s="2"/>
      <c r="K862" s="2"/>
      <c r="L862" s="2" t="s">
        <v>5334</v>
      </c>
      <c r="M862" s="2" t="s">
        <v>5079</v>
      </c>
      <c r="N862" s="2" t="s">
        <v>5325</v>
      </c>
      <c r="O862" s="2" t="s">
        <v>5330</v>
      </c>
      <c r="P862" s="2" t="s">
        <v>8935</v>
      </c>
      <c r="Q862" s="2" t="s">
        <v>5091</v>
      </c>
      <c r="R862" s="2" t="s">
        <v>5079</v>
      </c>
      <c r="S862" s="2"/>
    </row>
    <row r="863" spans="1:19" x14ac:dyDescent="0.2">
      <c r="A863" s="2">
        <v>3680</v>
      </c>
      <c r="B863" s="6" t="s">
        <v>8936</v>
      </c>
      <c r="C863" s="2" t="s">
        <v>8937</v>
      </c>
      <c r="D863" s="2" t="s">
        <v>8938</v>
      </c>
      <c r="E863" s="2" t="s">
        <v>8939</v>
      </c>
      <c r="F863" s="2"/>
      <c r="G863" s="2"/>
      <c r="H863" s="2" t="s">
        <v>393</v>
      </c>
      <c r="I863" s="2" t="s">
        <v>713</v>
      </c>
      <c r="J863" s="2" t="s">
        <v>135</v>
      </c>
      <c r="K863" s="2"/>
      <c r="L863" s="2" t="s">
        <v>5078</v>
      </c>
      <c r="M863" s="2" t="s">
        <v>5079</v>
      </c>
      <c r="N863" s="2" t="s">
        <v>5325</v>
      </c>
      <c r="O863" s="2" t="s">
        <v>5330</v>
      </c>
      <c r="P863" s="2" t="s">
        <v>8940</v>
      </c>
      <c r="Q863" s="2" t="s">
        <v>5091</v>
      </c>
      <c r="R863" s="2" t="s">
        <v>5079</v>
      </c>
      <c r="S863" s="2"/>
    </row>
    <row r="864" spans="1:19" x14ac:dyDescent="0.2">
      <c r="A864" s="2">
        <v>3681</v>
      </c>
      <c r="B864" s="6" t="s">
        <v>8941</v>
      </c>
      <c r="C864" s="2" t="s">
        <v>8942</v>
      </c>
      <c r="D864" s="2" t="s">
        <v>8943</v>
      </c>
      <c r="E864" s="2" t="s">
        <v>2445</v>
      </c>
      <c r="F864" s="2"/>
      <c r="G864" s="2"/>
      <c r="H864" s="2" t="s">
        <v>393</v>
      </c>
      <c r="I864" s="2" t="s">
        <v>8944</v>
      </c>
      <c r="J864" s="2" t="s">
        <v>7586</v>
      </c>
      <c r="K864" s="2"/>
      <c r="L864" s="2" t="s">
        <v>5334</v>
      </c>
      <c r="M864" s="2" t="s">
        <v>5079</v>
      </c>
      <c r="N864" s="2" t="s">
        <v>5325</v>
      </c>
      <c r="O864" s="2" t="s">
        <v>5330</v>
      </c>
      <c r="P864" s="2" t="s">
        <v>8945</v>
      </c>
      <c r="Q864" s="2" t="s">
        <v>5091</v>
      </c>
      <c r="R864" s="2" t="s">
        <v>5079</v>
      </c>
      <c r="S864" s="2"/>
    </row>
    <row r="865" spans="1:19" x14ac:dyDescent="0.2">
      <c r="A865" s="2">
        <v>3682</v>
      </c>
      <c r="B865" s="6" t="s">
        <v>8946</v>
      </c>
      <c r="C865" s="2" t="s">
        <v>8947</v>
      </c>
      <c r="D865" s="2" t="s">
        <v>8948</v>
      </c>
      <c r="E865" s="2" t="s">
        <v>1176</v>
      </c>
      <c r="F865" s="2"/>
      <c r="G865" s="2"/>
      <c r="H865" s="2" t="s">
        <v>393</v>
      </c>
      <c r="I865" s="2" t="s">
        <v>8944</v>
      </c>
      <c r="J865" s="2" t="s">
        <v>7586</v>
      </c>
      <c r="K865" s="2"/>
      <c r="L865" s="2" t="s">
        <v>5334</v>
      </c>
      <c r="M865" s="2" t="s">
        <v>5352</v>
      </c>
      <c r="N865" s="2" t="s">
        <v>5325</v>
      </c>
      <c r="O865" s="2" t="s">
        <v>5330</v>
      </c>
      <c r="P865" s="2" t="s">
        <v>8949</v>
      </c>
      <c r="Q865" s="2" t="s">
        <v>5091</v>
      </c>
      <c r="R865" s="2" t="s">
        <v>5352</v>
      </c>
      <c r="S865" s="2"/>
    </row>
    <row r="866" spans="1:19" x14ac:dyDescent="0.2">
      <c r="A866" s="2">
        <v>3683</v>
      </c>
      <c r="B866" s="6" t="s">
        <v>8950</v>
      </c>
      <c r="C866" s="2" t="s">
        <v>8951</v>
      </c>
      <c r="D866" s="2" t="s">
        <v>8952</v>
      </c>
      <c r="E866" s="2" t="s">
        <v>8591</v>
      </c>
      <c r="F866" s="2"/>
      <c r="G866" s="2"/>
      <c r="H866" s="2" t="s">
        <v>393</v>
      </c>
      <c r="I866" s="2" t="s">
        <v>8944</v>
      </c>
      <c r="J866" s="2" t="s">
        <v>7586</v>
      </c>
      <c r="K866" s="2"/>
      <c r="L866" s="2" t="s">
        <v>5334</v>
      </c>
      <c r="M866" s="2" t="s">
        <v>5107</v>
      </c>
      <c r="N866" s="2" t="s">
        <v>5325</v>
      </c>
      <c r="O866" s="2" t="s">
        <v>5330</v>
      </c>
      <c r="P866" s="2" t="s">
        <v>8953</v>
      </c>
      <c r="Q866" s="2" t="s">
        <v>5091</v>
      </c>
      <c r="R866" s="2" t="s">
        <v>5107</v>
      </c>
      <c r="S866" s="2"/>
    </row>
    <row r="867" spans="1:19" x14ac:dyDescent="0.2">
      <c r="A867" s="2">
        <v>3684</v>
      </c>
      <c r="B867" s="6" t="s">
        <v>8954</v>
      </c>
      <c r="C867" s="2" t="s">
        <v>8955</v>
      </c>
      <c r="D867" s="2" t="s">
        <v>8956</v>
      </c>
      <c r="E867" s="2" t="s">
        <v>327</v>
      </c>
      <c r="F867" s="2"/>
      <c r="G867" s="2"/>
      <c r="H867" s="2" t="s">
        <v>393</v>
      </c>
      <c r="I867" s="2" t="s">
        <v>8944</v>
      </c>
      <c r="J867" s="2" t="s">
        <v>7586</v>
      </c>
      <c r="K867" s="2"/>
      <c r="L867" s="2" t="s">
        <v>5334</v>
      </c>
      <c r="M867" s="2" t="s">
        <v>5352</v>
      </c>
      <c r="N867" s="2" t="s">
        <v>5325</v>
      </c>
      <c r="O867" s="2" t="s">
        <v>5330</v>
      </c>
      <c r="P867" s="2" t="s">
        <v>8957</v>
      </c>
      <c r="Q867" s="2" t="s">
        <v>5091</v>
      </c>
      <c r="R867" s="2" t="s">
        <v>5352</v>
      </c>
      <c r="S867" s="2"/>
    </row>
    <row r="868" spans="1:19" x14ac:dyDescent="0.2">
      <c r="A868" s="2">
        <v>3685</v>
      </c>
      <c r="B868" s="6" t="s">
        <v>8958</v>
      </c>
      <c r="C868" s="2" t="s">
        <v>8959</v>
      </c>
      <c r="D868" s="2" t="s">
        <v>8960</v>
      </c>
      <c r="E868" s="2" t="s">
        <v>8961</v>
      </c>
      <c r="F868" s="2"/>
      <c r="G868" s="2"/>
      <c r="H868" s="2" t="s">
        <v>393</v>
      </c>
      <c r="I868" s="2" t="s">
        <v>8944</v>
      </c>
      <c r="J868" s="2" t="s">
        <v>7586</v>
      </c>
      <c r="K868" s="2"/>
      <c r="L868" s="2" t="s">
        <v>5334</v>
      </c>
      <c r="M868" s="2" t="s">
        <v>5324</v>
      </c>
      <c r="N868" s="2" t="s">
        <v>5325</v>
      </c>
      <c r="O868" s="2" t="s">
        <v>5330</v>
      </c>
      <c r="P868" s="2" t="s">
        <v>8962</v>
      </c>
      <c r="Q868" s="2" t="s">
        <v>5091</v>
      </c>
      <c r="R868" s="2" t="s">
        <v>5324</v>
      </c>
      <c r="S868" s="2"/>
    </row>
    <row r="869" spans="1:19" x14ac:dyDescent="0.2">
      <c r="A869" s="2">
        <v>3686</v>
      </c>
      <c r="B869" s="6" t="s">
        <v>8963</v>
      </c>
      <c r="C869" s="2" t="s">
        <v>8964</v>
      </c>
      <c r="D869" s="2" t="s">
        <v>8965</v>
      </c>
      <c r="E869" s="2" t="s">
        <v>8966</v>
      </c>
      <c r="F869" s="2"/>
      <c r="G869" s="2"/>
      <c r="H869" s="2" t="s">
        <v>393</v>
      </c>
      <c r="I869" s="2" t="s">
        <v>8944</v>
      </c>
      <c r="J869" s="2" t="s">
        <v>7586</v>
      </c>
      <c r="K869" s="2"/>
      <c r="L869" s="2" t="s">
        <v>5078</v>
      </c>
      <c r="M869" s="2" t="s">
        <v>5193</v>
      </c>
      <c r="N869" s="2" t="s">
        <v>5325</v>
      </c>
      <c r="O869" s="2" t="s">
        <v>5330</v>
      </c>
      <c r="P869" s="2" t="s">
        <v>8967</v>
      </c>
      <c r="Q869" s="2" t="s">
        <v>5091</v>
      </c>
      <c r="R869" s="2" t="s">
        <v>5193</v>
      </c>
      <c r="S869" s="2"/>
    </row>
    <row r="870" spans="1:19" x14ac:dyDescent="0.2">
      <c r="A870" s="2">
        <v>3687</v>
      </c>
      <c r="B870" s="6" t="s">
        <v>8968</v>
      </c>
      <c r="C870" s="2" t="s">
        <v>8969</v>
      </c>
      <c r="D870" s="2" t="s">
        <v>8970</v>
      </c>
      <c r="E870" s="2" t="s">
        <v>367</v>
      </c>
      <c r="F870" s="2"/>
      <c r="G870" s="2"/>
      <c r="H870" s="2" t="s">
        <v>393</v>
      </c>
      <c r="I870" s="2" t="s">
        <v>8944</v>
      </c>
      <c r="J870" s="2" t="s">
        <v>7586</v>
      </c>
      <c r="K870" s="2"/>
      <c r="L870" s="2" t="s">
        <v>5334</v>
      </c>
      <c r="M870" s="2" t="s">
        <v>8971</v>
      </c>
      <c r="N870" s="2" t="s">
        <v>5325</v>
      </c>
      <c r="O870" s="2" t="s">
        <v>5330</v>
      </c>
      <c r="P870" s="2" t="s">
        <v>8972</v>
      </c>
      <c r="Q870" s="2" t="s">
        <v>5091</v>
      </c>
      <c r="R870" s="2" t="s">
        <v>5107</v>
      </c>
      <c r="S870" s="2"/>
    </row>
    <row r="871" spans="1:19" x14ac:dyDescent="0.2">
      <c r="A871" s="2">
        <v>3688</v>
      </c>
      <c r="B871" s="6" t="s">
        <v>8973</v>
      </c>
      <c r="C871" s="2" t="s">
        <v>8974</v>
      </c>
      <c r="D871" s="2" t="s">
        <v>8975</v>
      </c>
      <c r="E871" s="2" t="s">
        <v>8976</v>
      </c>
      <c r="F871" s="2"/>
      <c r="G871" s="2"/>
      <c r="H871" s="2" t="s">
        <v>393</v>
      </c>
      <c r="I871" s="2" t="s">
        <v>8944</v>
      </c>
      <c r="J871" s="2" t="s">
        <v>7586</v>
      </c>
      <c r="K871" s="2"/>
      <c r="L871" s="2" t="s">
        <v>5334</v>
      </c>
      <c r="M871" s="2" t="s">
        <v>8977</v>
      </c>
      <c r="N871" s="2" t="s">
        <v>5325</v>
      </c>
      <c r="O871" s="2" t="s">
        <v>5330</v>
      </c>
      <c r="P871" s="2" t="s">
        <v>8978</v>
      </c>
      <c r="Q871" s="2" t="s">
        <v>5091</v>
      </c>
      <c r="R871" s="2" t="s">
        <v>8979</v>
      </c>
      <c r="S871" s="2"/>
    </row>
    <row r="872" spans="1:19" x14ac:dyDescent="0.2">
      <c r="A872" s="2">
        <v>3689</v>
      </c>
      <c r="B872" s="6" t="s">
        <v>8980</v>
      </c>
      <c r="C872" s="2" t="s">
        <v>8981</v>
      </c>
      <c r="D872" s="2" t="s">
        <v>8982</v>
      </c>
      <c r="E872" s="2" t="s">
        <v>8983</v>
      </c>
      <c r="F872" s="2" t="s">
        <v>4929</v>
      </c>
      <c r="G872" s="2" t="s">
        <v>4929</v>
      </c>
      <c r="H872" s="2" t="s">
        <v>393</v>
      </c>
      <c r="I872" s="2" t="s">
        <v>8944</v>
      </c>
      <c r="J872" s="2" t="s">
        <v>1324</v>
      </c>
      <c r="K872" s="2"/>
      <c r="L872" s="2" t="s">
        <v>5334</v>
      </c>
      <c r="M872" s="2" t="s">
        <v>5617</v>
      </c>
      <c r="N872" s="2" t="s">
        <v>5325</v>
      </c>
      <c r="O872" s="2" t="s">
        <v>5330</v>
      </c>
      <c r="P872" s="2" t="s">
        <v>8984</v>
      </c>
      <c r="Q872" s="2" t="s">
        <v>5091</v>
      </c>
      <c r="R872" s="2" t="s">
        <v>5617</v>
      </c>
      <c r="S872" s="2"/>
    </row>
    <row r="873" spans="1:19" x14ac:dyDescent="0.2">
      <c r="A873" s="2">
        <v>3690</v>
      </c>
      <c r="B873" s="6" t="s">
        <v>8985</v>
      </c>
      <c r="C873" s="2" t="s">
        <v>8986</v>
      </c>
      <c r="D873" s="2" t="s">
        <v>8987</v>
      </c>
      <c r="E873" s="2" t="s">
        <v>8767</v>
      </c>
      <c r="F873" s="2"/>
      <c r="G873" s="2"/>
      <c r="H873" s="2" t="s">
        <v>393</v>
      </c>
      <c r="I873" s="2" t="s">
        <v>8944</v>
      </c>
      <c r="J873" s="2" t="s">
        <v>1324</v>
      </c>
      <c r="K873" s="2"/>
      <c r="L873" s="2" t="s">
        <v>5334</v>
      </c>
      <c r="M873" s="2" t="s">
        <v>8988</v>
      </c>
      <c r="N873" s="2" t="s">
        <v>5325</v>
      </c>
      <c r="O873" s="2" t="s">
        <v>5330</v>
      </c>
      <c r="P873" s="2" t="s">
        <v>8989</v>
      </c>
      <c r="Q873" s="2" t="s">
        <v>5091</v>
      </c>
      <c r="R873" s="2" t="s">
        <v>8990</v>
      </c>
      <c r="S873" s="2"/>
    </row>
    <row r="874" spans="1:19" x14ac:dyDescent="0.2">
      <c r="A874" s="2">
        <v>3691</v>
      </c>
      <c r="B874" s="6" t="s">
        <v>8991</v>
      </c>
      <c r="C874" s="2" t="s">
        <v>8992</v>
      </c>
      <c r="D874" s="2" t="s">
        <v>8993</v>
      </c>
      <c r="E874" s="2" t="s">
        <v>8382</v>
      </c>
      <c r="F874" s="2" t="s">
        <v>8382</v>
      </c>
      <c r="G874" s="2" t="s">
        <v>8382</v>
      </c>
      <c r="H874" s="2" t="s">
        <v>393</v>
      </c>
      <c r="I874" s="2" t="s">
        <v>8944</v>
      </c>
      <c r="J874" s="2" t="s">
        <v>7586</v>
      </c>
      <c r="K874" s="2"/>
      <c r="L874" s="2" t="s">
        <v>5334</v>
      </c>
      <c r="M874" s="2" t="s">
        <v>6408</v>
      </c>
      <c r="N874" s="2" t="s">
        <v>5325</v>
      </c>
      <c r="O874" s="2" t="s">
        <v>5330</v>
      </c>
      <c r="P874" s="2" t="s">
        <v>8994</v>
      </c>
      <c r="Q874" s="2" t="s">
        <v>5091</v>
      </c>
      <c r="R874" s="2" t="s">
        <v>5128</v>
      </c>
      <c r="S874" s="2"/>
    </row>
    <row r="875" spans="1:19" x14ac:dyDescent="0.2">
      <c r="A875" s="2">
        <v>3692</v>
      </c>
      <c r="B875" s="6" t="s">
        <v>8995</v>
      </c>
      <c r="C875" s="2" t="s">
        <v>8996</v>
      </c>
      <c r="D875" s="2" t="s">
        <v>8997</v>
      </c>
      <c r="E875" s="2" t="s">
        <v>8321</v>
      </c>
      <c r="F875" s="2" t="s">
        <v>8381</v>
      </c>
      <c r="G875" s="2" t="s">
        <v>8321</v>
      </c>
      <c r="H875" s="2" t="s">
        <v>393</v>
      </c>
      <c r="I875" s="2" t="s">
        <v>8944</v>
      </c>
      <c r="J875" s="2"/>
      <c r="K875" s="2"/>
      <c r="L875" s="2" t="s">
        <v>5334</v>
      </c>
      <c r="M875" s="2" t="s">
        <v>8998</v>
      </c>
      <c r="N875" s="2" t="s">
        <v>5325</v>
      </c>
      <c r="O875" s="2" t="s">
        <v>5330</v>
      </c>
      <c r="P875" s="2" t="s">
        <v>8999</v>
      </c>
      <c r="Q875" s="2" t="s">
        <v>5091</v>
      </c>
      <c r="R875" s="2" t="s">
        <v>8478</v>
      </c>
      <c r="S875" s="2"/>
    </row>
    <row r="876" spans="1:19" x14ac:dyDescent="0.2">
      <c r="A876" s="2">
        <v>3693</v>
      </c>
      <c r="B876" s="6" t="s">
        <v>9000</v>
      </c>
      <c r="C876" s="2" t="s">
        <v>9001</v>
      </c>
      <c r="D876" s="2" t="s">
        <v>9002</v>
      </c>
      <c r="E876" s="2" t="s">
        <v>8097</v>
      </c>
      <c r="F876" s="2"/>
      <c r="G876" s="2"/>
      <c r="H876" s="2" t="s">
        <v>393</v>
      </c>
      <c r="I876" s="2" t="s">
        <v>8944</v>
      </c>
      <c r="J876" s="2" t="s">
        <v>7586</v>
      </c>
      <c r="K876" s="2"/>
      <c r="L876" s="2" t="s">
        <v>5334</v>
      </c>
      <c r="M876" s="2" t="s">
        <v>9003</v>
      </c>
      <c r="N876" s="2" t="s">
        <v>5325</v>
      </c>
      <c r="O876" s="2" t="s">
        <v>5330</v>
      </c>
      <c r="P876" s="2" t="s">
        <v>9004</v>
      </c>
      <c r="Q876" s="2" t="s">
        <v>5091</v>
      </c>
      <c r="R876" s="2" t="s">
        <v>9005</v>
      </c>
      <c r="S876" s="2"/>
    </row>
    <row r="877" spans="1:19" x14ac:dyDescent="0.2">
      <c r="A877" s="2">
        <v>3694</v>
      </c>
      <c r="B877" s="6" t="s">
        <v>9006</v>
      </c>
      <c r="C877" s="2" t="s">
        <v>9007</v>
      </c>
      <c r="D877" s="2" t="s">
        <v>9008</v>
      </c>
      <c r="E877" s="2" t="s">
        <v>8097</v>
      </c>
      <c r="F877" s="2" t="s">
        <v>8321</v>
      </c>
      <c r="G877" s="2" t="s">
        <v>8321</v>
      </c>
      <c r="H877" s="2" t="s">
        <v>393</v>
      </c>
      <c r="I877" s="2" t="s">
        <v>8944</v>
      </c>
      <c r="J877" s="2" t="s">
        <v>7586</v>
      </c>
      <c r="K877" s="2"/>
      <c r="L877" s="2" t="s">
        <v>5334</v>
      </c>
      <c r="M877" s="2" t="s">
        <v>5324</v>
      </c>
      <c r="N877" s="2" t="s">
        <v>5325</v>
      </c>
      <c r="O877" s="2" t="s">
        <v>5330</v>
      </c>
      <c r="P877" s="2" t="s">
        <v>9009</v>
      </c>
      <c r="Q877" s="2" t="s">
        <v>5091</v>
      </c>
      <c r="R877" s="2" t="s">
        <v>5324</v>
      </c>
      <c r="S877" s="2"/>
    </row>
    <row r="878" spans="1:19" x14ac:dyDescent="0.2">
      <c r="A878" s="2">
        <v>3695</v>
      </c>
      <c r="B878" s="6" t="s">
        <v>9010</v>
      </c>
      <c r="C878" s="2" t="s">
        <v>9011</v>
      </c>
      <c r="D878" s="2" t="s">
        <v>9012</v>
      </c>
      <c r="E878" s="2" t="s">
        <v>8405</v>
      </c>
      <c r="F878" s="2"/>
      <c r="G878" s="2"/>
      <c r="H878" s="2" t="s">
        <v>393</v>
      </c>
      <c r="I878" s="2" t="s">
        <v>8944</v>
      </c>
      <c r="J878" s="2" t="s">
        <v>7586</v>
      </c>
      <c r="K878" s="2"/>
      <c r="L878" s="2" t="s">
        <v>5334</v>
      </c>
      <c r="M878" s="2" t="s">
        <v>9013</v>
      </c>
      <c r="N878" s="2" t="s">
        <v>5325</v>
      </c>
      <c r="O878" s="2" t="s">
        <v>5330</v>
      </c>
      <c r="P878" s="2" t="s">
        <v>9014</v>
      </c>
      <c r="Q878" s="2" t="s">
        <v>5091</v>
      </c>
      <c r="R878" s="2" t="s">
        <v>5134</v>
      </c>
      <c r="S878" s="2"/>
    </row>
    <row r="879" spans="1:19" x14ac:dyDescent="0.2">
      <c r="A879" s="2">
        <v>3696</v>
      </c>
      <c r="B879" s="6" t="s">
        <v>9015</v>
      </c>
      <c r="C879" s="2" t="s">
        <v>9016</v>
      </c>
      <c r="D879" s="2" t="s">
        <v>9017</v>
      </c>
      <c r="E879" s="2" t="s">
        <v>8416</v>
      </c>
      <c r="F879" s="2"/>
      <c r="G879" s="2"/>
      <c r="H879" s="2" t="s">
        <v>393</v>
      </c>
      <c r="I879" s="2" t="s">
        <v>8944</v>
      </c>
      <c r="J879" s="2"/>
      <c r="K879" s="2"/>
      <c r="L879" s="2" t="s">
        <v>5078</v>
      </c>
      <c r="M879" s="2" t="s">
        <v>5079</v>
      </c>
      <c r="N879" s="2" t="s">
        <v>5325</v>
      </c>
      <c r="O879" s="2" t="s">
        <v>5691</v>
      </c>
      <c r="P879" s="2" t="s">
        <v>9018</v>
      </c>
      <c r="Q879" s="2" t="s">
        <v>5091</v>
      </c>
      <c r="R879" s="2" t="s">
        <v>5079</v>
      </c>
      <c r="S879" s="2"/>
    </row>
    <row r="880" spans="1:19" x14ac:dyDescent="0.2">
      <c r="A880" s="2">
        <v>3698</v>
      </c>
      <c r="B880" s="6" t="s">
        <v>9019</v>
      </c>
      <c r="C880" s="2" t="s">
        <v>9020</v>
      </c>
      <c r="D880" s="2" t="s">
        <v>9021</v>
      </c>
      <c r="E880" s="2" t="s">
        <v>8232</v>
      </c>
      <c r="F880" s="2"/>
      <c r="G880" s="2"/>
      <c r="H880" s="2" t="s">
        <v>393</v>
      </c>
      <c r="I880" s="2" t="s">
        <v>8944</v>
      </c>
      <c r="J880" s="2" t="s">
        <v>7586</v>
      </c>
      <c r="K880" s="2"/>
      <c r="L880" s="2" t="s">
        <v>5334</v>
      </c>
      <c r="M880" s="2" t="s">
        <v>5367</v>
      </c>
      <c r="N880" s="2" t="s">
        <v>5325</v>
      </c>
      <c r="O880" s="2" t="s">
        <v>5330</v>
      </c>
      <c r="P880" s="2" t="s">
        <v>9022</v>
      </c>
      <c r="Q880" s="2" t="s">
        <v>5091</v>
      </c>
      <c r="R880" s="2" t="s">
        <v>5367</v>
      </c>
      <c r="S880" s="2"/>
    </row>
    <row r="881" spans="1:19" x14ac:dyDescent="0.2">
      <c r="A881" s="2">
        <v>3699</v>
      </c>
      <c r="B881" s="6" t="s">
        <v>9023</v>
      </c>
      <c r="C881" s="2" t="s">
        <v>9024</v>
      </c>
      <c r="D881" s="2" t="s">
        <v>9025</v>
      </c>
      <c r="E881" s="2" t="s">
        <v>8156</v>
      </c>
      <c r="F881" s="2"/>
      <c r="G881" s="2"/>
      <c r="H881" s="2" t="s">
        <v>393</v>
      </c>
      <c r="I881" s="2" t="s">
        <v>8944</v>
      </c>
      <c r="J881" s="2" t="s">
        <v>7586</v>
      </c>
      <c r="K881" s="2"/>
      <c r="L881" s="2" t="s">
        <v>5334</v>
      </c>
      <c r="M881" s="2" t="s">
        <v>9026</v>
      </c>
      <c r="N881" s="2" t="s">
        <v>5325</v>
      </c>
      <c r="O881" s="2" t="s">
        <v>5330</v>
      </c>
      <c r="P881" s="2" t="s">
        <v>9027</v>
      </c>
      <c r="Q881" s="2" t="s">
        <v>5091</v>
      </c>
      <c r="R881" s="2" t="s">
        <v>6561</v>
      </c>
      <c r="S881" s="2"/>
    </row>
    <row r="882" spans="1:19" x14ac:dyDescent="0.2">
      <c r="A882" s="2">
        <v>3700</v>
      </c>
      <c r="B882" s="6" t="s">
        <v>9028</v>
      </c>
      <c r="C882" s="2" t="s">
        <v>9029</v>
      </c>
      <c r="D882" s="2" t="s">
        <v>9030</v>
      </c>
      <c r="E882" s="2" t="s">
        <v>8156</v>
      </c>
      <c r="F882" s="2"/>
      <c r="G882" s="2"/>
      <c r="H882" s="2" t="s">
        <v>393</v>
      </c>
      <c r="I882" s="2" t="s">
        <v>8944</v>
      </c>
      <c r="J882" s="2" t="s">
        <v>7586</v>
      </c>
      <c r="K882" s="2"/>
      <c r="L882" s="2" t="s">
        <v>5334</v>
      </c>
      <c r="M882" s="2" t="s">
        <v>9031</v>
      </c>
      <c r="N882" s="2" t="s">
        <v>5325</v>
      </c>
      <c r="O882" s="2" t="s">
        <v>5330</v>
      </c>
      <c r="P882" s="2" t="s">
        <v>9032</v>
      </c>
      <c r="Q882" s="2" t="s">
        <v>5091</v>
      </c>
      <c r="R882" s="2" t="s">
        <v>9033</v>
      </c>
      <c r="S882" s="2"/>
    </row>
    <row r="883" spans="1:19" x14ac:dyDescent="0.2">
      <c r="A883" s="2">
        <v>3701</v>
      </c>
      <c r="B883" s="6" t="s">
        <v>9034</v>
      </c>
      <c r="C883" s="2" t="s">
        <v>9035</v>
      </c>
      <c r="D883" s="2" t="s">
        <v>9035</v>
      </c>
      <c r="E883" s="2" t="s">
        <v>8191</v>
      </c>
      <c r="F883" s="2"/>
      <c r="G883" s="2"/>
      <c r="H883" s="2" t="s">
        <v>393</v>
      </c>
      <c r="I883" s="2" t="s">
        <v>8944</v>
      </c>
      <c r="J883" s="2" t="s">
        <v>7586</v>
      </c>
      <c r="K883" s="2"/>
      <c r="L883" s="2" t="s">
        <v>5334</v>
      </c>
      <c r="M883" s="2" t="s">
        <v>9036</v>
      </c>
      <c r="N883" s="2" t="s">
        <v>5325</v>
      </c>
      <c r="O883" s="2" t="s">
        <v>5330</v>
      </c>
      <c r="P883" s="2" t="s">
        <v>9037</v>
      </c>
      <c r="Q883" s="2" t="s">
        <v>5091</v>
      </c>
      <c r="R883" s="2" t="s">
        <v>5107</v>
      </c>
      <c r="S883" s="2"/>
    </row>
    <row r="884" spans="1:19" x14ac:dyDescent="0.2">
      <c r="A884" s="2">
        <v>3702</v>
      </c>
      <c r="B884" s="6" t="s">
        <v>9038</v>
      </c>
      <c r="C884" s="2" t="s">
        <v>9039</v>
      </c>
      <c r="D884" s="2" t="s">
        <v>9040</v>
      </c>
      <c r="E884" s="2" t="s">
        <v>4466</v>
      </c>
      <c r="F884" s="2"/>
      <c r="G884" s="2"/>
      <c r="H884" s="2" t="s">
        <v>393</v>
      </c>
      <c r="I884" s="2" t="s">
        <v>8944</v>
      </c>
      <c r="J884" s="2" t="s">
        <v>7586</v>
      </c>
      <c r="K884" s="2"/>
      <c r="L884" s="2" t="s">
        <v>5334</v>
      </c>
      <c r="M884" s="2" t="s">
        <v>9036</v>
      </c>
      <c r="N884" s="2" t="s">
        <v>5325</v>
      </c>
      <c r="O884" s="2" t="s">
        <v>5330</v>
      </c>
      <c r="P884" s="2" t="s">
        <v>9037</v>
      </c>
      <c r="Q884" s="2" t="s">
        <v>5091</v>
      </c>
      <c r="R884" s="2" t="s">
        <v>5107</v>
      </c>
      <c r="S884" s="2"/>
    </row>
    <row r="885" spans="1:19" x14ac:dyDescent="0.2">
      <c r="A885" s="2">
        <v>3703</v>
      </c>
      <c r="B885" s="6" t="s">
        <v>9041</v>
      </c>
      <c r="C885" s="2" t="s">
        <v>9042</v>
      </c>
      <c r="D885" s="2" t="s">
        <v>9043</v>
      </c>
      <c r="E885" s="2" t="s">
        <v>4466</v>
      </c>
      <c r="F885" s="2"/>
      <c r="G885" s="2"/>
      <c r="H885" s="2" t="s">
        <v>393</v>
      </c>
      <c r="I885" s="2" t="s">
        <v>8944</v>
      </c>
      <c r="J885" s="2" t="s">
        <v>7586</v>
      </c>
      <c r="K885" s="2"/>
      <c r="L885" s="2" t="s">
        <v>5334</v>
      </c>
      <c r="M885" s="2" t="s">
        <v>9036</v>
      </c>
      <c r="N885" s="2" t="s">
        <v>5325</v>
      </c>
      <c r="O885" s="2" t="s">
        <v>5330</v>
      </c>
      <c r="P885" s="2" t="s">
        <v>9044</v>
      </c>
      <c r="Q885" s="2" t="s">
        <v>5091</v>
      </c>
      <c r="R885" s="2" t="s">
        <v>5107</v>
      </c>
      <c r="S885" s="2"/>
    </row>
    <row r="886" spans="1:19" x14ac:dyDescent="0.2">
      <c r="A886" s="2">
        <v>3704</v>
      </c>
      <c r="B886" s="6" t="s">
        <v>9045</v>
      </c>
      <c r="C886" s="2" t="s">
        <v>9046</v>
      </c>
      <c r="D886" s="2" t="s">
        <v>9047</v>
      </c>
      <c r="E886" s="2" t="s">
        <v>8161</v>
      </c>
      <c r="F886" s="2" t="s">
        <v>8161</v>
      </c>
      <c r="G886" s="2" t="s">
        <v>8161</v>
      </c>
      <c r="H886" s="2" t="s">
        <v>393</v>
      </c>
      <c r="I886" s="2" t="s">
        <v>8944</v>
      </c>
      <c r="J886" s="2" t="s">
        <v>7586</v>
      </c>
      <c r="K886" s="2"/>
      <c r="L886" s="2" t="s">
        <v>5078</v>
      </c>
      <c r="M886" s="2" t="s">
        <v>9003</v>
      </c>
      <c r="N886" s="2" t="s">
        <v>5325</v>
      </c>
      <c r="O886" s="2" t="s">
        <v>5362</v>
      </c>
      <c r="P886" s="2" t="s">
        <v>9048</v>
      </c>
      <c r="Q886" s="2" t="s">
        <v>5091</v>
      </c>
      <c r="R886" s="2" t="s">
        <v>6340</v>
      </c>
      <c r="S886" s="2"/>
    </row>
    <row r="887" spans="1:19" x14ac:dyDescent="0.2">
      <c r="A887" s="2">
        <v>3705</v>
      </c>
      <c r="B887" s="6" t="s">
        <v>9049</v>
      </c>
      <c r="C887" s="2" t="s">
        <v>9050</v>
      </c>
      <c r="D887" s="2" t="s">
        <v>9051</v>
      </c>
      <c r="E887" s="2" t="s">
        <v>9052</v>
      </c>
      <c r="F887" s="2" t="s">
        <v>8161</v>
      </c>
      <c r="G887" s="2" t="s">
        <v>8161</v>
      </c>
      <c r="H887" s="2" t="s">
        <v>393</v>
      </c>
      <c r="I887" s="2" t="s">
        <v>8944</v>
      </c>
      <c r="J887" s="2" t="s">
        <v>7586</v>
      </c>
      <c r="K887" s="2"/>
      <c r="L887" s="2" t="s">
        <v>5334</v>
      </c>
      <c r="M887" s="2" t="s">
        <v>9003</v>
      </c>
      <c r="N887" s="2" t="s">
        <v>5325</v>
      </c>
      <c r="O887" s="2" t="s">
        <v>5330</v>
      </c>
      <c r="P887" s="2" t="s">
        <v>9053</v>
      </c>
      <c r="Q887" s="2" t="s">
        <v>5091</v>
      </c>
      <c r="R887" s="2" t="s">
        <v>6340</v>
      </c>
      <c r="S887" s="2"/>
    </row>
    <row r="888" spans="1:19" x14ac:dyDescent="0.2">
      <c r="A888" s="2">
        <v>3706</v>
      </c>
      <c r="B888" s="6" t="s">
        <v>9054</v>
      </c>
      <c r="C888" s="2" t="s">
        <v>9055</v>
      </c>
      <c r="D888" s="2" t="s">
        <v>9056</v>
      </c>
      <c r="E888" s="2" t="s">
        <v>8280</v>
      </c>
      <c r="F888" s="2" t="s">
        <v>9057</v>
      </c>
      <c r="G888" s="2" t="s">
        <v>9057</v>
      </c>
      <c r="H888" s="2" t="s">
        <v>393</v>
      </c>
      <c r="I888" s="2" t="s">
        <v>8944</v>
      </c>
      <c r="J888" s="2" t="s">
        <v>7586</v>
      </c>
      <c r="K888" s="2"/>
      <c r="L888" s="2" t="s">
        <v>5334</v>
      </c>
      <c r="M888" s="2" t="s">
        <v>9058</v>
      </c>
      <c r="N888" s="2" t="s">
        <v>5325</v>
      </c>
      <c r="O888" s="2" t="s">
        <v>5330</v>
      </c>
      <c r="P888" s="2" t="s">
        <v>9059</v>
      </c>
      <c r="Q888" s="2" t="s">
        <v>5091</v>
      </c>
      <c r="R888" s="2" t="s">
        <v>5107</v>
      </c>
      <c r="S888" s="2"/>
    </row>
    <row r="889" spans="1:19" x14ac:dyDescent="0.2">
      <c r="A889" s="2">
        <v>3707</v>
      </c>
      <c r="B889" s="6" t="s">
        <v>9060</v>
      </c>
      <c r="C889" s="2" t="s">
        <v>9061</v>
      </c>
      <c r="D889" s="2" t="s">
        <v>9062</v>
      </c>
      <c r="E889" s="2" t="s">
        <v>8300</v>
      </c>
      <c r="F889" s="2" t="s">
        <v>8300</v>
      </c>
      <c r="G889" s="2" t="s">
        <v>8300</v>
      </c>
      <c r="H889" s="2" t="s">
        <v>393</v>
      </c>
      <c r="I889" s="2" t="s">
        <v>8944</v>
      </c>
      <c r="J889" s="2" t="s">
        <v>7586</v>
      </c>
      <c r="K889" s="2"/>
      <c r="L889" s="2" t="s">
        <v>5334</v>
      </c>
      <c r="M889" s="2" t="s">
        <v>9003</v>
      </c>
      <c r="N889" s="2" t="s">
        <v>5325</v>
      </c>
      <c r="O889" s="2" t="s">
        <v>5330</v>
      </c>
      <c r="P889" s="2" t="s">
        <v>9063</v>
      </c>
      <c r="Q889" s="2" t="s">
        <v>5091</v>
      </c>
      <c r="R889" s="2" t="s">
        <v>6340</v>
      </c>
      <c r="S889" s="2"/>
    </row>
    <row r="890" spans="1:19" ht="409.6" x14ac:dyDescent="0.2">
      <c r="A890" s="2">
        <v>3708</v>
      </c>
      <c r="B890" s="6" t="s">
        <v>9064</v>
      </c>
      <c r="C890" s="2" t="s">
        <v>9065</v>
      </c>
      <c r="D890" s="18" t="s">
        <v>9066</v>
      </c>
      <c r="E890" s="2" t="s">
        <v>8300</v>
      </c>
      <c r="F890" s="2"/>
      <c r="G890" s="2"/>
      <c r="H890" s="2" t="s">
        <v>393</v>
      </c>
      <c r="I890" s="2" t="s">
        <v>8944</v>
      </c>
      <c r="J890" s="2" t="s">
        <v>7586</v>
      </c>
      <c r="K890" s="2"/>
      <c r="L890" s="2" t="s">
        <v>5334</v>
      </c>
      <c r="M890" s="2" t="s">
        <v>8816</v>
      </c>
      <c r="N890" s="2" t="s">
        <v>5325</v>
      </c>
      <c r="O890" s="2" t="s">
        <v>5330</v>
      </c>
      <c r="P890" s="2" t="s">
        <v>9067</v>
      </c>
      <c r="Q890" s="2" t="s">
        <v>5091</v>
      </c>
      <c r="R890" s="2" t="s">
        <v>9068</v>
      </c>
      <c r="S890" s="2"/>
    </row>
    <row r="891" spans="1:19" ht="409.6" x14ac:dyDescent="0.2">
      <c r="A891" s="2">
        <v>3709</v>
      </c>
      <c r="B891" s="6" t="s">
        <v>9069</v>
      </c>
      <c r="C891" s="2" t="s">
        <v>9070</v>
      </c>
      <c r="D891" s="18" t="s">
        <v>9071</v>
      </c>
      <c r="E891" s="2" t="s">
        <v>8292</v>
      </c>
      <c r="F891" s="2"/>
      <c r="G891" s="2"/>
      <c r="H891" s="2" t="s">
        <v>393</v>
      </c>
      <c r="I891" s="2" t="s">
        <v>8944</v>
      </c>
      <c r="J891" s="2" t="s">
        <v>7586</v>
      </c>
      <c r="K891" s="2"/>
      <c r="L891" s="2" t="s">
        <v>5334</v>
      </c>
      <c r="M891" s="2" t="s">
        <v>8816</v>
      </c>
      <c r="N891" s="2" t="s">
        <v>5325</v>
      </c>
      <c r="O891" s="2" t="s">
        <v>5330</v>
      </c>
      <c r="P891" s="2" t="s">
        <v>9072</v>
      </c>
      <c r="Q891" s="2" t="s">
        <v>9073</v>
      </c>
      <c r="R891" s="2" t="s">
        <v>9068</v>
      </c>
      <c r="S891" s="2"/>
    </row>
    <row r="892" spans="1:19" x14ac:dyDescent="0.2">
      <c r="A892" s="2">
        <v>3710</v>
      </c>
      <c r="B892" s="6" t="s">
        <v>9074</v>
      </c>
      <c r="C892" s="2" t="s">
        <v>9075</v>
      </c>
      <c r="D892" s="2" t="s">
        <v>9076</v>
      </c>
      <c r="E892" s="2" t="s">
        <v>8332</v>
      </c>
      <c r="F892" s="2"/>
      <c r="G892" s="2"/>
      <c r="H892" s="2" t="s">
        <v>393</v>
      </c>
      <c r="I892" s="2" t="s">
        <v>8944</v>
      </c>
      <c r="J892" s="2" t="s">
        <v>7586</v>
      </c>
      <c r="K892" s="2"/>
      <c r="L892" s="2" t="s">
        <v>5334</v>
      </c>
      <c r="M892" s="2"/>
      <c r="N892" s="2" t="s">
        <v>5325</v>
      </c>
      <c r="O892" s="2" t="s">
        <v>5330</v>
      </c>
      <c r="P892" s="2" t="s">
        <v>9077</v>
      </c>
      <c r="Q892" s="2" t="s">
        <v>5091</v>
      </c>
      <c r="R892" s="2"/>
      <c r="S892" s="2"/>
    </row>
    <row r="893" spans="1:19" x14ac:dyDescent="0.2">
      <c r="A893" s="2">
        <v>3711</v>
      </c>
      <c r="B893" s="6" t="s">
        <v>9078</v>
      </c>
      <c r="C893" s="2" t="s">
        <v>9079</v>
      </c>
      <c r="D893" s="2" t="s">
        <v>9080</v>
      </c>
      <c r="E893" s="2" t="s">
        <v>8754</v>
      </c>
      <c r="F893" s="2" t="s">
        <v>9081</v>
      </c>
      <c r="G893" s="2" t="s">
        <v>8754</v>
      </c>
      <c r="H893" s="2" t="s">
        <v>393</v>
      </c>
      <c r="I893" s="2" t="s">
        <v>9082</v>
      </c>
      <c r="J893" s="2"/>
      <c r="K893" s="2" t="s">
        <v>9083</v>
      </c>
      <c r="L893" s="2" t="s">
        <v>5078</v>
      </c>
      <c r="M893" s="2" t="s">
        <v>5079</v>
      </c>
      <c r="N893" s="2" t="s">
        <v>5325</v>
      </c>
      <c r="O893" s="2" t="s">
        <v>5362</v>
      </c>
      <c r="P893" s="2" t="s">
        <v>9084</v>
      </c>
      <c r="Q893" s="2" t="s">
        <v>9085</v>
      </c>
      <c r="R893" s="2" t="s">
        <v>7298</v>
      </c>
      <c r="S893" s="2"/>
    </row>
    <row r="894" spans="1:19" x14ac:dyDescent="0.2">
      <c r="A894" s="2">
        <v>3712</v>
      </c>
      <c r="B894" s="6" t="s">
        <v>9086</v>
      </c>
      <c r="C894" s="2" t="s">
        <v>9087</v>
      </c>
      <c r="D894" s="2" t="s">
        <v>9088</v>
      </c>
      <c r="E894" s="2" t="s">
        <v>9089</v>
      </c>
      <c r="F894" s="2" t="s">
        <v>9089</v>
      </c>
      <c r="G894" s="2" t="s">
        <v>9089</v>
      </c>
      <c r="H894" s="2" t="s">
        <v>393</v>
      </c>
      <c r="I894" s="2" t="s">
        <v>9090</v>
      </c>
      <c r="J894" s="2" t="s">
        <v>1324</v>
      </c>
      <c r="K894" s="2"/>
      <c r="L894" s="2" t="s">
        <v>5078</v>
      </c>
      <c r="M894" s="2" t="s">
        <v>5558</v>
      </c>
      <c r="N894" s="2" t="s">
        <v>5325</v>
      </c>
      <c r="O894" s="2" t="s">
        <v>5330</v>
      </c>
      <c r="P894" s="2" t="s">
        <v>9091</v>
      </c>
      <c r="Q894" s="2" t="s">
        <v>5091</v>
      </c>
      <c r="R894" s="2" t="s">
        <v>9092</v>
      </c>
      <c r="S894" s="2"/>
    </row>
    <row r="895" spans="1:19" x14ac:dyDescent="0.2">
      <c r="A895" s="2">
        <v>3714</v>
      </c>
      <c r="B895" s="6" t="s">
        <v>9093</v>
      </c>
      <c r="C895" s="2" t="s">
        <v>9094</v>
      </c>
      <c r="D895" s="2" t="s">
        <v>9095</v>
      </c>
      <c r="E895" s="2" t="s">
        <v>8161</v>
      </c>
      <c r="F895" s="2" t="s">
        <v>3567</v>
      </c>
      <c r="G895" s="2" t="s">
        <v>4466</v>
      </c>
      <c r="H895" s="2" t="s">
        <v>393</v>
      </c>
      <c r="I895" s="2" t="s">
        <v>9096</v>
      </c>
      <c r="J895" s="2"/>
      <c r="K895" s="6" t="s">
        <v>9097</v>
      </c>
      <c r="L895" s="2" t="s">
        <v>5334</v>
      </c>
      <c r="M895" s="2" t="s">
        <v>5079</v>
      </c>
      <c r="N895" s="2" t="s">
        <v>5325</v>
      </c>
      <c r="O895" s="2" t="s">
        <v>5330</v>
      </c>
      <c r="P895" s="2" t="s">
        <v>9098</v>
      </c>
      <c r="Q895" s="2" t="s">
        <v>5091</v>
      </c>
      <c r="R895" s="2" t="s">
        <v>9099</v>
      </c>
      <c r="S895" s="2"/>
    </row>
    <row r="896" spans="1:19" x14ac:dyDescent="0.2">
      <c r="A896" s="2">
        <v>3717</v>
      </c>
      <c r="B896" s="6" t="s">
        <v>9100</v>
      </c>
      <c r="C896" s="2" t="s">
        <v>9101</v>
      </c>
      <c r="D896" s="2"/>
      <c r="E896" s="2" t="s">
        <v>8232</v>
      </c>
      <c r="F896" s="2"/>
      <c r="G896" s="2"/>
      <c r="H896" s="2" t="s">
        <v>393</v>
      </c>
      <c r="I896" s="2" t="s">
        <v>9102</v>
      </c>
      <c r="J896" s="2"/>
      <c r="K896" s="2"/>
      <c r="L896" s="2" t="s">
        <v>5078</v>
      </c>
      <c r="M896" s="2" t="s">
        <v>5079</v>
      </c>
      <c r="N896" s="2" t="s">
        <v>5325</v>
      </c>
      <c r="O896" s="2" t="s">
        <v>6047</v>
      </c>
      <c r="P896" s="2" t="s">
        <v>9103</v>
      </c>
      <c r="Q896" s="2" t="s">
        <v>5091</v>
      </c>
      <c r="R896" s="2" t="s">
        <v>5079</v>
      </c>
      <c r="S896" s="2"/>
    </row>
    <row r="897" spans="1:19" x14ac:dyDescent="0.2">
      <c r="A897" s="2">
        <v>3718</v>
      </c>
      <c r="B897" s="6" t="s">
        <v>9104</v>
      </c>
      <c r="C897" s="2" t="s">
        <v>9105</v>
      </c>
      <c r="D897" s="2" t="s">
        <v>9106</v>
      </c>
      <c r="E897" s="2" t="s">
        <v>8024</v>
      </c>
      <c r="F897" s="2" t="s">
        <v>588</v>
      </c>
      <c r="G897" s="2" t="s">
        <v>588</v>
      </c>
      <c r="H897" s="2" t="s">
        <v>393</v>
      </c>
      <c r="I897" s="2" t="s">
        <v>9107</v>
      </c>
      <c r="J897" s="2"/>
      <c r="K897" s="2"/>
      <c r="L897" s="2" t="s">
        <v>5078</v>
      </c>
      <c r="M897" s="2" t="s">
        <v>9108</v>
      </c>
      <c r="N897" s="2" t="s">
        <v>5325</v>
      </c>
      <c r="O897" s="2" t="s">
        <v>5330</v>
      </c>
      <c r="P897" s="2" t="s">
        <v>9109</v>
      </c>
      <c r="Q897" s="2" t="s">
        <v>5091</v>
      </c>
      <c r="R897" s="2" t="s">
        <v>9110</v>
      </c>
      <c r="S897" s="2"/>
    </row>
    <row r="898" spans="1:19" x14ac:dyDescent="0.2">
      <c r="A898" s="2">
        <v>3719</v>
      </c>
      <c r="B898" s="6" t="s">
        <v>9111</v>
      </c>
      <c r="C898" s="2" t="s">
        <v>9112</v>
      </c>
      <c r="D898" s="2" t="s">
        <v>9113</v>
      </c>
      <c r="E898" s="2" t="s">
        <v>9114</v>
      </c>
      <c r="F898" s="2"/>
      <c r="G898" s="2"/>
      <c r="H898" s="2" t="s">
        <v>393</v>
      </c>
      <c r="I898" s="2" t="s">
        <v>453</v>
      </c>
      <c r="J898" s="2"/>
      <c r="K898" s="2"/>
      <c r="L898" s="2" t="s">
        <v>5334</v>
      </c>
      <c r="M898" s="2" t="s">
        <v>5079</v>
      </c>
      <c r="N898" s="2" t="s">
        <v>5325</v>
      </c>
      <c r="O898" s="2" t="s">
        <v>5081</v>
      </c>
      <c r="P898" s="2" t="s">
        <v>9115</v>
      </c>
      <c r="Q898" s="2" t="s">
        <v>5091</v>
      </c>
      <c r="R898" s="2"/>
      <c r="S898" s="2"/>
    </row>
    <row r="899" spans="1:19" x14ac:dyDescent="0.2">
      <c r="A899" s="2">
        <v>3720</v>
      </c>
      <c r="B899" s="6" t="s">
        <v>9116</v>
      </c>
      <c r="C899" s="2" t="s">
        <v>9117</v>
      </c>
      <c r="D899" s="2" t="s">
        <v>9118</v>
      </c>
      <c r="E899" s="2" t="s">
        <v>1192</v>
      </c>
      <c r="F899" s="2"/>
      <c r="G899" s="2"/>
      <c r="H899" s="2" t="s">
        <v>393</v>
      </c>
      <c r="I899" s="2" t="s">
        <v>453</v>
      </c>
      <c r="J899" s="2"/>
      <c r="K899" s="2"/>
      <c r="L899" s="2" t="s">
        <v>5078</v>
      </c>
      <c r="M899" s="2" t="s">
        <v>5079</v>
      </c>
      <c r="N899" s="2" t="s">
        <v>5325</v>
      </c>
      <c r="O899" s="2" t="s">
        <v>5330</v>
      </c>
      <c r="P899" s="2" t="s">
        <v>9119</v>
      </c>
      <c r="Q899" s="2" t="s">
        <v>5091</v>
      </c>
      <c r="R899" s="2" t="s">
        <v>5079</v>
      </c>
      <c r="S899" s="2"/>
    </row>
    <row r="900" spans="1:19" x14ac:dyDescent="0.2">
      <c r="A900" s="2">
        <v>3721</v>
      </c>
      <c r="B900" s="6" t="s">
        <v>9120</v>
      </c>
      <c r="C900" s="2" t="s">
        <v>9121</v>
      </c>
      <c r="D900" s="2" t="s">
        <v>9122</v>
      </c>
      <c r="E900" s="2" t="s">
        <v>1192</v>
      </c>
      <c r="F900" s="2"/>
      <c r="G900" s="2"/>
      <c r="H900" s="2" t="s">
        <v>393</v>
      </c>
      <c r="I900" s="2" t="s">
        <v>453</v>
      </c>
      <c r="J900" s="2"/>
      <c r="K900" s="2"/>
      <c r="L900" s="2" t="s">
        <v>5078</v>
      </c>
      <c r="M900" s="2" t="s">
        <v>5324</v>
      </c>
      <c r="N900" s="2" t="s">
        <v>5325</v>
      </c>
      <c r="O900" s="2" t="s">
        <v>5330</v>
      </c>
      <c r="P900" s="2" t="s">
        <v>9123</v>
      </c>
      <c r="Q900" s="2" t="s">
        <v>5091</v>
      </c>
      <c r="R900" s="2" t="s">
        <v>5324</v>
      </c>
      <c r="S900" s="2"/>
    </row>
    <row r="901" spans="1:19" x14ac:dyDescent="0.2">
      <c r="A901" s="2">
        <v>3722</v>
      </c>
      <c r="B901" s="6" t="s">
        <v>9124</v>
      </c>
      <c r="C901" s="2" t="s">
        <v>9125</v>
      </c>
      <c r="D901" s="2" t="s">
        <v>9126</v>
      </c>
      <c r="E901" s="2" t="s">
        <v>1338</v>
      </c>
      <c r="F901" s="2"/>
      <c r="G901" s="2"/>
      <c r="H901" s="2" t="s">
        <v>393</v>
      </c>
      <c r="I901" s="2" t="s">
        <v>453</v>
      </c>
      <c r="J901" s="2"/>
      <c r="K901" s="2"/>
      <c r="L901" s="2" t="s">
        <v>5078</v>
      </c>
      <c r="M901" s="2" t="s">
        <v>5088</v>
      </c>
      <c r="N901" s="2" t="s">
        <v>5325</v>
      </c>
      <c r="O901" s="2" t="s">
        <v>5081</v>
      </c>
      <c r="P901" s="2" t="s">
        <v>9127</v>
      </c>
      <c r="Q901" s="2" t="s">
        <v>5091</v>
      </c>
      <c r="R901" s="2" t="s">
        <v>5088</v>
      </c>
      <c r="S901" s="2"/>
    </row>
    <row r="902" spans="1:19" x14ac:dyDescent="0.2">
      <c r="A902" s="2">
        <v>3724</v>
      </c>
      <c r="B902" s="6" t="s">
        <v>9128</v>
      </c>
      <c r="C902" s="2" t="s">
        <v>9129</v>
      </c>
      <c r="D902" s="2" t="s">
        <v>9130</v>
      </c>
      <c r="E902" s="2" t="s">
        <v>101</v>
      </c>
      <c r="F902" s="2" t="s">
        <v>9131</v>
      </c>
      <c r="G902" s="2" t="s">
        <v>9131</v>
      </c>
      <c r="H902" s="2" t="s">
        <v>393</v>
      </c>
      <c r="I902" s="2" t="s">
        <v>453</v>
      </c>
      <c r="J902" s="2"/>
      <c r="K902" s="2"/>
      <c r="L902" s="2" t="s">
        <v>5334</v>
      </c>
      <c r="M902" s="2" t="s">
        <v>9132</v>
      </c>
      <c r="N902" s="2" t="s">
        <v>5325</v>
      </c>
      <c r="O902" s="2" t="s">
        <v>5392</v>
      </c>
      <c r="P902" s="2" t="s">
        <v>9133</v>
      </c>
      <c r="Q902" s="2" t="s">
        <v>5091</v>
      </c>
      <c r="R902" s="2" t="s">
        <v>5367</v>
      </c>
      <c r="S902" s="2"/>
    </row>
    <row r="903" spans="1:19" x14ac:dyDescent="0.2">
      <c r="A903" s="2">
        <v>3725</v>
      </c>
      <c r="B903" s="6" t="s">
        <v>9134</v>
      </c>
      <c r="C903" s="2" t="s">
        <v>9135</v>
      </c>
      <c r="D903" s="2" t="s">
        <v>9136</v>
      </c>
      <c r="E903" s="2" t="s">
        <v>644</v>
      </c>
      <c r="F903" s="2" t="s">
        <v>644</v>
      </c>
      <c r="G903" s="2" t="s">
        <v>644</v>
      </c>
      <c r="H903" s="2" t="s">
        <v>393</v>
      </c>
      <c r="I903" s="2" t="s">
        <v>453</v>
      </c>
      <c r="J903" s="2"/>
      <c r="K903" s="2"/>
      <c r="L903" s="2" t="s">
        <v>5078</v>
      </c>
      <c r="M903" s="2" t="s">
        <v>9137</v>
      </c>
      <c r="N903" s="2" t="s">
        <v>5325</v>
      </c>
      <c r="O903" s="2" t="s">
        <v>5362</v>
      </c>
      <c r="P903" s="2" t="s">
        <v>9138</v>
      </c>
      <c r="Q903" s="2" t="s">
        <v>5091</v>
      </c>
      <c r="R903" s="2" t="s">
        <v>5107</v>
      </c>
      <c r="S903" s="2"/>
    </row>
    <row r="904" spans="1:19" x14ac:dyDescent="0.2">
      <c r="A904" s="2">
        <v>3726</v>
      </c>
      <c r="B904" s="6" t="s">
        <v>9139</v>
      </c>
      <c r="C904" s="2" t="s">
        <v>9140</v>
      </c>
      <c r="D904" s="2" t="s">
        <v>9141</v>
      </c>
      <c r="E904" s="2" t="s">
        <v>2452</v>
      </c>
      <c r="F904" s="2"/>
      <c r="G904" s="2"/>
      <c r="H904" s="2" t="s">
        <v>393</v>
      </c>
      <c r="I904" s="2" t="s">
        <v>453</v>
      </c>
      <c r="J904" s="2"/>
      <c r="K904" s="2"/>
      <c r="L904" s="2" t="s">
        <v>5078</v>
      </c>
      <c r="M904" s="2" t="s">
        <v>9142</v>
      </c>
      <c r="N904" s="2" t="s">
        <v>5325</v>
      </c>
      <c r="O904" s="2" t="s">
        <v>5330</v>
      </c>
      <c r="P904" s="2" t="s">
        <v>9143</v>
      </c>
      <c r="Q904" s="2" t="s">
        <v>5091</v>
      </c>
      <c r="R904" s="2" t="s">
        <v>8478</v>
      </c>
      <c r="S904" s="2"/>
    </row>
    <row r="905" spans="1:19" x14ac:dyDescent="0.2">
      <c r="A905" s="2">
        <v>3727</v>
      </c>
      <c r="B905" s="6" t="s">
        <v>9144</v>
      </c>
      <c r="C905" s="2" t="s">
        <v>9145</v>
      </c>
      <c r="D905" s="2" t="s">
        <v>9146</v>
      </c>
      <c r="E905" s="2" t="s">
        <v>9147</v>
      </c>
      <c r="F905" s="2"/>
      <c r="G905" s="2"/>
      <c r="H905" s="2" t="s">
        <v>393</v>
      </c>
      <c r="I905" s="2" t="s">
        <v>453</v>
      </c>
      <c r="J905" s="2" t="s">
        <v>7586</v>
      </c>
      <c r="K905" s="2"/>
      <c r="L905" s="2" t="s">
        <v>5078</v>
      </c>
      <c r="M905" s="2" t="s">
        <v>5079</v>
      </c>
      <c r="N905" s="2" t="s">
        <v>5325</v>
      </c>
      <c r="O905" s="2" t="s">
        <v>5326</v>
      </c>
      <c r="P905" s="2" t="s">
        <v>9148</v>
      </c>
      <c r="Q905" s="2" t="s">
        <v>5091</v>
      </c>
      <c r="R905" s="2" t="s">
        <v>5079</v>
      </c>
      <c r="S905" s="2"/>
    </row>
    <row r="906" spans="1:19" x14ac:dyDescent="0.2">
      <c r="A906" s="2">
        <v>3728</v>
      </c>
      <c r="B906" s="6" t="s">
        <v>9149</v>
      </c>
      <c r="C906" s="2" t="s">
        <v>9150</v>
      </c>
      <c r="D906" s="2" t="s">
        <v>9151</v>
      </c>
      <c r="E906" s="2" t="s">
        <v>8251</v>
      </c>
      <c r="F906" s="2"/>
      <c r="G906" s="2"/>
      <c r="H906" s="2" t="s">
        <v>393</v>
      </c>
      <c r="I906" s="2" t="s">
        <v>453</v>
      </c>
      <c r="J906" s="2" t="s">
        <v>6175</v>
      </c>
      <c r="K906" s="2"/>
      <c r="L906" s="2" t="s">
        <v>5345</v>
      </c>
      <c r="M906" s="2" t="s">
        <v>5079</v>
      </c>
      <c r="N906" s="2" t="s">
        <v>5325</v>
      </c>
      <c r="O906" s="2" t="s">
        <v>6176</v>
      </c>
      <c r="P906" s="2" t="s">
        <v>9152</v>
      </c>
      <c r="Q906" s="2" t="s">
        <v>5091</v>
      </c>
      <c r="R906" s="2" t="s">
        <v>5079</v>
      </c>
      <c r="S906" s="2"/>
    </row>
    <row r="907" spans="1:19" x14ac:dyDescent="0.2">
      <c r="A907" s="2">
        <v>3729</v>
      </c>
      <c r="B907" s="6" t="s">
        <v>9153</v>
      </c>
      <c r="C907" s="2" t="s">
        <v>9154</v>
      </c>
      <c r="D907" s="2" t="s">
        <v>9155</v>
      </c>
      <c r="E907" s="2" t="s">
        <v>8172</v>
      </c>
      <c r="F907" s="2" t="s">
        <v>1057</v>
      </c>
      <c r="G907" s="2" t="s">
        <v>1057</v>
      </c>
      <c r="H907" s="2" t="s">
        <v>393</v>
      </c>
      <c r="I907" s="2" t="s">
        <v>453</v>
      </c>
      <c r="J907" s="2"/>
      <c r="K907" s="2"/>
      <c r="L907" s="2" t="s">
        <v>5078</v>
      </c>
      <c r="M907" s="2" t="s">
        <v>5107</v>
      </c>
      <c r="N907" s="2" t="s">
        <v>5325</v>
      </c>
      <c r="O907" s="2" t="s">
        <v>5335</v>
      </c>
      <c r="P907" s="2" t="s">
        <v>9156</v>
      </c>
      <c r="Q907" s="2" t="s">
        <v>5091</v>
      </c>
      <c r="R907" s="2" t="s">
        <v>5107</v>
      </c>
      <c r="S907" s="2"/>
    </row>
    <row r="908" spans="1:19" x14ac:dyDescent="0.2">
      <c r="A908" s="2">
        <v>3730</v>
      </c>
      <c r="B908" s="6" t="s">
        <v>9157</v>
      </c>
      <c r="C908" s="2" t="s">
        <v>9158</v>
      </c>
      <c r="D908" s="2" t="s">
        <v>9159</v>
      </c>
      <c r="E908" s="2" t="s">
        <v>8156</v>
      </c>
      <c r="F908" s="2" t="s">
        <v>9160</v>
      </c>
      <c r="G908" s="2" t="s">
        <v>9160</v>
      </c>
      <c r="H908" s="2" t="s">
        <v>393</v>
      </c>
      <c r="I908" s="2" t="s">
        <v>453</v>
      </c>
      <c r="J908" s="2"/>
      <c r="K908" s="2"/>
      <c r="L908" s="2" t="s">
        <v>5345</v>
      </c>
      <c r="M908" s="2" t="s">
        <v>9161</v>
      </c>
      <c r="N908" s="2" t="s">
        <v>5325</v>
      </c>
      <c r="O908" s="2" t="s">
        <v>5330</v>
      </c>
      <c r="P908" s="2" t="s">
        <v>9162</v>
      </c>
      <c r="Q908" s="2" t="s">
        <v>5091</v>
      </c>
      <c r="R908" s="2" t="s">
        <v>5352</v>
      </c>
      <c r="S908" s="2"/>
    </row>
    <row r="909" spans="1:19" x14ac:dyDescent="0.2">
      <c r="A909" s="2">
        <v>3731</v>
      </c>
      <c r="B909" s="6" t="s">
        <v>9163</v>
      </c>
      <c r="C909" s="2" t="s">
        <v>9164</v>
      </c>
      <c r="D909" s="2" t="s">
        <v>9165</v>
      </c>
      <c r="E909" s="2" t="s">
        <v>9166</v>
      </c>
      <c r="F909" s="2"/>
      <c r="G909" s="2"/>
      <c r="H909" s="2" t="s">
        <v>393</v>
      </c>
      <c r="I909" s="2" t="s">
        <v>453</v>
      </c>
      <c r="J909" s="2"/>
      <c r="K909" s="2"/>
      <c r="L909" s="2" t="s">
        <v>5078</v>
      </c>
      <c r="M909" s="2" t="s">
        <v>5088</v>
      </c>
      <c r="N909" s="2" t="s">
        <v>5325</v>
      </c>
      <c r="O909" s="2" t="s">
        <v>5330</v>
      </c>
      <c r="P909" s="2" t="s">
        <v>9167</v>
      </c>
      <c r="Q909" s="2" t="s">
        <v>5091</v>
      </c>
      <c r="R909" s="2" t="s">
        <v>5088</v>
      </c>
      <c r="S909" s="2"/>
    </row>
    <row r="910" spans="1:19" x14ac:dyDescent="0.2">
      <c r="A910" s="2">
        <v>1576</v>
      </c>
      <c r="B910" s="6" t="s">
        <v>9168</v>
      </c>
      <c r="C910" s="2" t="s">
        <v>9169</v>
      </c>
      <c r="D910" s="2" t="s">
        <v>9170</v>
      </c>
      <c r="E910" s="2" t="s">
        <v>927</v>
      </c>
      <c r="F910" s="2"/>
      <c r="G910" s="2"/>
      <c r="H910" s="2" t="s">
        <v>9171</v>
      </c>
      <c r="I910" s="2" t="s">
        <v>9172</v>
      </c>
      <c r="J910" s="2"/>
      <c r="K910" s="2"/>
      <c r="L910" s="2" t="s">
        <v>5078</v>
      </c>
      <c r="M910" s="2" t="s">
        <v>5297</v>
      </c>
      <c r="N910" s="2" t="s">
        <v>5080</v>
      </c>
      <c r="O910" s="2" t="s">
        <v>5081</v>
      </c>
      <c r="P910" s="2" t="s">
        <v>9173</v>
      </c>
      <c r="Q910" s="2"/>
      <c r="R910" s="2" t="s">
        <v>5297</v>
      </c>
      <c r="S910" s="2"/>
    </row>
    <row r="911" spans="1:19" x14ac:dyDescent="0.2">
      <c r="A911" s="2">
        <v>1563</v>
      </c>
      <c r="B911" s="6" t="s">
        <v>9174</v>
      </c>
      <c r="C911" s="2" t="s">
        <v>9175</v>
      </c>
      <c r="D911" s="2" t="s">
        <v>9176</v>
      </c>
      <c r="E911" s="2" t="s">
        <v>3019</v>
      </c>
      <c r="F911" s="2" t="s">
        <v>2608</v>
      </c>
      <c r="G911" s="2" t="s">
        <v>2608</v>
      </c>
      <c r="H911" s="2" t="s">
        <v>173</v>
      </c>
      <c r="I911" s="2" t="s">
        <v>9177</v>
      </c>
      <c r="J911" s="2"/>
      <c r="K911" s="2"/>
      <c r="L911" s="2" t="s">
        <v>5078</v>
      </c>
      <c r="M911" s="2" t="s">
        <v>9178</v>
      </c>
      <c r="N911" s="2" t="s">
        <v>5108</v>
      </c>
      <c r="O911" s="2" t="s">
        <v>5326</v>
      </c>
      <c r="P911" s="2" t="s">
        <v>9179</v>
      </c>
      <c r="Q911" s="2" t="s">
        <v>5268</v>
      </c>
      <c r="R911" s="2" t="s">
        <v>5178</v>
      </c>
      <c r="S911" s="2"/>
    </row>
    <row r="912" spans="1:19" x14ac:dyDescent="0.2">
      <c r="A912" s="2">
        <v>1261</v>
      </c>
      <c r="B912" s="6" t="s">
        <v>9180</v>
      </c>
      <c r="C912" s="2" t="s">
        <v>9181</v>
      </c>
      <c r="D912" s="2" t="s">
        <v>9182</v>
      </c>
      <c r="E912" s="2" t="s">
        <v>9183</v>
      </c>
      <c r="F912" s="2" t="s">
        <v>2608</v>
      </c>
      <c r="G912" s="2" t="s">
        <v>9183</v>
      </c>
      <c r="H912" s="2" t="s">
        <v>9184</v>
      </c>
      <c r="I912" s="2" t="s">
        <v>9184</v>
      </c>
      <c r="J912" s="2"/>
      <c r="K912" s="2"/>
      <c r="L912" s="2" t="s">
        <v>5078</v>
      </c>
      <c r="M912" s="2" t="s">
        <v>5079</v>
      </c>
      <c r="N912" s="2" t="s">
        <v>5108</v>
      </c>
      <c r="O912" s="2" t="s">
        <v>5081</v>
      </c>
      <c r="P912" s="2" t="s">
        <v>9185</v>
      </c>
      <c r="Q912" s="2" t="s">
        <v>5268</v>
      </c>
      <c r="R912" s="2" t="s">
        <v>5079</v>
      </c>
      <c r="S912" s="2"/>
    </row>
  </sheetData>
  <hyperlinks>
    <hyperlink ref="B2" r:id="rId1" xr:uid="{7BD7D655-E70E-8541-9E1A-6A9DCD7F0AB9}"/>
    <hyperlink ref="B3" r:id="rId2" xr:uid="{7BD85C0E-3919-C84C-B867-303C028E2005}"/>
    <hyperlink ref="B4" r:id="rId3" xr:uid="{81AA4E6F-4A0C-0A4A-8DE7-0B7578CD37F6}"/>
    <hyperlink ref="B5" r:id="rId4" xr:uid="{F333CCA1-A768-E148-A99F-68223A92D1FF}"/>
    <hyperlink ref="B6" r:id="rId5" xr:uid="{C215976E-EAB0-F148-90E8-C4E42510205D}"/>
    <hyperlink ref="B7" r:id="rId6" xr:uid="{A81E6981-6D74-1B4D-B25A-BDFA73B690E9}"/>
    <hyperlink ref="B8" r:id="rId7" xr:uid="{02E30C90-1B9B-F642-98B9-AE60DBB270D6}"/>
    <hyperlink ref="B9" r:id="rId8" xr:uid="{E1A09B16-6911-E240-915A-600AE4E606B7}"/>
    <hyperlink ref="B10" r:id="rId9" xr:uid="{3B5CD491-8039-034D-A02A-284C2F92ABA8}"/>
    <hyperlink ref="B11" r:id="rId10" xr:uid="{E4CBD523-2467-B945-8B81-1F5F3E9F1B39}"/>
    <hyperlink ref="B12" r:id="rId11" xr:uid="{27DCC480-BBCE-6349-916B-594F47A6546E}"/>
    <hyperlink ref="B13" r:id="rId12" xr:uid="{D7C746C6-CE6C-1C46-9446-F70F1E5F33F2}"/>
    <hyperlink ref="B14" r:id="rId13" xr:uid="{3F004F89-DC3D-9B48-B5D1-2C5CFFCFDDE4}"/>
    <hyperlink ref="B15" r:id="rId14" xr:uid="{A9ABFE34-53B3-604B-ADFB-1A6C5D20A6F8}"/>
    <hyperlink ref="B16" r:id="rId15" xr:uid="{74803957-885C-2945-B3EC-D396AA926A26}"/>
    <hyperlink ref="B17" r:id="rId16" xr:uid="{E84D0768-DB77-864D-92EE-9DFC3F26AADD}"/>
    <hyperlink ref="B18" r:id="rId17" xr:uid="{2F3A941D-1716-BA44-A32C-7A6082BCEA11}"/>
    <hyperlink ref="B19" r:id="rId18" xr:uid="{D6859511-F98B-874B-B9C2-6304CC953C6A}"/>
    <hyperlink ref="B20" r:id="rId19" xr:uid="{3F353AFC-275E-6345-BDAC-36222C7BDF32}"/>
    <hyperlink ref="B21" r:id="rId20" xr:uid="{AAFC1CD3-BE8A-6047-BF52-A3D229434B7A}"/>
    <hyperlink ref="B22" r:id="rId21" xr:uid="{EB84293B-F3E2-4E4E-98C0-F836B1BA1C32}"/>
    <hyperlink ref="B23" r:id="rId22" xr:uid="{2F0EAE37-D905-4949-8654-9192F64492EF}"/>
    <hyperlink ref="B24" r:id="rId23" xr:uid="{DFDC93EF-F766-B24B-8F1C-CF77CDA7DD36}"/>
    <hyperlink ref="B25" r:id="rId24" xr:uid="{931925EA-B9DD-124F-B624-C17549CF9C4C}"/>
    <hyperlink ref="B26" r:id="rId25" xr:uid="{BD9124D6-8A61-B447-8189-E3C2BE93D549}"/>
    <hyperlink ref="B27" r:id="rId26" xr:uid="{ED38A8E0-6566-8445-81EF-0B495FF79FC5}"/>
    <hyperlink ref="B28" r:id="rId27" xr:uid="{B93729C3-BE48-A640-882D-D7DCEE403819}"/>
    <hyperlink ref="B29" r:id="rId28" xr:uid="{7F82300E-994D-EC4A-99AF-734A71979104}"/>
    <hyperlink ref="B30" r:id="rId29" xr:uid="{3F569653-69CD-F94E-85CE-8F9F06B6B16D}"/>
    <hyperlink ref="B31" r:id="rId30" location="autoplay" display="https://www.ynet.co.il/news/article/bkldluke1e - autoplay" xr:uid="{0B485D3F-FAC5-6F4C-BF88-EDA237DCF503}"/>
    <hyperlink ref="B32" r:id="rId31" xr:uid="{F34830AB-604F-3549-A83D-F4359E449117}"/>
    <hyperlink ref="B33" r:id="rId32" xr:uid="{7A68CD49-EDA6-E74A-802F-E7D2A9C0ACFA}"/>
    <hyperlink ref="B34" r:id="rId33" xr:uid="{99EF857E-D3B3-1945-8BE8-695CDAD381BB}"/>
    <hyperlink ref="B35" r:id="rId34" xr:uid="{4FD7AA3B-0BE1-5042-B762-615B13FB12EB}"/>
    <hyperlink ref="B36" r:id="rId35" xr:uid="{03D19B79-7FA4-BE4D-BFB7-D8F13399B1C9}"/>
    <hyperlink ref="B37" r:id="rId36" xr:uid="{88EDB1A5-66C3-184D-97CF-B18054601786}"/>
    <hyperlink ref="B38" r:id="rId37" xr:uid="{F26C959F-6768-9D40-AAFE-23F6DEC3317E}"/>
    <hyperlink ref="B39" r:id="rId38" xr:uid="{5BD72301-01BE-D148-B74B-675F2E2A65F5}"/>
    <hyperlink ref="B40" r:id="rId39" xr:uid="{AC5C3FB3-E8AC-EA4C-A386-8B404CE18A8B}"/>
    <hyperlink ref="B41" r:id="rId40" xr:uid="{543B365C-31B6-C849-A3FC-DDC5B2BC1CC0}"/>
    <hyperlink ref="B42" r:id="rId41" xr:uid="{99A7B92F-1BD2-7D4E-A11C-61F252F63568}"/>
    <hyperlink ref="B43" r:id="rId42" xr:uid="{B2669A95-4C4C-CD44-A2CF-D45A41A4EE92}"/>
    <hyperlink ref="B44" r:id="rId43" xr:uid="{3021C286-060B-6D4A-9C34-1B01BC859B5B}"/>
    <hyperlink ref="B45" r:id="rId44" location="autoplay" display="https://www.ynet.co.il/news/article/bkcljlrdyx - autoplay" xr:uid="{B986B93C-3620-9B4F-AB56-15DA503BBA51}"/>
    <hyperlink ref="B46" r:id="rId45" xr:uid="{044E3272-BA89-334C-9B4D-DD810FF8A857}"/>
    <hyperlink ref="B47" r:id="rId46" xr:uid="{91214B27-997B-C046-B203-D739F4B04CAD}"/>
    <hyperlink ref="B48" r:id="rId47" xr:uid="{2DCE5ABA-FC60-E74E-AA93-938E3EE897A9}"/>
    <hyperlink ref="B49" r:id="rId48" xr:uid="{71C8B7C5-362A-D24A-81DC-1DB78E9FC548}"/>
    <hyperlink ref="B50" r:id="rId49" xr:uid="{DB8C434C-20DB-214A-A0B2-B929E48A1C15}"/>
    <hyperlink ref="B51" r:id="rId50" xr:uid="{9DA521E6-7E8C-DD46-B353-90AB0CA18E7D}"/>
    <hyperlink ref="B52" r:id="rId51" xr:uid="{472DA039-97DE-AD4E-B1C0-1635D9F667A8}"/>
    <hyperlink ref="B53" r:id="rId52" xr:uid="{2A859A20-F508-3F4C-8CB2-030147219795}"/>
    <hyperlink ref="B54" r:id="rId53" xr:uid="{63997308-69B6-8145-8FA7-D2652AC5DD9E}"/>
    <hyperlink ref="B55" r:id="rId54" xr:uid="{52E07AEE-30F6-E949-B0EE-5C9BE98C60B6}"/>
    <hyperlink ref="B56" r:id="rId55" xr:uid="{E42EDE87-1A25-7440-9CA2-273891AAE58B}"/>
    <hyperlink ref="B57" r:id="rId56" xr:uid="{462D4EA8-67AE-AE4E-B2E5-ABCCEC3C7128}"/>
    <hyperlink ref="B58" r:id="rId57" xr:uid="{7F65B635-49A4-E041-9C49-499BCD1E95E6}"/>
    <hyperlink ref="B59" r:id="rId58" xr:uid="{1176A3DE-C115-E74D-8DBF-CCB97C81D20F}"/>
    <hyperlink ref="B60" r:id="rId59" xr:uid="{E643A1A3-CCC2-ED4F-9D06-517ACBDA2F69}"/>
    <hyperlink ref="B61" r:id="rId60" xr:uid="{D0A90AE9-4EAA-E54C-B6AC-8EE34D9522A4}"/>
    <hyperlink ref="B62" r:id="rId61" xr:uid="{C2D5E423-E646-EE47-91BA-09C2AED10196}"/>
    <hyperlink ref="B63" r:id="rId62" xr:uid="{C348DB12-513D-BA46-9E50-D3C9B2848BD0}"/>
    <hyperlink ref="B64" r:id="rId63" xr:uid="{663110FC-ED69-6A4E-BE99-CC3BF9BF0F59}"/>
    <hyperlink ref="B65" r:id="rId64" xr:uid="{54B9E4E9-6E4F-6444-A01F-BAE9E0A9EFAF}"/>
    <hyperlink ref="B66" r:id="rId65" xr:uid="{38470F5F-0EBF-A849-8C34-D7A734385D2F}"/>
    <hyperlink ref="B67" r:id="rId66" xr:uid="{0C0AEB5D-B027-C94B-AFF0-C56D2FE1998A}"/>
    <hyperlink ref="B68" r:id="rId67" xr:uid="{9C88AFB0-F8E1-1642-B89F-53BBD1DFEF68}"/>
    <hyperlink ref="B69" r:id="rId68" xr:uid="{5F18AE2D-206E-A04F-9C59-8A98022F4B0A}"/>
    <hyperlink ref="B70" r:id="rId69" xr:uid="{701E2557-60F7-C744-835D-68C28605722C}"/>
    <hyperlink ref="B71" r:id="rId70" xr:uid="{9433D8D7-76BB-BE4A-94A7-CD2F97F53B9D}"/>
    <hyperlink ref="B72" r:id="rId71" xr:uid="{A3B4DBC9-E2A5-0649-9C4D-BB694D72702C}"/>
    <hyperlink ref="B73" r:id="rId72" xr:uid="{C09F8560-B3DE-3F48-BC4F-7EC8E970191F}"/>
    <hyperlink ref="B74" r:id="rId73" xr:uid="{01BB0896-CD12-924C-A3DF-5D8C064BF354}"/>
    <hyperlink ref="B75" r:id="rId74" xr:uid="{F84582ED-F2FE-B540-8C61-3C8AC3213FB0}"/>
    <hyperlink ref="B76" r:id="rId75" xr:uid="{208C301F-5F3A-3944-8BA2-5E24E2194BAB}"/>
    <hyperlink ref="B77" r:id="rId76" xr:uid="{E0053644-EC27-B545-A58F-6D0A8EF2B7D6}"/>
    <hyperlink ref="B78" r:id="rId77" xr:uid="{3372A5D9-568C-DD4B-BE6D-258491DFE65E}"/>
    <hyperlink ref="B79" r:id="rId78" xr:uid="{618D93ED-4E5E-E543-999F-6E0ABF27CC03}"/>
    <hyperlink ref="B80" r:id="rId79" xr:uid="{21D361D5-97C5-CB46-8AE3-C116E06C24ED}"/>
    <hyperlink ref="B81" r:id="rId80" xr:uid="{14C5825D-A758-504E-B22F-E9A7337BA4DB}"/>
    <hyperlink ref="B82" r:id="rId81" xr:uid="{8F447D5C-9FA2-444B-A5BD-DCCCD58B03E5}"/>
    <hyperlink ref="B83" r:id="rId82" xr:uid="{06529DA2-45A4-A44D-AABC-C8DC8142193C}"/>
    <hyperlink ref="B84" r:id="rId83" xr:uid="{5EFD577D-799D-ED45-8CF6-63D16525F49A}"/>
    <hyperlink ref="B85" r:id="rId84" xr:uid="{2D154B90-0E34-404C-9F9C-73AC354BDBFA}"/>
    <hyperlink ref="B86" r:id="rId85" xr:uid="{095B82A7-D485-8947-82A7-79F3D900933E}"/>
    <hyperlink ref="B87" r:id="rId86" xr:uid="{EABEED83-1321-1A48-AC1B-3DF2CF51B154}"/>
    <hyperlink ref="B88" r:id="rId87" xr:uid="{1DA5F458-D333-6C49-B4FF-8B4E59FACEBE}"/>
    <hyperlink ref="B89" r:id="rId88" xr:uid="{9C2927AD-B26A-AE48-B782-1E02495964A3}"/>
    <hyperlink ref="B90" r:id="rId89" xr:uid="{41A94A73-359C-534F-9A95-88616F0FC9FA}"/>
    <hyperlink ref="B91" r:id="rId90" xr:uid="{570F006C-969E-324F-AEA5-BCBAB71AC346}"/>
    <hyperlink ref="B92" r:id="rId91" xr:uid="{7324DD0F-1EC6-374E-91C3-185269DC912B}"/>
    <hyperlink ref="B93" r:id="rId92" xr:uid="{9521C92F-1871-AE4F-92C4-AC28ABE72846}"/>
    <hyperlink ref="B94" r:id="rId93" xr:uid="{6988F8DA-0BDE-6F4F-A374-CF735EB24609}"/>
    <hyperlink ref="B95" r:id="rId94" xr:uid="{0DD2B8AA-4216-4E47-8FE2-195513225239}"/>
    <hyperlink ref="B96" r:id="rId95" xr:uid="{536F82F3-8637-8140-B8B2-8A3037182379}"/>
    <hyperlink ref="B97" r:id="rId96" xr:uid="{7CD6B249-E643-4342-97FE-51160D9C28DF}"/>
    <hyperlink ref="B98" r:id="rId97" xr:uid="{46979111-7712-4346-9B55-C0102C1F0772}"/>
    <hyperlink ref="B99" r:id="rId98" xr:uid="{04129789-212E-D14B-B619-16BE1EA5EC57}"/>
    <hyperlink ref="B100" r:id="rId99" xr:uid="{AFBC4ABC-99F9-EB4B-99FF-CCD80DD60856}"/>
    <hyperlink ref="B101" r:id="rId100" xr:uid="{7BED765F-0DFE-D143-B82A-A79890611756}"/>
    <hyperlink ref="B102" r:id="rId101" xr:uid="{68B99B5C-CA90-8742-9207-D39E48691E98}"/>
    <hyperlink ref="B103" r:id="rId102" xr:uid="{81FC7BE9-1EB9-FE48-A0C6-8394E90C3533}"/>
    <hyperlink ref="B104" r:id="rId103" xr:uid="{A383D176-A4AD-3E47-B9EA-4CAD34870F6C}"/>
    <hyperlink ref="B105" r:id="rId104" xr:uid="{B173688B-3E90-E04D-92F4-0DB8D8C278D0}"/>
    <hyperlink ref="B106" r:id="rId105" xr:uid="{14750083-EBF0-F24A-B59B-CC8BCE1BC5AB}"/>
    <hyperlink ref="B107" r:id="rId106" xr:uid="{6D52F1EB-2CD8-0D4D-B395-F44F31457FFE}"/>
    <hyperlink ref="B108" r:id="rId107" xr:uid="{28B3253E-BF33-E441-A9E4-9D9C761CD9DD}"/>
    <hyperlink ref="B109" r:id="rId108" xr:uid="{E57BFB77-E6F5-F244-8E07-8EDB32C63123}"/>
    <hyperlink ref="B110" r:id="rId109" xr:uid="{2C0C4FF6-4675-7F42-A95F-171717D6C071}"/>
    <hyperlink ref="B111" r:id="rId110" xr:uid="{80C553CC-B74E-2245-8EBB-83BA6AF7DE1A}"/>
    <hyperlink ref="B112" r:id="rId111" xr:uid="{486D79F8-E368-454B-95FA-B995B1D71017}"/>
    <hyperlink ref="B113" r:id="rId112" xr:uid="{2D472055-6BDE-0F4C-993D-844A7C886C32}"/>
    <hyperlink ref="B114" r:id="rId113" xr:uid="{9A5D981D-D96B-0D42-8349-4B059D1EB2E0}"/>
    <hyperlink ref="B115" r:id="rId114" xr:uid="{6A447962-F481-A24F-92E3-B3930A4A71D0}"/>
    <hyperlink ref="B116" r:id="rId115" xr:uid="{31512717-385B-C444-BFE3-9F3212AB6EF6}"/>
    <hyperlink ref="B117" r:id="rId116" xr:uid="{DECEBBB4-7738-3844-95CA-8389681B47A6}"/>
    <hyperlink ref="B118" r:id="rId117" xr:uid="{3F88A3B2-C1C6-BF42-8FFB-8FAE75AE51BF}"/>
    <hyperlink ref="B119" r:id="rId118" xr:uid="{BAB5B726-E780-4342-BFB6-6F153E6BD9E9}"/>
    <hyperlink ref="B120" r:id="rId119" xr:uid="{CB7B4975-9A7F-E249-8C2D-A3DB29C80352}"/>
    <hyperlink ref="B121" r:id="rId120" xr:uid="{2E2C307A-8D80-0A49-86ED-D3EAE80E15DA}"/>
    <hyperlink ref="B122" r:id="rId121" xr:uid="{33C2177E-913A-9C4C-92BA-906795D2F206}"/>
    <hyperlink ref="B123" r:id="rId122" xr:uid="{839FB85B-4D2F-0B44-AF17-137CB6B74555}"/>
    <hyperlink ref="B124" r:id="rId123" xr:uid="{3136546E-52DF-4D44-9D2F-45A1F91DC7F8}"/>
    <hyperlink ref="B125" r:id="rId124" xr:uid="{2544A806-1769-1E4E-A4DF-0A30D84DC70A}"/>
    <hyperlink ref="B126" r:id="rId125" xr:uid="{D25B9CD3-46E2-B44E-B99A-88E5CE6FE12C}"/>
    <hyperlink ref="B127" r:id="rId126" xr:uid="{71BA0C7A-B3D6-8346-A1C2-44ED54ACE9C5}"/>
    <hyperlink ref="B128" r:id="rId127" xr:uid="{262CFA32-D2C4-5745-9767-B8FCD3E6AD01}"/>
    <hyperlink ref="B129" r:id="rId128" xr:uid="{1BCFB063-B1AE-1647-9927-35EE03F61684}"/>
    <hyperlink ref="B130" r:id="rId129" xr:uid="{1D72A797-8286-CB49-A3E9-07F2684FAD98}"/>
    <hyperlink ref="B131" r:id="rId130" xr:uid="{96C671CD-AC47-7D46-9F13-BC27633BDD40}"/>
    <hyperlink ref="B132" r:id="rId131" xr:uid="{EEF35EA9-874D-1843-B147-563D6B16D034}"/>
    <hyperlink ref="B133" r:id="rId132" xr:uid="{39CE1290-4287-904E-B637-6C7FD167EF7D}"/>
    <hyperlink ref="B134" r:id="rId133" xr:uid="{F5DCD9EF-5E16-1E43-8B9A-517954693914}"/>
    <hyperlink ref="B135" r:id="rId134" xr:uid="{AE67A0B0-2D00-4B4D-9680-834E076A319D}"/>
    <hyperlink ref="B136" r:id="rId135" xr:uid="{1B6E115A-856C-5A47-A529-932C13770ACE}"/>
    <hyperlink ref="B137" r:id="rId136" xr:uid="{16C0E6D0-3989-2C43-8D0D-788B12F9019B}"/>
    <hyperlink ref="B138" r:id="rId137" xr:uid="{9124E689-50E6-724A-ADA5-77C1DF8C0768}"/>
    <hyperlink ref="B139" r:id="rId138" xr:uid="{CF2AB3B1-BC62-A242-9272-F37D0FE071F1}"/>
    <hyperlink ref="B140" r:id="rId139" xr:uid="{98BA36EB-54AE-9341-8284-A2FAEA05E3A2}"/>
    <hyperlink ref="B141" r:id="rId140" xr:uid="{CFAB9DE2-AF21-B241-849C-D279D5F49D3F}"/>
    <hyperlink ref="B142" r:id="rId141" xr:uid="{1F1EA826-3668-2B49-8AFA-F94302EE69F9}"/>
    <hyperlink ref="B143" r:id="rId142" xr:uid="{5893CF20-B821-D84D-B523-64363B2ABC06}"/>
    <hyperlink ref="B144" r:id="rId143" xr:uid="{1386FC08-F470-CA48-8755-DE01CD4ABD24}"/>
    <hyperlink ref="B145" r:id="rId144" xr:uid="{D63FF214-F10B-F140-B69C-4645212B7535}"/>
    <hyperlink ref="B146" r:id="rId145" xr:uid="{D37C4D74-D259-A74D-8A4C-034243BF4617}"/>
    <hyperlink ref="B147" r:id="rId146" xr:uid="{5614F1DF-8551-8F4F-A7EB-5C64F5CBAE36}"/>
    <hyperlink ref="B148" r:id="rId147" xr:uid="{CC0F8B4F-B11A-E248-A29A-34147308BC79}"/>
    <hyperlink ref="B149" r:id="rId148" xr:uid="{7C96D491-8260-284C-83D9-E4E663C57112}"/>
    <hyperlink ref="B150" r:id="rId149" xr:uid="{C8A6D173-AED0-344D-A0DC-7E4AD3AF63A2}"/>
    <hyperlink ref="B151" r:id="rId150" xr:uid="{07440A5C-E3DB-484C-B180-4F7578843500}"/>
    <hyperlink ref="B152" r:id="rId151" xr:uid="{4049677C-EB83-3940-BE79-EF8E9DBC24D7}"/>
    <hyperlink ref="B153" r:id="rId152" xr:uid="{0B0A4F02-D17E-BB4A-9419-FDEFDFC946D2}"/>
    <hyperlink ref="B154" r:id="rId153" xr:uid="{0C545494-C6F1-E14D-B527-7E9EB51EDDF4}"/>
    <hyperlink ref="B155" r:id="rId154" xr:uid="{4E492215-887D-BC47-92EF-41A3C2F85295}"/>
    <hyperlink ref="B156" r:id="rId155" xr:uid="{67BB9640-C2C0-2C45-AEF8-78BC53FA57F1}"/>
    <hyperlink ref="B157" r:id="rId156" xr:uid="{AD6F19DB-F2DC-CA4F-B081-BBD2A6F34729}"/>
    <hyperlink ref="B158" r:id="rId157" xr:uid="{7B220671-748B-074D-BBB9-7DFDF907B290}"/>
    <hyperlink ref="B159" r:id="rId158" xr:uid="{1D28A573-0E1C-4D43-AAF2-1C28EAAA8213}"/>
    <hyperlink ref="B160" r:id="rId159" xr:uid="{413496A6-088E-E941-956D-FE0ED39B0D69}"/>
    <hyperlink ref="B161" r:id="rId160" xr:uid="{3CC049E6-3B29-F04D-AD3C-90CAE0B8E74A}"/>
    <hyperlink ref="B162" r:id="rId161" xr:uid="{97E94D44-787C-DF42-9667-A1F905D87957}"/>
    <hyperlink ref="B163" r:id="rId162" xr:uid="{EF365328-C23F-B541-9F51-713D2FA90A12}"/>
    <hyperlink ref="B164" r:id="rId163" xr:uid="{E5CF093E-8E3D-AA40-B0D6-C938C8E555E0}"/>
    <hyperlink ref="B165" r:id="rId164" xr:uid="{BCB16216-5FAA-4444-9DE8-D0593BF1E39E}"/>
    <hyperlink ref="B166" r:id="rId165" xr:uid="{00114F05-5302-CE47-8633-2FC4FE27A8F0}"/>
    <hyperlink ref="B167" r:id="rId166" xr:uid="{44000929-4FF9-4948-9325-3C32116E084E}"/>
    <hyperlink ref="B168" r:id="rId167" xr:uid="{347C65EC-536A-6841-99F8-3BC098F72584}"/>
    <hyperlink ref="B169" r:id="rId168" xr:uid="{FD22CF92-4521-AB41-9350-0724709C70DF}"/>
    <hyperlink ref="B170" r:id="rId169" xr:uid="{F9468B82-A176-0F4E-8F8D-A57A062B918B}"/>
    <hyperlink ref="B171" r:id="rId170" xr:uid="{B0109019-CBD5-A749-B7A3-778BD84ED1DF}"/>
    <hyperlink ref="B172" r:id="rId171" xr:uid="{70D5BF44-04F9-6E45-99DA-FBF1DBB6441B}"/>
    <hyperlink ref="B173" r:id="rId172" xr:uid="{F2FF5336-5DF2-DB48-A4AA-343797C129B3}"/>
    <hyperlink ref="B174" r:id="rId173" xr:uid="{AFD8B01F-4979-FB4A-B7BE-0C3A5DA1EDA1}"/>
    <hyperlink ref="B175" r:id="rId174" xr:uid="{868CE89B-E905-0F42-B0A8-215ED1C51052}"/>
    <hyperlink ref="B176" r:id="rId175" xr:uid="{3D9D6CCE-FDEC-BA40-A8A1-82A6393E7CCD}"/>
    <hyperlink ref="B177" r:id="rId176" xr:uid="{C6217F94-8CAC-D44C-AA83-D167C6867245}"/>
    <hyperlink ref="B178" r:id="rId177" xr:uid="{EE22F36B-D535-F84C-AAD0-56B0208FB1BE}"/>
    <hyperlink ref="B179" r:id="rId178" xr:uid="{C64A28BA-5BA0-4B40-9C29-5C5400219891}"/>
    <hyperlink ref="B180" r:id="rId179" xr:uid="{E25F3AD5-5CFE-D64B-8388-7CA83A2E0837}"/>
    <hyperlink ref="B181" r:id="rId180" xr:uid="{B013F276-756A-3145-986C-8822BC1AEB6C}"/>
    <hyperlink ref="B182" r:id="rId181" xr:uid="{D4695C4F-8BC5-4D4A-BA1C-6104A6F39A17}"/>
    <hyperlink ref="B183" r:id="rId182" xr:uid="{B02F0A3F-1D64-D242-BF1A-F0332EC0A234}"/>
    <hyperlink ref="B184" r:id="rId183" xr:uid="{6CB5C7B3-ADB9-864E-93F3-65A915C9E783}"/>
    <hyperlink ref="B185" r:id="rId184" xr:uid="{5D00093A-8F71-5042-9ED0-6C9F9E064EC3}"/>
    <hyperlink ref="B186" r:id="rId185" xr:uid="{B0E7C3C9-5F50-3046-987A-BAADD2A2A81D}"/>
    <hyperlink ref="B187" r:id="rId186" xr:uid="{1EE0B967-CADE-A74B-A833-AE9B827EBDB3}"/>
    <hyperlink ref="B188" r:id="rId187" xr:uid="{F5241AAC-B0DC-6646-B123-8AED6788D0AF}"/>
    <hyperlink ref="B189" r:id="rId188" xr:uid="{85CF307F-8F25-F348-AF82-FC1F9D364D36}"/>
    <hyperlink ref="B190" r:id="rId189" xr:uid="{8E535C9F-7CFB-9B48-BA7D-348AFB7FF02D}"/>
    <hyperlink ref="B191" r:id="rId190" xr:uid="{0A2F080A-5A49-E348-B0A0-8521C5EDAD1C}"/>
    <hyperlink ref="B192" r:id="rId191" xr:uid="{148634B3-D8E5-274D-9DAA-67C8457C49F8}"/>
    <hyperlink ref="B193" r:id="rId192" xr:uid="{3203586A-1FA6-7E41-96B2-65811371B83E}"/>
    <hyperlink ref="B194" r:id="rId193" xr:uid="{31027808-93FC-5942-9350-269C9CB962CE}"/>
    <hyperlink ref="B195" r:id="rId194" xr:uid="{5CBBBF4D-E86D-CA44-A231-CC8D82E0D249}"/>
    <hyperlink ref="B196" r:id="rId195" xr:uid="{DC0E2B4C-752B-754D-B411-1920DFBF1DDF}"/>
    <hyperlink ref="B197" r:id="rId196" xr:uid="{1E656744-4259-8E4F-BA4B-709ABC7C20F9}"/>
    <hyperlink ref="B198" r:id="rId197" xr:uid="{E69B2256-A460-794F-A398-21434EDB3232}"/>
    <hyperlink ref="B199" r:id="rId198" xr:uid="{08BA958E-29E5-674D-B115-9D7C714C4DE1}"/>
    <hyperlink ref="B200" r:id="rId199" xr:uid="{46AC4B95-14F0-1549-ACBD-625367FDBE1F}"/>
    <hyperlink ref="B201" r:id="rId200" xr:uid="{DE2412C9-DC19-3B4C-8F48-0F4EA70552BD}"/>
    <hyperlink ref="B202" r:id="rId201" xr:uid="{91CAA315-E74A-2645-B8F8-3A37FFCE4719}"/>
    <hyperlink ref="B203" r:id="rId202" xr:uid="{3C01502B-5336-F048-8A9D-5CDE590917A8}"/>
    <hyperlink ref="B204" r:id="rId203" xr:uid="{0632F196-A693-B441-A73F-19D20E61B25C}"/>
    <hyperlink ref="B205" r:id="rId204" xr:uid="{0083C869-C548-DE46-96AA-F52415474012}"/>
    <hyperlink ref="B206" r:id="rId205" xr:uid="{BFB75C37-2219-1141-ABE3-EFAA95DBF0D2}"/>
    <hyperlink ref="B207" r:id="rId206" xr:uid="{6C0D45E6-C740-4F4D-B304-332CB82D8135}"/>
    <hyperlink ref="B208" r:id="rId207" xr:uid="{66182D8F-66A7-4941-B025-CC2189AB4595}"/>
    <hyperlink ref="B209" r:id="rId208" xr:uid="{AFC24433-FF7F-B440-8609-6EB4E0AD9040}"/>
    <hyperlink ref="B210" r:id="rId209" xr:uid="{0BDC76F3-D04A-5041-ADAA-381162394C74}"/>
    <hyperlink ref="B211" r:id="rId210" xr:uid="{A9A17414-119B-184F-9CAD-514969AB96C5}"/>
    <hyperlink ref="B212" r:id="rId211" xr:uid="{08B38E8C-CFBE-574E-ACC1-9E6C2E60B11E}"/>
    <hyperlink ref="B213" r:id="rId212" xr:uid="{FD39FB27-7B04-7B4F-9FF8-669AF8881B07}"/>
    <hyperlink ref="B214" r:id="rId213" xr:uid="{BE0CEEA5-6349-E24F-AC33-FBF7DC207784}"/>
    <hyperlink ref="B215" r:id="rId214" xr:uid="{865A28C7-7D90-E44A-9BBA-3A8B89FEADC1}"/>
    <hyperlink ref="B216" r:id="rId215" xr:uid="{0AE1DCF2-279A-3344-B19D-1CF554385A0F}"/>
    <hyperlink ref="B217" r:id="rId216" xr:uid="{DAD3A2C7-D63A-3643-94A6-2F7053D5C275}"/>
    <hyperlink ref="B218" r:id="rId217" xr:uid="{409376D9-D9DF-AE4C-BDE8-4535E446DAA8}"/>
    <hyperlink ref="B219" r:id="rId218" xr:uid="{7DF6676A-57D1-BA45-8708-0EA0DB1862F8}"/>
    <hyperlink ref="B220" r:id="rId219" xr:uid="{141ACA5E-05A4-BC45-BCD6-84BF5D6B16B1}"/>
    <hyperlink ref="B221" r:id="rId220" xr:uid="{53B86E24-A8B2-A746-82BB-7D0ADC86DF8B}"/>
    <hyperlink ref="B222" r:id="rId221" xr:uid="{9FEB1774-9AD7-5848-BB6C-FB1E0CEB34AC}"/>
    <hyperlink ref="B223" r:id="rId222" xr:uid="{19D7D350-DE1B-414D-B6C0-D3490CB43A10}"/>
    <hyperlink ref="B224" r:id="rId223" xr:uid="{113470D3-8EBB-F14E-A00D-2060C24961EE}"/>
    <hyperlink ref="B225" r:id="rId224" xr:uid="{A19CD915-B468-054E-87E6-02BDAE5CB54C}"/>
    <hyperlink ref="B226" r:id="rId225" xr:uid="{DD466E43-6D68-514D-A2E1-C3C624D5E055}"/>
    <hyperlink ref="B227" r:id="rId226" xr:uid="{F29E6194-D578-4343-95F6-EDFBD875748D}"/>
    <hyperlink ref="B228" r:id="rId227" xr:uid="{A013588D-67EC-3345-9C99-6B20805AF041}"/>
    <hyperlink ref="B229" r:id="rId228" xr:uid="{C94565A6-E6E6-6842-8E94-AB84B2B20674}"/>
    <hyperlink ref="B230" r:id="rId229" xr:uid="{30353860-F246-CA40-81D5-30850CA465A4}"/>
    <hyperlink ref="B231" r:id="rId230" xr:uid="{3F195888-635F-FD48-88D2-908B7EEF4895}"/>
    <hyperlink ref="B232" r:id="rId231" xr:uid="{539A2CB7-CEB5-864C-9B7C-CE52BA4C3FAA}"/>
    <hyperlink ref="B233" r:id="rId232" xr:uid="{4B928138-D6F3-A54F-A767-6008DD987250}"/>
    <hyperlink ref="B234" r:id="rId233" xr:uid="{A703DFCF-DCA4-1A45-8349-438EC5B72D7E}"/>
    <hyperlink ref="B235" r:id="rId234" xr:uid="{CD5690B4-B267-6842-A9DD-731AD41AB401}"/>
    <hyperlink ref="B236" r:id="rId235" xr:uid="{C2824B1B-6A49-0847-A211-DB86A97E0AFE}"/>
    <hyperlink ref="B237" r:id="rId236" xr:uid="{5F54EE54-57C8-2348-A59A-3A55F809137C}"/>
    <hyperlink ref="B238" r:id="rId237" xr:uid="{0216AA8A-B5DC-B340-814E-C3C47B774DB8}"/>
    <hyperlink ref="B239" r:id="rId238" xr:uid="{E0566096-1934-8947-AB18-0E29720E88BA}"/>
    <hyperlink ref="B240" r:id="rId239" xr:uid="{F3184FB7-4D3D-8C4E-8587-6F8D49AB0D6D}"/>
    <hyperlink ref="B241" r:id="rId240" xr:uid="{9B6C8082-2398-0F42-B827-0653E34684B0}"/>
    <hyperlink ref="B242" r:id="rId241" xr:uid="{A165AD86-49FE-E846-87AE-E4CB17319C1D}"/>
    <hyperlink ref="B243" r:id="rId242" xr:uid="{8B724438-F244-A44F-B02A-2DA9E9C70722}"/>
    <hyperlink ref="B244" r:id="rId243" xr:uid="{CFB74E0D-9FA8-5941-9417-7275C10A32E2}"/>
    <hyperlink ref="B245" r:id="rId244" xr:uid="{546C1AE7-85F3-F049-A9A4-F87B3C322B6B}"/>
    <hyperlink ref="B246" r:id="rId245" xr:uid="{9F0D5847-A566-7745-9DAF-7A930513AC25}"/>
    <hyperlink ref="B247" r:id="rId246" xr:uid="{4E37B60F-0C69-F342-B04C-A9247F951EE7}"/>
    <hyperlink ref="B248" r:id="rId247" xr:uid="{B85A2D26-8F86-D848-89C1-FAD84BF50377}"/>
    <hyperlink ref="B249" r:id="rId248" xr:uid="{BBFF5E80-3B29-E845-A82A-AD31FB8808D0}"/>
    <hyperlink ref="B250" r:id="rId249" xr:uid="{B055C5A0-3A73-7447-8636-070E5E7E2F48}"/>
    <hyperlink ref="B251" r:id="rId250" xr:uid="{49F07BFD-ADC3-3146-85BF-2026CB9C4BAF}"/>
    <hyperlink ref="B252" r:id="rId251" xr:uid="{7BB6EEF4-F2AC-FB40-BC17-1C87DC9C3584}"/>
    <hyperlink ref="B253" r:id="rId252" xr:uid="{0527D04A-3E20-0948-8634-4BFA7D0A45C0}"/>
    <hyperlink ref="B254" r:id="rId253" xr:uid="{36F25C04-3C63-0F40-B338-18D2D4F84FF5}"/>
    <hyperlink ref="B255" r:id="rId254" xr:uid="{3421EC41-5915-C849-B818-83E267FDC458}"/>
    <hyperlink ref="B256" r:id="rId255" xr:uid="{155A6A26-FCEF-B24B-9741-94D54BED98BB}"/>
    <hyperlink ref="B257" r:id="rId256" xr:uid="{13A04016-D059-884D-879A-7C6824B7974B}"/>
    <hyperlink ref="B258" r:id="rId257" xr:uid="{724564D3-32C4-0741-894A-D28E5582A34B}"/>
    <hyperlink ref="B259" r:id="rId258" xr:uid="{EEE01B5F-32FA-1A4A-A41E-A259943E2757}"/>
    <hyperlink ref="B260" r:id="rId259" xr:uid="{D96E8C5B-08A9-E846-A0C6-C16C6F8A16DC}"/>
    <hyperlink ref="B261" r:id="rId260" xr:uid="{7E26DFAD-A58B-9E47-92E5-8A0A71A8B5F3}"/>
    <hyperlink ref="B262" r:id="rId261" xr:uid="{9DAB19F5-A331-1D45-BE0A-CCDEC690C9B7}"/>
    <hyperlink ref="B263" r:id="rId262" xr:uid="{1C93BE73-4E9A-884D-8BD8-D387D7E38BBC}"/>
    <hyperlink ref="B264" r:id="rId263" xr:uid="{A18E13B2-4835-1642-ACEF-37EC55586511}"/>
    <hyperlink ref="B265" r:id="rId264" xr:uid="{E05217E8-EF62-4F4E-80B6-E3A4B7621795}"/>
    <hyperlink ref="B266" r:id="rId265" xr:uid="{60FDCCB3-839A-D54F-9895-35F01C8FBA88}"/>
    <hyperlink ref="B267" r:id="rId266" xr:uid="{BBD46F80-028D-4A41-9711-336209BD0540}"/>
    <hyperlink ref="B268" r:id="rId267" xr:uid="{12A549C1-3D99-224A-B00F-570553B83F8B}"/>
    <hyperlink ref="B269" r:id="rId268" xr:uid="{9260BC27-CD93-944B-8CD9-C1DA9FE09DCC}"/>
    <hyperlink ref="B270" r:id="rId269" xr:uid="{3C6E750A-ADE8-0D4C-ACD7-E68DADCEDDA1}"/>
    <hyperlink ref="B271" r:id="rId270" xr:uid="{884D1BDB-AD73-844B-96BF-29489A0CE081}"/>
    <hyperlink ref="B272" r:id="rId271" xr:uid="{D299604D-4D5A-7C4E-9456-6E9AE4DCD6B7}"/>
    <hyperlink ref="B273" r:id="rId272" xr:uid="{121E6D45-21F4-E344-B663-4B025183B371}"/>
    <hyperlink ref="B274" r:id="rId273" xr:uid="{3DC29A09-9A58-C145-A2F3-6F93DA4E1FBB}"/>
    <hyperlink ref="B275" r:id="rId274" xr:uid="{DEDA88D6-6E5C-0D49-B247-58F6AF534421}"/>
    <hyperlink ref="B276" r:id="rId275" xr:uid="{C95E2EC2-AD44-C143-9836-6AE064DD6785}"/>
    <hyperlink ref="B277" r:id="rId276" xr:uid="{24224359-9BC9-CF4D-9A72-F0885EA21F78}"/>
    <hyperlink ref="B278" r:id="rId277" xr:uid="{0775229F-36F4-4A44-8B7B-433C7DFE0BEC}"/>
    <hyperlink ref="B279" r:id="rId278" xr:uid="{38ADD769-8C61-EF4E-8832-AE022B80CC77}"/>
    <hyperlink ref="B280" r:id="rId279" xr:uid="{A3E0A06B-B4B3-B44F-9D07-33A1D6F0ECBC}"/>
    <hyperlink ref="B281" r:id="rId280" xr:uid="{32AFAA64-955D-5842-87A2-91504F2D3DFC}"/>
    <hyperlink ref="B282" r:id="rId281" xr:uid="{15645E0F-6C19-C448-B66E-131A00677F65}"/>
    <hyperlink ref="B283" r:id="rId282" xr:uid="{E17D25EF-144B-EE47-A5EC-9A459917D044}"/>
    <hyperlink ref="B284" r:id="rId283" xr:uid="{990B3E8A-A471-1944-A7FD-08ECFAE3752F}"/>
    <hyperlink ref="B285" r:id="rId284" xr:uid="{F4F6684F-8964-B641-9C31-675B2B0AA6C8}"/>
    <hyperlink ref="B286" r:id="rId285" xr:uid="{61363292-708D-7543-A917-97124F6A6A1B}"/>
    <hyperlink ref="B287" r:id="rId286" xr:uid="{8F9D906B-BFC6-1D4D-9524-ED8C590C7688}"/>
    <hyperlink ref="B288" r:id="rId287" xr:uid="{65464B68-F07B-9741-9AFE-449FB87CE7C3}"/>
    <hyperlink ref="B289" r:id="rId288" xr:uid="{DF97E453-1AAA-4642-9373-F042DF8C2A78}"/>
    <hyperlink ref="B290" r:id="rId289" xr:uid="{BEEBB2B5-8BF1-4046-9F25-60414676145C}"/>
    <hyperlink ref="B291" r:id="rId290" xr:uid="{345E39AD-5F8F-4945-AAB1-4D122982F82A}"/>
    <hyperlink ref="B292" r:id="rId291" xr:uid="{8FDEB962-4E08-5747-A6B7-A5BEA09687F1}"/>
    <hyperlink ref="B293" r:id="rId292" xr:uid="{88CC6863-CF9B-414F-9C9C-B6D845322311}"/>
    <hyperlink ref="B294" r:id="rId293" xr:uid="{5AE401C2-C3EC-7C4B-9D67-8E82245F152C}"/>
    <hyperlink ref="B295" r:id="rId294" xr:uid="{B83BB1F3-EADA-EA48-A5A4-15E418BC5087}"/>
    <hyperlink ref="B296" r:id="rId295" xr:uid="{4E6059FD-E123-2E45-B2B3-DF1C9A4EE3AC}"/>
    <hyperlink ref="B297" r:id="rId296" xr:uid="{923F4D99-1184-6E40-89B6-CBC51CCC40B9}"/>
    <hyperlink ref="B298" r:id="rId297" xr:uid="{DF0C263B-F64C-D94E-8340-A452F53B0B9C}"/>
    <hyperlink ref="B299" r:id="rId298" xr:uid="{8E4E2A28-B8D3-2F49-9FBF-EDB08C5142A5}"/>
    <hyperlink ref="B300" r:id="rId299" xr:uid="{E23A2C0A-08AD-ED46-B294-8EDBB8B1F65F}"/>
    <hyperlink ref="B301" r:id="rId300" xr:uid="{38B7AC90-6C8D-A14C-B2CA-7C48F418228B}"/>
    <hyperlink ref="B302" r:id="rId301" xr:uid="{BEEDEDA5-452B-CC45-9DB0-99635A236F20}"/>
    <hyperlink ref="B303" r:id="rId302" xr:uid="{88028D70-4E67-5A4D-958C-EA739AA9D9D4}"/>
    <hyperlink ref="B304" r:id="rId303" xr:uid="{5D262675-1284-2441-A84B-9B2A8D46FFA3}"/>
    <hyperlink ref="B305" r:id="rId304" xr:uid="{5435AF80-B5F8-A84D-8726-55A006B2F430}"/>
    <hyperlink ref="B306" r:id="rId305" xr:uid="{932A3C46-35E4-DB4A-B1EB-D9CFB077F6AB}"/>
    <hyperlink ref="B307" r:id="rId306" xr:uid="{90D9E919-723F-C149-AB7D-9158EB7A1507}"/>
    <hyperlink ref="B308" r:id="rId307" xr:uid="{7D4B0A45-E7C6-D245-8E7C-4E5CC4BD4032}"/>
    <hyperlink ref="B309" r:id="rId308" xr:uid="{3CCF3C31-A16E-5C43-842F-1BFAE1C3F213}"/>
    <hyperlink ref="B310" r:id="rId309" xr:uid="{BCA9141E-631B-8E4F-9583-B616E6897973}"/>
    <hyperlink ref="B311" r:id="rId310" xr:uid="{427C7405-9CED-0A4D-B253-51C940B6B480}"/>
    <hyperlink ref="B312" r:id="rId311" xr:uid="{E0D44128-20FA-B547-9B69-223E1174E753}"/>
    <hyperlink ref="B313" r:id="rId312" xr:uid="{32B2AA2C-569E-8E42-97F5-5BDAA4CC2D77}"/>
    <hyperlink ref="B314" r:id="rId313" xr:uid="{D604E74E-74AB-F243-A2F4-2FFA3F1F9849}"/>
    <hyperlink ref="B315" r:id="rId314" xr:uid="{167B7B84-7B8F-D542-BF2A-3C72D8855CD3}"/>
    <hyperlink ref="B316" r:id="rId315" xr:uid="{9DE25832-B337-764A-AF96-FA28B5DDF385}"/>
    <hyperlink ref="B317" r:id="rId316" xr:uid="{52F36012-FC92-B743-9B94-4BC98BA53C1B}"/>
    <hyperlink ref="B318" r:id="rId317" xr:uid="{E7F28753-215E-EC4C-A68C-AC08C408AE8C}"/>
    <hyperlink ref="B319" r:id="rId318" xr:uid="{E0DC9F01-27E4-0D4F-96BF-EDE6BC6DEDDE}"/>
    <hyperlink ref="B320" r:id="rId319" xr:uid="{43B31E27-2609-7244-B725-702C35114B97}"/>
    <hyperlink ref="B321" r:id="rId320" xr:uid="{D6F4A7F1-2136-5546-85B1-53C7E5E5B59A}"/>
    <hyperlink ref="B322" r:id="rId321" xr:uid="{BFCC69F3-76ED-CB44-BD33-300CC1345B2B}"/>
    <hyperlink ref="B323" r:id="rId322" xr:uid="{EACF5931-FB44-9143-8781-A8CB0FEB85D4}"/>
    <hyperlink ref="B324" r:id="rId323" xr:uid="{1DD95F83-35EC-1147-BFEC-822C6B9DB5D3}"/>
    <hyperlink ref="B325" r:id="rId324" xr:uid="{ADA1903D-E216-A64B-9BF0-7CDA93956247}"/>
    <hyperlink ref="B326" r:id="rId325" xr:uid="{5A839903-0B96-BB4F-AC57-9DC41438F0A9}"/>
    <hyperlink ref="B327" r:id="rId326" xr:uid="{E13681C9-3662-4043-B039-C0E3DA122C38}"/>
    <hyperlink ref="B328" r:id="rId327" xr:uid="{BC3A8B0E-27AF-E640-9ED3-1D03FD8F051F}"/>
    <hyperlink ref="B329" r:id="rId328" xr:uid="{BA773DC0-823D-DA41-9E7B-554E0D0F6BAE}"/>
    <hyperlink ref="B330" r:id="rId329" xr:uid="{D7D466E4-3F25-A347-A1D6-6EBF2332A096}"/>
    <hyperlink ref="B331" r:id="rId330" xr:uid="{300C3D9A-8977-A343-A7B9-553A443FEDAD}"/>
    <hyperlink ref="B332" r:id="rId331" xr:uid="{0DB7DA2B-C64E-BB4E-BBCB-9B722B93D3F2}"/>
    <hyperlink ref="B333" r:id="rId332" xr:uid="{98F2EA6F-61B1-9144-A2CF-01CDD852B54F}"/>
    <hyperlink ref="B334" r:id="rId333" xr:uid="{EB90CB02-29B0-7F40-806B-00469CECEEDB}"/>
    <hyperlink ref="B335" r:id="rId334" xr:uid="{1B87053D-3DBC-7D44-9722-695B0B7D67D4}"/>
    <hyperlink ref="B336" r:id="rId335" xr:uid="{FDFDFADF-2F65-5F49-8316-C22D731B4AEE}"/>
    <hyperlink ref="B337" r:id="rId336" xr:uid="{D737AA4A-4C85-B949-8B3F-53B0E00B1E43}"/>
    <hyperlink ref="B338" r:id="rId337" xr:uid="{8C32AFA4-5A87-BD44-B687-0D2258E0D8F8}"/>
    <hyperlink ref="B339" r:id="rId338" xr:uid="{591B3482-9594-4C49-800C-643AFFF4005A}"/>
    <hyperlink ref="B340" r:id="rId339" xr:uid="{B6991416-FCBF-344E-92B3-F65ADB1FCE1F}"/>
    <hyperlink ref="B341" r:id="rId340" xr:uid="{AB844639-AEB4-044A-8E29-331CFFCEC5A8}"/>
    <hyperlink ref="B342" r:id="rId341" xr:uid="{00CC5A1A-C1BD-274E-A925-43A3D5A99EC5}"/>
    <hyperlink ref="B343" r:id="rId342" xr:uid="{11458E11-6591-3C4F-AC3A-327FDA1A440E}"/>
    <hyperlink ref="B344" r:id="rId343" xr:uid="{7B01BF73-4AB0-8E45-B0A8-631C99CACDE8}"/>
    <hyperlink ref="B345" r:id="rId344" xr:uid="{2DE6318C-C5AB-E744-AA97-7ADBE77A3D03}"/>
    <hyperlink ref="B346" r:id="rId345" xr:uid="{43059377-F3F9-C24C-A69F-BC30AC2B3B9F}"/>
    <hyperlink ref="B347" r:id="rId346" xr:uid="{8E20E653-EBD9-8C46-8566-B4635F07E57C}"/>
    <hyperlink ref="B348" r:id="rId347" xr:uid="{7EE0956D-6FBC-7041-9588-9BC995810555}"/>
    <hyperlink ref="B349" r:id="rId348" xr:uid="{C7A113DF-C867-D046-B1FB-4A833AB33D58}"/>
    <hyperlink ref="B350" r:id="rId349" xr:uid="{B57F61E4-A348-B841-B03E-0BEF396A7374}"/>
    <hyperlink ref="B351" r:id="rId350" xr:uid="{C608734B-7EEF-3F4E-8566-D882533FB7C3}"/>
    <hyperlink ref="B352" r:id="rId351" xr:uid="{4679AFE8-A79E-A643-9A56-FCC45F43C912}"/>
    <hyperlink ref="B353" r:id="rId352" xr:uid="{2C31D3AF-F9C4-C342-88CA-733BBC803868}"/>
    <hyperlink ref="B354" r:id="rId353" xr:uid="{52BA6827-0909-3A45-988B-94398A7626CC}"/>
    <hyperlink ref="B355" r:id="rId354" xr:uid="{B57F602A-4D7D-2241-B644-CC80BD95E279}"/>
    <hyperlink ref="B356" r:id="rId355" xr:uid="{63BD397A-5F46-AE40-A5E4-5F7967AFEB6A}"/>
    <hyperlink ref="B357" r:id="rId356" xr:uid="{B50CD744-C2B2-7740-8B72-91C57F3414D5}"/>
    <hyperlink ref="B358" r:id="rId357" xr:uid="{6DAC06A6-2C45-1A41-AD45-43F3BCB40160}"/>
    <hyperlink ref="B359" r:id="rId358" xr:uid="{63A93F57-350A-A345-897C-E041F1205885}"/>
    <hyperlink ref="B360" r:id="rId359" xr:uid="{BACDFE15-6AD1-CF42-BDE8-2BAF35313BDD}"/>
    <hyperlink ref="B361" r:id="rId360" xr:uid="{6EB789A7-4EB4-F443-BD96-B7C8B5D1705C}"/>
    <hyperlink ref="B362" r:id="rId361" xr:uid="{F5C97EDE-5E99-8E4A-A2CD-8492E7254D72}"/>
    <hyperlink ref="B363" r:id="rId362" xr:uid="{DE3CF24D-8305-4043-86CF-5BFFCF8A9D90}"/>
    <hyperlink ref="B364" r:id="rId363" xr:uid="{894F7C13-CE62-2A4F-84D8-E0532AD84741}"/>
    <hyperlink ref="B365" r:id="rId364" xr:uid="{9716FB05-CC04-094B-B10C-83DF83147A97}"/>
    <hyperlink ref="B366" r:id="rId365" xr:uid="{FE5129C3-B7FF-8A4D-917E-181275B4B751}"/>
    <hyperlink ref="B367" r:id="rId366" xr:uid="{B74D3E62-2899-5146-98E2-8768EF0E0F44}"/>
    <hyperlink ref="B368" r:id="rId367" xr:uid="{09375B98-47C1-3947-A828-1091CAD0ED43}"/>
    <hyperlink ref="B369" r:id="rId368" xr:uid="{A39744DB-8D09-664C-ACC3-536DC65D095C}"/>
    <hyperlink ref="B370" r:id="rId369" xr:uid="{38B4A569-8539-7945-A04B-C09D38760F9B}"/>
    <hyperlink ref="B371" r:id="rId370" xr:uid="{70005E63-E31C-B746-BE29-98D82F8B3FC8}"/>
    <hyperlink ref="B372" r:id="rId371" xr:uid="{BBAB679B-510D-094D-AE15-E42C75079FB1}"/>
    <hyperlink ref="B373" r:id="rId372" xr:uid="{8D65CE57-3D7B-3140-B0B8-DFA08D264A17}"/>
    <hyperlink ref="B374" r:id="rId373" xr:uid="{196EE4D2-8242-3F46-B553-448220B9B55A}"/>
    <hyperlink ref="B375" r:id="rId374" xr:uid="{22792AD6-4859-4C4A-A751-530BC170A67C}"/>
    <hyperlink ref="B376" r:id="rId375" xr:uid="{64C26AA6-FACC-9740-A303-ED8D1A27DFA4}"/>
    <hyperlink ref="B377" r:id="rId376" xr:uid="{804AFBCC-314E-7148-B4EE-6CB9A5117A19}"/>
    <hyperlink ref="B378" r:id="rId377" xr:uid="{5ABE5577-5D81-4D44-A536-9BC993A359CC}"/>
    <hyperlink ref="B379" r:id="rId378" xr:uid="{880F19CC-8F74-B449-B1F6-7447DDCA625C}"/>
    <hyperlink ref="B380" r:id="rId379" xr:uid="{E550ECFD-B81C-ED4B-BE5B-F300F8016C8A}"/>
    <hyperlink ref="B381" r:id="rId380" xr:uid="{A88B12DD-C35E-B94C-B521-CB4E28A4BA88}"/>
    <hyperlink ref="B382" r:id="rId381" xr:uid="{851F065C-79F8-B342-952E-4E3C1C94F2AB}"/>
    <hyperlink ref="B383" r:id="rId382" xr:uid="{07ADB5FD-2F39-874A-B50A-274F745B10CA}"/>
    <hyperlink ref="B384" r:id="rId383" xr:uid="{B3EBC72E-FC10-1343-BE0C-149BEF935F61}"/>
    <hyperlink ref="B385" r:id="rId384" xr:uid="{492AE8DB-FB22-E342-A79A-2752EC63FD4B}"/>
    <hyperlink ref="B386" r:id="rId385" xr:uid="{5C250E54-3EB5-AB46-8E2C-C67D3D2319BC}"/>
    <hyperlink ref="B387" r:id="rId386" xr:uid="{CA8DD32A-5FEF-7B4A-A6E8-3025A2DA1D2C}"/>
    <hyperlink ref="B388" r:id="rId387" xr:uid="{3C4FE27F-962E-7D4D-AF7D-AA6FE62107EE}"/>
    <hyperlink ref="B389" r:id="rId388" xr:uid="{62CFF6BB-290E-224A-A77F-A602EC8A83B9}"/>
    <hyperlink ref="B390" r:id="rId389" xr:uid="{32085518-D703-EE43-AFE6-FB2C697B8B28}"/>
    <hyperlink ref="B391" r:id="rId390" xr:uid="{07E83BD5-7B37-EF45-9439-2EAD3BCF6672}"/>
    <hyperlink ref="B392" r:id="rId391" xr:uid="{61E09978-F1F1-354C-80AA-F359A0A61397}"/>
    <hyperlink ref="B393" r:id="rId392" xr:uid="{9425F6E3-87C1-0445-8FE1-DBE670785279}"/>
    <hyperlink ref="B394" r:id="rId393" xr:uid="{A388CDE0-5EFD-7A4B-BDE3-0162FFA37788}"/>
    <hyperlink ref="B395" r:id="rId394" xr:uid="{BB2A254A-29C9-EB4C-8392-F5C9F51B8681}"/>
    <hyperlink ref="B396" r:id="rId395" xr:uid="{8610E599-7256-EC48-A71E-6B8017BBBF61}"/>
    <hyperlink ref="B397" r:id="rId396" xr:uid="{E6A13084-C363-6F43-A9E9-6A1BDFD118FB}"/>
    <hyperlink ref="B398" r:id="rId397" xr:uid="{AB6E2730-49CE-F144-B2D6-16BD40AF7D35}"/>
    <hyperlink ref="B399" r:id="rId398" xr:uid="{286AF2A1-312D-6248-826E-DAD33B589C16}"/>
    <hyperlink ref="B400" r:id="rId399" xr:uid="{B379EEE7-917F-E945-BED7-F74C3E803728}"/>
    <hyperlink ref="B401" r:id="rId400" xr:uid="{25226713-5260-D24F-A28D-46D6069F1D54}"/>
    <hyperlink ref="B402" r:id="rId401" xr:uid="{3DC4A3DC-91B4-174F-8521-A40E3FAB51D0}"/>
    <hyperlink ref="B403" r:id="rId402" xr:uid="{8A987C91-0177-6A43-966D-C608FB76124C}"/>
    <hyperlink ref="B404" r:id="rId403" xr:uid="{F7202C0A-2182-654D-9C87-D3097DFFE38E}"/>
    <hyperlink ref="B405" r:id="rId404" xr:uid="{18D67E7D-661F-3644-9DDF-567AD757E276}"/>
    <hyperlink ref="B406" r:id="rId405" xr:uid="{0F548300-2045-4A44-B652-244AE5D89834}"/>
    <hyperlink ref="B407" r:id="rId406" xr:uid="{D9A3ADD7-6102-7E40-BE99-F194AFF84D83}"/>
    <hyperlink ref="B408" r:id="rId407" xr:uid="{C688ED2B-0176-8F42-8442-3AB21E05F89F}"/>
    <hyperlink ref="B409" r:id="rId408" xr:uid="{28F31358-0DE9-114C-9299-C89EA1F642D9}"/>
    <hyperlink ref="B410" r:id="rId409" xr:uid="{ED0C36E7-EC68-5C48-8CD3-3B6F7CD88A28}"/>
    <hyperlink ref="B411" r:id="rId410" xr:uid="{B24A9F35-40DF-2047-978A-85933C580190}"/>
    <hyperlink ref="B412" r:id="rId411" xr:uid="{51732BC7-1D57-AB4B-AF63-1047560E8066}"/>
    <hyperlink ref="B413" r:id="rId412" xr:uid="{CF9D8519-6611-274B-88BB-5CA22975FCE0}"/>
    <hyperlink ref="B414" r:id="rId413" xr:uid="{43162B5A-6078-314D-A3C5-2BEF4595867D}"/>
    <hyperlink ref="B415" r:id="rId414" xr:uid="{07CBCC1E-3635-964A-8BD9-CD0906D39BD9}"/>
    <hyperlink ref="B416" r:id="rId415" xr:uid="{B1699B45-65D8-B545-A418-CF1DA16A36F9}"/>
    <hyperlink ref="B417" r:id="rId416" xr:uid="{A44FD6ED-62E0-1841-B267-6C7A5844F55C}"/>
    <hyperlink ref="B418" r:id="rId417" xr:uid="{96B40CA3-8C58-DD43-8FD6-7DCD394E63EB}"/>
    <hyperlink ref="B419" r:id="rId418" xr:uid="{802E9EE0-0163-6D48-B197-54BB44F9B772}"/>
    <hyperlink ref="B420" r:id="rId419" xr:uid="{8D926092-6277-F14D-BC7C-CD84B80E46F8}"/>
    <hyperlink ref="B421" r:id="rId420" xr:uid="{334EEA62-B919-FE4E-91A9-13A732E1D01F}"/>
    <hyperlink ref="B422" r:id="rId421" xr:uid="{4075EFA9-F83D-AB4D-A619-05062346BCDB}"/>
    <hyperlink ref="B423" r:id="rId422" xr:uid="{C7E903AB-100E-D446-AC1C-5DEB7C3268B8}"/>
    <hyperlink ref="B424" r:id="rId423" xr:uid="{30576FF0-00F3-3340-93F9-BEF3F51CB605}"/>
    <hyperlink ref="B425" r:id="rId424" xr:uid="{A1E4DD7F-AF66-0C48-B9D2-0F8D33EADC73}"/>
    <hyperlink ref="B426" r:id="rId425" xr:uid="{5077B9AB-4456-894F-BF5C-8EAA6068DFD9}"/>
    <hyperlink ref="B427" r:id="rId426" xr:uid="{D4C57D50-712F-6745-BEB2-89E4A27C1FCD}"/>
    <hyperlink ref="B428" r:id="rId427" xr:uid="{0E0C83CA-219C-1B45-83F2-49B27EA01D01}"/>
    <hyperlink ref="B429" r:id="rId428" xr:uid="{B430D836-7C4A-BE41-ABFF-DB4825126FFB}"/>
    <hyperlink ref="B430" r:id="rId429" xr:uid="{0F88F49B-D275-B84A-9CAA-9AA27F749546}"/>
    <hyperlink ref="B431" r:id="rId430" xr:uid="{4DED3D8C-3B7E-DB44-B6E6-6E97927CA507}"/>
    <hyperlink ref="B432" r:id="rId431" xr:uid="{6735C410-94F4-5B47-B805-DEC55833F6C3}"/>
    <hyperlink ref="B433" r:id="rId432" xr:uid="{0B919C4A-2394-8140-AD9E-FED7795DEB33}"/>
    <hyperlink ref="B434" r:id="rId433" xr:uid="{652AA542-E055-B94A-87E1-F03BDFCAAE52}"/>
    <hyperlink ref="B435" r:id="rId434" xr:uid="{15613CF7-D66A-0043-901E-FD40F00CC753}"/>
    <hyperlink ref="B436" r:id="rId435" xr:uid="{95E75CF9-4C21-6D46-83C3-89FF71763628}"/>
    <hyperlink ref="B437" r:id="rId436" xr:uid="{AA7A39DB-D6AE-344C-8669-CB9DE1826A98}"/>
    <hyperlink ref="B438" r:id="rId437" xr:uid="{8861E8BE-4E04-5647-A195-D3163FE51D54}"/>
    <hyperlink ref="B439" r:id="rId438" xr:uid="{D2683BE3-47E7-A14A-9139-32D8A3EC4364}"/>
    <hyperlink ref="B440" r:id="rId439" xr:uid="{6C125E5A-82AA-6749-9D08-7C37ADFC8C0A}"/>
    <hyperlink ref="B441" r:id="rId440" xr:uid="{CE813BCF-C7CE-044D-B4B7-38D172D12582}"/>
    <hyperlink ref="B442" r:id="rId441" xr:uid="{CF5977BB-8CD5-BF41-8BEA-6263D82F863C}"/>
    <hyperlink ref="B443" r:id="rId442" xr:uid="{197EF21B-24BA-9F44-8B3B-483B53218741}"/>
    <hyperlink ref="B444" r:id="rId443" xr:uid="{792684B0-AD39-2740-BB59-35F35CA0346B}"/>
    <hyperlink ref="B445" r:id="rId444" xr:uid="{7DA91A2F-B416-1E40-8EAD-D617143EF931}"/>
    <hyperlink ref="B446" r:id="rId445" xr:uid="{72B7A6BB-E7C7-C848-990D-C01A6ED692A4}"/>
    <hyperlink ref="B447" r:id="rId446" xr:uid="{DCEA9E88-37F7-5D46-A06D-7E8CFA675337}"/>
    <hyperlink ref="B448" r:id="rId447" xr:uid="{1A9C3000-AF62-B44B-8FAF-085F9C70BE5B}"/>
    <hyperlink ref="B449" r:id="rId448" xr:uid="{7C12AB72-A14F-614B-AFF3-19EA883BE79F}"/>
    <hyperlink ref="B450" r:id="rId449" xr:uid="{F007D0C4-A604-524B-ADD4-7897F4E41920}"/>
    <hyperlink ref="B451" r:id="rId450" xr:uid="{79D8AA78-73E6-3D44-83AA-5C5C53597C19}"/>
    <hyperlink ref="B452" r:id="rId451" xr:uid="{AA8C54CC-5080-4247-9B40-FA0C33FFFEBF}"/>
    <hyperlink ref="B453" r:id="rId452" xr:uid="{38168E97-0C0C-E34D-B44E-90E22603DFE3}"/>
    <hyperlink ref="H453" r:id="rId453" display="http://palestine.beehiiv.com/" xr:uid="{E9194130-F43E-AF48-92BC-9A0CF10CC92D}"/>
    <hyperlink ref="B454" r:id="rId454" xr:uid="{C3F4E30A-4A26-0A44-8A1F-E02A64220EF6}"/>
    <hyperlink ref="B455" r:id="rId455" xr:uid="{A6BA9245-A0DF-284E-A472-DBF5B6F5E04F}"/>
    <hyperlink ref="B456" r:id="rId456" xr:uid="{4CCB57B5-CF7C-3D47-AB60-5FE190774D6A}"/>
    <hyperlink ref="B457" r:id="rId457" xr:uid="{BC2537BC-F685-2741-88B3-A4D51121B1E3}"/>
    <hyperlink ref="B458" r:id="rId458" xr:uid="{64A6FE15-B01D-224A-B731-3BCC003AE360}"/>
    <hyperlink ref="B459" r:id="rId459" xr:uid="{601FEF8A-103F-8C45-BA3D-0D982A5EA8ED}"/>
    <hyperlink ref="B460" r:id="rId460" xr:uid="{B44C2050-2149-404A-8C94-E700697DCF72}"/>
    <hyperlink ref="B461" r:id="rId461" xr:uid="{B3BEAF72-2CC0-9B48-B6D6-7F3E205B5291}"/>
    <hyperlink ref="B462" r:id="rId462" xr:uid="{83893F2E-1AE1-C742-BAFE-D5AC7128ADC6}"/>
    <hyperlink ref="B463" r:id="rId463" xr:uid="{7B9D9C21-A8F9-A747-A5A9-2C51443E4435}"/>
    <hyperlink ref="B464" r:id="rId464" xr:uid="{40439CAF-42A5-4044-AEF6-D053D774EAAC}"/>
    <hyperlink ref="B465" r:id="rId465" xr:uid="{B41EF874-6DE9-DE4D-BF94-614414E725AF}"/>
    <hyperlink ref="B466" r:id="rId466" xr:uid="{FF135E96-3054-1941-B673-1BB883AD19CA}"/>
    <hyperlink ref="B467" r:id="rId467" xr:uid="{4F365B62-5FB1-1143-B51C-F97F297712EA}"/>
    <hyperlink ref="B468" r:id="rId468" xr:uid="{40536684-54BC-9345-B756-C0838F48D826}"/>
    <hyperlink ref="B469" r:id="rId469" xr:uid="{0FC6644F-F92F-5445-8AE1-3BF99FDFC90E}"/>
    <hyperlink ref="B470" r:id="rId470" xr:uid="{9B2C5142-F54E-0C4D-B607-AA6AF1A22784}"/>
    <hyperlink ref="B471" r:id="rId471" xr:uid="{E7223BC7-18E3-6846-9300-A46499E250F9}"/>
    <hyperlink ref="B472" r:id="rId472" xr:uid="{9A30DE3B-9922-3041-93B8-E6200345195F}"/>
    <hyperlink ref="B473" r:id="rId473" xr:uid="{027A931D-FF26-9B48-AD43-E51D3E647BB5}"/>
    <hyperlink ref="B474" r:id="rId474" xr:uid="{CFA9B910-B3B0-8449-BF4B-5CE2A435076D}"/>
    <hyperlink ref="B475" r:id="rId475" xr:uid="{CCBE0512-0CC8-4B42-8B24-0D598B322EC7}"/>
    <hyperlink ref="B476" r:id="rId476" xr:uid="{D7E5EAC6-168C-8045-B2C0-10B329C04023}"/>
    <hyperlink ref="B477" r:id="rId477" xr:uid="{A2AF12E4-6D8C-1E49-8E62-3D1A87F69A2D}"/>
    <hyperlink ref="B478" r:id="rId478" xr:uid="{E588B874-E5B3-DD40-A880-E44707A2B725}"/>
    <hyperlink ref="B479" r:id="rId479" xr:uid="{757C3236-0F39-D74D-B813-C34D68CD2066}"/>
    <hyperlink ref="B480" r:id="rId480" xr:uid="{DCE28F84-44BE-6141-8C22-C001EE249B40}"/>
    <hyperlink ref="B481" r:id="rId481" xr:uid="{CAD8E026-A10C-5D4F-81E0-5159EB7D2016}"/>
    <hyperlink ref="B482" r:id="rId482" xr:uid="{E4152C6D-BCBF-D446-B342-EF53A5DC1E17}"/>
    <hyperlink ref="B483" r:id="rId483" xr:uid="{274DFD7E-B07C-B344-91BA-3579BB785DFE}"/>
    <hyperlink ref="B484" r:id="rId484" xr:uid="{43039403-D3B5-2445-9B8D-8610F7C0D626}"/>
    <hyperlink ref="B485" r:id="rId485" xr:uid="{7066CAD1-D0B6-DD48-86D6-DCFCD865EF2F}"/>
    <hyperlink ref="B486" r:id="rId486" xr:uid="{6E48EDE9-C990-8F46-971F-54889645EA19}"/>
    <hyperlink ref="B487" r:id="rId487" xr:uid="{97DBB583-484D-294B-914C-0DDA6472CDA5}"/>
    <hyperlink ref="B488" r:id="rId488" xr:uid="{964876A3-8D0D-7543-9E69-961574A9B9CE}"/>
    <hyperlink ref="B489" r:id="rId489" xr:uid="{EC0E3356-DB1D-1840-BA39-EA750E5802FD}"/>
    <hyperlink ref="B490" r:id="rId490" xr:uid="{C7E6B5EF-923D-B14D-ACD2-5955250FCBD1}"/>
    <hyperlink ref="B491" r:id="rId491" xr:uid="{D929E3B1-5142-0C45-9BAE-D85DE30DE828}"/>
    <hyperlink ref="B492" r:id="rId492" xr:uid="{93BE6902-01B7-564D-B208-AC24E10C4DBF}"/>
    <hyperlink ref="B493" r:id="rId493" xr:uid="{4B325AA3-5609-A843-A602-D5739C6C46CF}"/>
    <hyperlink ref="B494" r:id="rId494" xr:uid="{9D5026DB-DDC4-2645-B9F5-5A0CC6E2BD5F}"/>
    <hyperlink ref="H494" r:id="rId495" display="http://care.org/" xr:uid="{69262EFB-0B4B-B945-B01C-B570FFB132BC}"/>
    <hyperlink ref="B495" r:id="rId496" xr:uid="{88D4EAE4-8467-6742-9420-B715C5CE137D}"/>
    <hyperlink ref="B496" r:id="rId497" xr:uid="{08AB9AD4-A425-4240-A8F1-DC7A4E791C1A}"/>
    <hyperlink ref="B497" r:id="rId498" xr:uid="{7019BEA1-4681-9044-9C22-7ED501E552B6}"/>
    <hyperlink ref="B498" r:id="rId499" xr:uid="{F3376C4F-B4AE-D949-AC53-84A47D3459FF}"/>
    <hyperlink ref="B499" r:id="rId500" xr:uid="{ECFF8DF4-8F8A-BB48-BE27-0D60796FF0C5}"/>
    <hyperlink ref="B500" r:id="rId501" xr:uid="{F8014054-72E3-D54D-B433-B970BFEB089F}"/>
    <hyperlink ref="B501" r:id="rId502" xr:uid="{8BA98E61-7046-3E4D-8694-73DCA5B5472F}"/>
    <hyperlink ref="B502" r:id="rId503" xr:uid="{304E175A-F91E-1B4B-9B1E-3B7D22CF478D}"/>
    <hyperlink ref="B503" r:id="rId504" xr:uid="{0AE534CA-6AA9-A94D-A340-C28B82A9DAE9}"/>
    <hyperlink ref="B504" r:id="rId505" xr:uid="{61263F2D-133D-E047-9595-E5B9A4F97842}"/>
    <hyperlink ref="B505" r:id="rId506" xr:uid="{59F0FC78-9FA9-F944-9E78-9D384B4E6316}"/>
    <hyperlink ref="B506" r:id="rId507" xr:uid="{BFA1922C-8652-7849-B552-829EDEC05F24}"/>
    <hyperlink ref="B507" r:id="rId508" xr:uid="{6E2A450E-7FC4-E04F-95A4-7F34572DE050}"/>
    <hyperlink ref="B508" r:id="rId509" xr:uid="{C16FE410-FA04-3F45-9C88-CDC23E576A40}"/>
    <hyperlink ref="B509" r:id="rId510" xr:uid="{6F9F6863-AD51-6241-9279-35169B85B702}"/>
    <hyperlink ref="B510" r:id="rId511" xr:uid="{57C0A316-8AA6-484B-8444-0F971F072364}"/>
    <hyperlink ref="B511" r:id="rId512" xr:uid="{DD619385-629C-C64B-9A38-688BEF35E934}"/>
    <hyperlink ref="B512" r:id="rId513" xr:uid="{CE9D9472-E5A9-EC48-8976-B252FFFB0B73}"/>
    <hyperlink ref="B513" r:id="rId514" xr:uid="{CBB62C0D-6775-6341-BC3E-826EFB7AD36B}"/>
    <hyperlink ref="B514" r:id="rId515" xr:uid="{4282DBB6-2B91-1947-BC36-AE8C7B2B27D0}"/>
    <hyperlink ref="B515" r:id="rId516" xr:uid="{9C51AAA8-4BFE-114F-B855-0A1D9A682C27}"/>
    <hyperlink ref="B516" r:id="rId517" xr:uid="{91E53A7C-69F5-D047-95A0-C0F034CB4D88}"/>
    <hyperlink ref="B517" r:id="rId518" xr:uid="{B7F9A3D0-EEEB-7440-86CA-1B0AE43B7437}"/>
    <hyperlink ref="B518" r:id="rId519" xr:uid="{666E3A60-2F8D-F145-84E2-2FD18A44FE79}"/>
    <hyperlink ref="B519" r:id="rId520" xr:uid="{1C510228-0416-684E-AE0F-FE8E2D0904D1}"/>
    <hyperlink ref="B520" r:id="rId521" xr:uid="{BC58639C-376F-A046-95A5-EB91EF616D76}"/>
    <hyperlink ref="B521" r:id="rId522" xr:uid="{F752E743-6808-2446-8587-7D8A06621633}"/>
    <hyperlink ref="B522" r:id="rId523" xr:uid="{EFBDEE67-9E26-7546-8BD2-D1A7B7C25A1B}"/>
    <hyperlink ref="B523" r:id="rId524" xr:uid="{80C5DDB5-32F5-8549-AA73-E812A21DB8D5}"/>
    <hyperlink ref="B524" r:id="rId525" xr:uid="{6ED2BFA8-5414-EA4F-859B-AE4CFC9254CF}"/>
    <hyperlink ref="B525" r:id="rId526" xr:uid="{1E816A66-6148-944A-8232-32BE9366317F}"/>
    <hyperlink ref="B526" r:id="rId527" xr:uid="{EBA157B6-EDB0-8E41-8F06-88A6A99529D8}"/>
    <hyperlink ref="B527" r:id="rId528" xr:uid="{EB6D9686-FC5D-2E4B-AB1B-98738403227A}"/>
    <hyperlink ref="B528" r:id="rId529" xr:uid="{5765354F-0847-4547-B240-6E0CC7CB1347}"/>
    <hyperlink ref="B529" r:id="rId530" xr:uid="{F5C64E0F-FC86-8A44-B86E-F70FCC7F9FCB}"/>
    <hyperlink ref="B530" r:id="rId531" xr:uid="{01C4AABB-9FF0-5947-89A6-9B097125DB36}"/>
    <hyperlink ref="B531" r:id="rId532" xr:uid="{016511DF-F700-D640-B12F-193B9774B085}"/>
    <hyperlink ref="B532" r:id="rId533" xr:uid="{6113E788-3AB2-7F4C-899F-48F08309CFAE}"/>
    <hyperlink ref="B533" r:id="rId534" xr:uid="{D0AAAC24-EAC4-CE43-BBE3-644C0FBD73DD}"/>
    <hyperlink ref="B534" r:id="rId535" xr:uid="{D70BB7A5-C24B-9045-8834-4A39CD7522EB}"/>
    <hyperlink ref="B535" r:id="rId536" xr:uid="{0DA4DD11-AB68-7F46-B3E8-706C2048E61D}"/>
    <hyperlink ref="B536" r:id="rId537" xr:uid="{9468B674-2F9D-9B48-A743-F5F7F22FCCEC}"/>
    <hyperlink ref="B537" r:id="rId538" xr:uid="{A11EA1A1-C677-6647-8F56-81EDB7769E35}"/>
    <hyperlink ref="B538" r:id="rId539" xr:uid="{7E5BE8C8-37ED-C145-8F50-0FD93DF12BCF}"/>
    <hyperlink ref="B539" r:id="rId540" xr:uid="{B324A827-37F0-0540-9A14-6BD38B8C6177}"/>
    <hyperlink ref="B540" r:id="rId541" xr:uid="{8B5F920F-7478-FF48-A161-EC93B7617E28}"/>
    <hyperlink ref="B541" r:id="rId542" xr:uid="{61B627F3-EC11-C74B-8752-01E11A7DB4C9}"/>
    <hyperlink ref="B542" r:id="rId543" xr:uid="{97417D8A-5185-2540-AB71-C2F9F462552F}"/>
    <hyperlink ref="B543" r:id="rId544" xr:uid="{C0DD50BC-1C1C-D741-94A7-AB2412A3FF8D}"/>
    <hyperlink ref="B544" r:id="rId545" xr:uid="{2B17BD8D-1190-6344-80C0-704082C83D90}"/>
    <hyperlink ref="B545" r:id="rId546" xr:uid="{54BDFF07-81F4-BD40-96DC-99AEE9F52F76}"/>
    <hyperlink ref="B546" r:id="rId547" xr:uid="{39244F2E-33D7-7B48-8941-71DB756BDFED}"/>
    <hyperlink ref="B547" r:id="rId548" xr:uid="{174D01B9-6A50-934A-ABF0-BE276507397A}"/>
    <hyperlink ref="B548" r:id="rId549" xr:uid="{075A0B63-64B9-354D-B83E-19A3FCB013D0}"/>
    <hyperlink ref="B549" r:id="rId550" xr:uid="{D25CCB30-6394-8E42-B394-368CF5C83628}"/>
    <hyperlink ref="B550" r:id="rId551" xr:uid="{6FE3FC0C-286B-1742-9339-C545C5ED9A92}"/>
    <hyperlink ref="B551" r:id="rId552" xr:uid="{A8D30B41-F0C2-1440-9F49-84EFBEDBACD2}"/>
    <hyperlink ref="B552" r:id="rId553" xr:uid="{8EFB77A2-6C62-C744-B1C7-FD4EB0434FB0}"/>
    <hyperlink ref="B553" r:id="rId554" xr:uid="{E92FAF8B-4AC8-FB49-AAD4-BFE43E0B9211}"/>
    <hyperlink ref="B554" r:id="rId555" xr:uid="{49E62175-4D13-7F49-B38A-35337641F948}"/>
    <hyperlink ref="B555" r:id="rId556" xr:uid="{A2DAABD0-FC0E-0449-A222-9302430A7FB7}"/>
    <hyperlink ref="B556" r:id="rId557" xr:uid="{57F56859-13AB-5948-A638-D9C978BA2A91}"/>
    <hyperlink ref="B557" r:id="rId558" xr:uid="{5CE41D82-C9B7-AC4B-8FFC-06D9019B25CF}"/>
    <hyperlink ref="B558" r:id="rId559" xr:uid="{3B26A161-E1B2-7043-B1BD-0BD53CEA9046}"/>
    <hyperlink ref="B559" r:id="rId560" xr:uid="{49BA98F9-04B7-6A42-928D-4EA3DBD77592}"/>
    <hyperlink ref="B560" r:id="rId561" xr:uid="{88925E10-9CA6-EE49-AEE2-DC94A4F8EE24}"/>
    <hyperlink ref="B561" r:id="rId562" xr:uid="{E111A116-5A96-5242-A2B6-F84BEA38F74E}"/>
    <hyperlink ref="B562" r:id="rId563" xr:uid="{B927970D-602B-AC43-BB9E-582C588D585A}"/>
    <hyperlink ref="B563" r:id="rId564" xr:uid="{03DE3900-8102-3048-AF9D-917633C66A8E}"/>
    <hyperlink ref="B564" r:id="rId565" xr:uid="{B18D8259-94B0-4E4A-A164-5A2EDCA5D3A1}"/>
    <hyperlink ref="B565" r:id="rId566" xr:uid="{614C751B-1DA5-B547-B7C0-31584CDE10A6}"/>
    <hyperlink ref="B566" r:id="rId567" xr:uid="{7CD6D06C-BA87-1A4E-A823-4B0E55F9C9CF}"/>
    <hyperlink ref="B567" r:id="rId568" xr:uid="{B57E277E-311A-5E49-B8A4-1A83EA8DAC99}"/>
    <hyperlink ref="B568" r:id="rId569" xr:uid="{CFFF9C48-0EFE-6D43-B281-3326F19E3510}"/>
    <hyperlink ref="B569" r:id="rId570" xr:uid="{B0AC3A75-937B-DC44-8F45-A4B09195618E}"/>
    <hyperlink ref="B570" r:id="rId571" xr:uid="{78B57918-F6CB-AE47-B970-6B27CDC2D631}"/>
    <hyperlink ref="B571" r:id="rId572" xr:uid="{9FCD89CD-853A-1344-9FA5-C1FC2B1E7B68}"/>
    <hyperlink ref="B572" r:id="rId573" xr:uid="{CD0FE532-D1EF-9548-98A3-5ADFF71EC134}"/>
    <hyperlink ref="B573" r:id="rId574" xr:uid="{28AFADBC-BB27-AF4C-8C91-5B0F07081F5E}"/>
    <hyperlink ref="B574" r:id="rId575" xr:uid="{2D2F5B26-AA1C-E541-8BBB-70888E3CFE74}"/>
    <hyperlink ref="B575" r:id="rId576" xr:uid="{C9DAA828-6839-544C-8EC7-37B475645203}"/>
    <hyperlink ref="B576" r:id="rId577" xr:uid="{813E1CE8-60A9-C746-988E-D0CCCDA60DE2}"/>
    <hyperlink ref="B577" r:id="rId578" xr:uid="{B87FE9F9-36C2-C946-AEF3-36C3977AA925}"/>
    <hyperlink ref="B578" r:id="rId579" xr:uid="{10E060AB-6414-C443-A69F-84E98E7E840E}"/>
    <hyperlink ref="B579" r:id="rId580" xr:uid="{413ACC63-06F9-5946-8A62-553EEDECE524}"/>
    <hyperlink ref="B580" r:id="rId581" xr:uid="{9BF26795-B3D2-F24C-AF57-8AA07F00F47E}"/>
    <hyperlink ref="B581" r:id="rId582" xr:uid="{11495F0F-9839-054F-9DA7-CE49A8CAD4E3}"/>
    <hyperlink ref="B582" r:id="rId583" xr:uid="{6925F62F-3AF0-D246-B0E7-44DFD9590536}"/>
    <hyperlink ref="B583" r:id="rId584" xr:uid="{944FF6D2-E256-4040-A0ED-EFA34D696B29}"/>
    <hyperlink ref="B584" r:id="rId585" xr:uid="{F97CC364-78D0-C24E-A7C6-7E5624CEAC5D}"/>
    <hyperlink ref="B585" r:id="rId586" xr:uid="{C83B1542-B1A5-3A42-827F-74AE45E2531A}"/>
    <hyperlink ref="B586" r:id="rId587" xr:uid="{ACE773C3-96E1-914C-9056-DCE5B21F91FE}"/>
    <hyperlink ref="B587" r:id="rId588" xr:uid="{87568CED-AA1E-8D4D-90C3-F74CED2D98B1}"/>
    <hyperlink ref="B588" r:id="rId589" xr:uid="{59405A4E-C48B-444F-A2C0-6B1CA39027B7}"/>
    <hyperlink ref="B589" r:id="rId590" xr:uid="{54046AED-BD69-9E4D-91D3-51704CDF5FD5}"/>
    <hyperlink ref="B590" r:id="rId591" xr:uid="{D0372191-6ADD-874A-A189-6298F304839A}"/>
    <hyperlink ref="B591" r:id="rId592" xr:uid="{B188FF15-AFE9-404F-9785-656AD0306072}"/>
    <hyperlink ref="B592" r:id="rId593" xr:uid="{9EA915BF-964D-C54C-A6C2-BB765B6949D3}"/>
    <hyperlink ref="B593" r:id="rId594" xr:uid="{7B5FCF85-D77E-D147-87B2-D157C4316C11}"/>
    <hyperlink ref="B594" r:id="rId595" xr:uid="{E2F3F27D-9409-1A44-AD48-2B94FAA38D5C}"/>
    <hyperlink ref="B595" r:id="rId596" xr:uid="{AD4DFFCD-C425-5C4F-9CAA-1BA1120BB45D}"/>
    <hyperlink ref="B596" r:id="rId597" xr:uid="{D9E373D0-C273-EA4E-8DF0-3DE6B0DD4E0F}"/>
    <hyperlink ref="B597" r:id="rId598" xr:uid="{271C3240-F5AE-6146-8BE0-841C8B4922C5}"/>
    <hyperlink ref="B598" r:id="rId599" xr:uid="{02A6B360-4D47-BD41-8831-D112C7A80F98}"/>
    <hyperlink ref="B599" r:id="rId600" xr:uid="{8CD1086B-888A-F44C-B130-DF7722D5E14E}"/>
    <hyperlink ref="B600" r:id="rId601" xr:uid="{84BABF84-D615-7B41-887F-99174944F474}"/>
    <hyperlink ref="B601" r:id="rId602" xr:uid="{5A1D4F32-C402-AE45-AF57-629D8BCD9F7C}"/>
    <hyperlink ref="B602" r:id="rId603" xr:uid="{0D553EA8-3C3F-5445-B623-4808FBB7C2E9}"/>
    <hyperlink ref="B603" r:id="rId604" xr:uid="{3A71BBF7-D60B-1B4D-B212-813898F4E215}"/>
    <hyperlink ref="B604" r:id="rId605" xr:uid="{962E96C4-DA8C-5348-9FEC-CDC31CA98235}"/>
    <hyperlink ref="B605" r:id="rId606" xr:uid="{E8971343-3BE0-1449-8FCE-C7153D226BED}"/>
    <hyperlink ref="B606" r:id="rId607" xr:uid="{5A8F6CEE-3050-1E41-A3A2-F76AA43F68F2}"/>
    <hyperlink ref="B607" r:id="rId608" xr:uid="{E94DFE61-9D2F-B940-9B80-253F9ABD5EE3}"/>
    <hyperlink ref="B608" r:id="rId609" xr:uid="{22394530-D1C0-474D-BC4B-53779643E3E4}"/>
    <hyperlink ref="B609" r:id="rId610" xr:uid="{B4DA06CE-BD79-634A-9E39-11777FAA1A0F}"/>
    <hyperlink ref="B610" r:id="rId611" xr:uid="{48CAC0B3-F841-8540-AD87-6361BD956E10}"/>
    <hyperlink ref="B611" r:id="rId612" xr:uid="{E5368D21-6EBF-4548-A423-DCA06B244944}"/>
    <hyperlink ref="B612" r:id="rId613" xr:uid="{DC772101-53BF-A54C-89BF-89CA41A8025F}"/>
    <hyperlink ref="B613" r:id="rId614" xr:uid="{0334A750-DD7E-BF41-8BFD-05B297A3FE14}"/>
    <hyperlink ref="B614" r:id="rId615" xr:uid="{A2517A2C-56B6-4D4A-8AD1-05B30EE5B3A3}"/>
    <hyperlink ref="B615" r:id="rId616" xr:uid="{D7C55534-05D8-D84B-A42F-F26A47EDF4B3}"/>
    <hyperlink ref="B616" r:id="rId617" xr:uid="{030A0276-E7B7-704B-8E62-62DE389B3A9D}"/>
    <hyperlink ref="B617" r:id="rId618" xr:uid="{A14B0A9F-2FD0-BE47-BBB3-9798EE8BB3F9}"/>
    <hyperlink ref="B618" r:id="rId619" xr:uid="{FCB4B6AD-DE45-2141-B8A4-2E95E5385371}"/>
    <hyperlink ref="B619" r:id="rId620" xr:uid="{1D2A59A3-FBCE-6E4F-B416-1DC4D75BEFD0}"/>
    <hyperlink ref="B620" r:id="rId621" xr:uid="{F31C2359-DA16-DA46-9C71-DFE3E7DD2E55}"/>
    <hyperlink ref="B621" r:id="rId622" xr:uid="{C6AA14E3-9D5B-1F49-9548-8539A4AF68CB}"/>
    <hyperlink ref="B622" r:id="rId623" xr:uid="{B32152AD-CD9A-5948-B86B-E1BBE506A30E}"/>
    <hyperlink ref="B623" r:id="rId624" xr:uid="{3ED2F6DF-0A4B-7742-A4A4-AA8E3BB30943}"/>
    <hyperlink ref="B624" r:id="rId625" xr:uid="{0A19D86D-1E0D-6E46-B89B-B68D4E5AB298}"/>
    <hyperlink ref="B625" r:id="rId626" xr:uid="{CD4DA3CA-310F-0647-A7F2-F0645DE15BFE}"/>
    <hyperlink ref="B626" r:id="rId627" xr:uid="{6A06FC28-7082-374B-BD50-DD1464EEFE1A}"/>
    <hyperlink ref="B627" r:id="rId628" xr:uid="{3D85E957-A2AC-1840-AE38-BE195967A3D5}"/>
    <hyperlink ref="B628" r:id="rId629" xr:uid="{3F204E34-3BDC-0140-B221-FC7DB1AC3FE8}"/>
    <hyperlink ref="B629" r:id="rId630" xr:uid="{F6624BC6-C60C-D74D-9A30-46C8143F0F91}"/>
    <hyperlink ref="B630" r:id="rId631" xr:uid="{7429A17B-A93B-3145-9F0F-0F96F722FC62}"/>
    <hyperlink ref="B631" r:id="rId632" xr:uid="{396E0490-A11D-DC4C-8B90-843CF4ACB55B}"/>
    <hyperlink ref="B632" r:id="rId633" xr:uid="{DBA96C93-5FF6-9F4D-B5F7-43FFDFBDB1C3}"/>
    <hyperlink ref="B633" r:id="rId634" xr:uid="{4BFC8593-6A74-4E4C-8C7F-617EDF03F582}"/>
    <hyperlink ref="B634" r:id="rId635" xr:uid="{0DDD0470-A932-2347-BC35-3095A855C677}"/>
    <hyperlink ref="B635" r:id="rId636" xr:uid="{555A3C73-7C05-4F4D-A0B9-42B7FD811548}"/>
    <hyperlink ref="B636" r:id="rId637" xr:uid="{8FD88EEA-AC01-D647-97CA-46878768E776}"/>
    <hyperlink ref="B637" r:id="rId638" xr:uid="{0449D283-D371-C341-8BFD-C15F46970BFA}"/>
    <hyperlink ref="B638" r:id="rId639" xr:uid="{744BA77C-A7CB-2047-A613-F44B2052F962}"/>
    <hyperlink ref="B639" r:id="rId640" xr:uid="{AF7B66C9-9623-C745-A865-7FF8E74F2527}"/>
    <hyperlink ref="K639" r:id="rId641" xr:uid="{81D4E719-FC96-8442-A661-02006319A84D}"/>
    <hyperlink ref="B640" r:id="rId642" xr:uid="{0C7FAA92-3A4F-3248-8941-99E42F0A4EE0}"/>
    <hyperlink ref="B641" r:id="rId643" xr:uid="{E196F8AA-12FC-4043-8E84-AD8247F34186}"/>
    <hyperlink ref="B642" r:id="rId644" xr:uid="{74E94535-3451-4F4A-BECF-90733ABDDCAC}"/>
    <hyperlink ref="B643" r:id="rId645" xr:uid="{B626B9C3-E595-844A-9C51-60FB0348A26B}"/>
    <hyperlink ref="B644" r:id="rId646" xr:uid="{C19F1AF8-8975-3A41-8CF1-45AB15BB681E}"/>
    <hyperlink ref="B645" r:id="rId647" xr:uid="{F72CD7CA-2B25-F44F-A3F9-D5010C7EED7D}"/>
    <hyperlink ref="B646" r:id="rId648" xr:uid="{76061048-D792-3D4D-9444-265F1AABC081}"/>
    <hyperlink ref="B647" r:id="rId649" xr:uid="{7EBCE5F1-49AA-E74B-AA44-FA3558232658}"/>
    <hyperlink ref="B648" r:id="rId650" xr:uid="{4CBDB199-56BF-754C-8B20-0D6B17D0EA39}"/>
    <hyperlink ref="B649" r:id="rId651" xr:uid="{3CC70AA1-8255-9C40-A2E1-059048448562}"/>
    <hyperlink ref="B650" r:id="rId652" xr:uid="{D158D5A8-92BF-174B-B734-648E7BC1FAC9}"/>
    <hyperlink ref="B651" r:id="rId653" xr:uid="{1D18B983-D1D5-7B49-B99F-42CD3651317C}"/>
    <hyperlink ref="B652" r:id="rId654" xr:uid="{A4077A4C-5B02-A545-BF52-1888BE1A07AA}"/>
    <hyperlink ref="B653" r:id="rId655" xr:uid="{FE120F03-5892-7740-845B-00AD93877304}"/>
    <hyperlink ref="B654" r:id="rId656" xr:uid="{F45621E8-0EC6-3B48-9C40-98D04A43FC47}"/>
    <hyperlink ref="B655" r:id="rId657" xr:uid="{4C658C34-48AA-404A-A121-55636124CB5B}"/>
    <hyperlink ref="B656" r:id="rId658" xr:uid="{6BFA0019-0AB0-0E4D-841D-4E0E6370F2FE}"/>
    <hyperlink ref="B657" r:id="rId659" xr:uid="{381F2C28-5851-4E41-9E6B-2F36DAEBCAF3}"/>
    <hyperlink ref="B658" r:id="rId660" xr:uid="{A70F0AFD-B3BB-3F4C-88F4-A81B559A43CD}"/>
    <hyperlink ref="B659" r:id="rId661" xr:uid="{1B587795-4D91-734D-82F8-175429FF5C14}"/>
    <hyperlink ref="B660" r:id="rId662" xr:uid="{6B1FD398-15FB-FD4F-BC04-2062511058C2}"/>
    <hyperlink ref="B661" r:id="rId663" xr:uid="{D947837A-41CD-9E44-BEFC-83BFB8F0AFE0}"/>
    <hyperlink ref="B662" r:id="rId664" xr:uid="{73DD5D67-ED7B-C246-A21B-C686BEF217FF}"/>
    <hyperlink ref="B663" r:id="rId665" xr:uid="{FC90FC6E-EFEC-6143-86A5-590EB5765A63}"/>
    <hyperlink ref="B664" r:id="rId666" xr:uid="{C4BA037D-4021-3845-A9AB-3E34368490C9}"/>
    <hyperlink ref="B665" r:id="rId667" xr:uid="{A1C113FB-5816-0848-91DE-6796FBE70509}"/>
    <hyperlink ref="B666" r:id="rId668" xr:uid="{56AF6321-B34F-C349-AFB8-8D25F8D94410}"/>
    <hyperlink ref="B667" r:id="rId669" xr:uid="{16D2CA8C-C8AC-BD42-8742-46EAF9A0EEED}"/>
    <hyperlink ref="B668" r:id="rId670" xr:uid="{70720035-3F25-E149-894F-968DF1A499D1}"/>
    <hyperlink ref="B669" r:id="rId671" xr:uid="{B39F2EBF-BE5B-FA41-9FD0-53D85BC2B865}"/>
    <hyperlink ref="B670" r:id="rId672" xr:uid="{50BE002A-40CC-1A49-9842-5EE3FDABE8A5}"/>
    <hyperlink ref="B671" r:id="rId673" xr:uid="{89AAE123-7602-1044-A05D-1FFCDAFC0BAD}"/>
    <hyperlink ref="B672" r:id="rId674" xr:uid="{9F2BB5DB-1ED4-8541-86AC-5F12D07A04B7}"/>
    <hyperlink ref="B673" r:id="rId675" xr:uid="{9CAC5679-35C0-6444-9107-013EDBC83DE9}"/>
    <hyperlink ref="B674" r:id="rId676" xr:uid="{7017C65D-DF1C-064C-911C-97624535DEC2}"/>
    <hyperlink ref="B675" r:id="rId677" xr:uid="{F58E09EE-BE1C-894A-B9F5-4DFCC4E13530}"/>
    <hyperlink ref="B676" r:id="rId678" xr:uid="{48A9C7A1-19AA-A548-B7C6-0113EB45E8A4}"/>
    <hyperlink ref="B677" r:id="rId679" xr:uid="{7262375A-3FF3-994B-8163-CAEECC923B4C}"/>
    <hyperlink ref="B678" r:id="rId680" xr:uid="{75427049-08ED-C34B-B27C-57CAFD6AC45C}"/>
    <hyperlink ref="B679" r:id="rId681" xr:uid="{744479D8-6CE1-0B45-8107-A204934858B9}"/>
    <hyperlink ref="B680" r:id="rId682" xr:uid="{57D1FCEC-E874-2B4B-949C-0E2D03F9BD85}"/>
    <hyperlink ref="B681" r:id="rId683" xr:uid="{4E1FAECA-BEB7-7A48-8B6D-3DC9967A679A}"/>
    <hyperlink ref="B682" r:id="rId684" xr:uid="{47E5AFAF-9812-7E41-9F11-6B2580D5D339}"/>
    <hyperlink ref="B683" r:id="rId685" xr:uid="{836B6133-E293-4A4D-B318-55FDC529D011}"/>
    <hyperlink ref="B684" r:id="rId686" xr:uid="{DC657168-BD58-FD45-8761-C39DE8359092}"/>
    <hyperlink ref="B685" r:id="rId687" xr:uid="{5C379472-7E02-494F-97BE-B3D6B8245FB2}"/>
    <hyperlink ref="B686" r:id="rId688" xr:uid="{55CC6BFA-3C2F-9741-8AB8-20CD3C8F4BB1}"/>
    <hyperlink ref="B687" r:id="rId689" xr:uid="{21845F07-07BF-244B-BB29-70A9D5F8D991}"/>
    <hyperlink ref="B688" r:id="rId690" xr:uid="{D7678F5A-F99A-614E-9B47-6A188CA7B243}"/>
    <hyperlink ref="B689" r:id="rId691" xr:uid="{8683FC69-CE03-484F-9929-95F11EF9C9EA}"/>
    <hyperlink ref="B690" r:id="rId692" xr:uid="{D0BD1A90-04C7-0A4B-B672-559AB6CD9CBE}"/>
    <hyperlink ref="B691" r:id="rId693" xr:uid="{8F08B36A-B9AD-514D-A915-AA2085AE8C21}"/>
    <hyperlink ref="B692" r:id="rId694" xr:uid="{134B5768-1C2A-0048-8720-2EFA7D3A6D7B}"/>
    <hyperlink ref="B693" r:id="rId695" xr:uid="{E58BAF38-F243-9940-AC93-C1309EC96699}"/>
    <hyperlink ref="B694" r:id="rId696" xr:uid="{1E5BDBB5-A3E4-FF44-830E-5AD0698B19DA}"/>
    <hyperlink ref="B695" r:id="rId697" xr:uid="{CD946D8C-8D80-1742-A060-AB69AC49A63F}"/>
    <hyperlink ref="B696" r:id="rId698" xr:uid="{6E00B871-49D2-A849-83DE-AA2E34CE6288}"/>
    <hyperlink ref="B697" r:id="rId699" xr:uid="{D9BA8E0D-1A77-7046-85EB-8609AD3D2BEF}"/>
    <hyperlink ref="B698" r:id="rId700" xr:uid="{BD7D9429-6889-B145-B6BD-688CDA2769DA}"/>
    <hyperlink ref="B699" r:id="rId701" xr:uid="{7E63FB61-529F-B04A-91C8-20BD6AC6D419}"/>
    <hyperlink ref="B700" r:id="rId702" xr:uid="{416E6549-50FF-6E4C-B52A-213BD782F5C8}"/>
    <hyperlink ref="B701" r:id="rId703" xr:uid="{45F24787-BF8D-F54C-8FCA-9287B3CC4B46}"/>
    <hyperlink ref="B702" r:id="rId704" xr:uid="{BA6B3AAA-6BBB-8B48-882A-60BE0A936512}"/>
    <hyperlink ref="B703" r:id="rId705" xr:uid="{644227A1-CBCB-EF49-8546-355F91F1D6A2}"/>
    <hyperlink ref="B704" r:id="rId706" xr:uid="{87F8B323-28AC-F34F-B987-03B4024903FE}"/>
    <hyperlink ref="B705" r:id="rId707" xr:uid="{5F172B3B-6555-4149-A5AB-425030698EAE}"/>
    <hyperlink ref="B706" r:id="rId708" xr:uid="{5FE2507A-055A-CB40-9AC6-264707F97143}"/>
    <hyperlink ref="B707" r:id="rId709" xr:uid="{ECE39EAE-50D0-104E-8B3F-B673D83A01E4}"/>
    <hyperlink ref="B708" r:id="rId710" xr:uid="{BB53D26E-4650-D44B-BA6C-01D12F726B2D}"/>
    <hyperlink ref="B709" r:id="rId711" xr:uid="{96EF820A-D957-B542-B3A5-BEBE457037BE}"/>
    <hyperlink ref="B710" r:id="rId712" xr:uid="{BA0CB343-8BFF-6944-817C-F9DE833362AD}"/>
    <hyperlink ref="B711" r:id="rId713" xr:uid="{1FBE8F37-56FE-224D-8D4B-C3AEAF0E0D43}"/>
    <hyperlink ref="B712" r:id="rId714" xr:uid="{C626C24F-3A95-6D42-BF0F-D715241D5036}"/>
    <hyperlink ref="B713" r:id="rId715" xr:uid="{17513C11-DF47-E54E-A649-4242DA86A8D4}"/>
    <hyperlink ref="B714" r:id="rId716" xr:uid="{1E584474-8D5D-9741-869D-B1AAF9F3C042}"/>
    <hyperlink ref="B715" r:id="rId717" xr:uid="{548F6F58-6507-7F4C-B749-7E4CF2FED939}"/>
    <hyperlink ref="B716" r:id="rId718" xr:uid="{27AAEE46-C9AE-024E-9B54-413715717D6A}"/>
    <hyperlink ref="B717" r:id="rId719" xr:uid="{3C963481-05F4-2746-942E-4D31C2A100CB}"/>
    <hyperlink ref="B718" r:id="rId720" xr:uid="{CDD1FBA7-A895-954C-9CAC-9A69D78C13F3}"/>
    <hyperlink ref="B719" r:id="rId721" xr:uid="{6BA1CB5F-179C-2545-A587-E1459F8E12FA}"/>
    <hyperlink ref="B720" r:id="rId722" xr:uid="{79B0FE7D-53A7-7247-BF93-FB5D0ACA9088}"/>
    <hyperlink ref="B721" r:id="rId723" xr:uid="{E7A87261-96C5-FC49-8762-535C1AF5283F}"/>
    <hyperlink ref="B722" r:id="rId724" xr:uid="{FE24CA94-F10D-C147-81B7-23D6DDA73DFC}"/>
    <hyperlink ref="B723" r:id="rId725" xr:uid="{EAD9DEB7-8531-3A4A-B91E-D55EA19A5528}"/>
    <hyperlink ref="B724" r:id="rId726" xr:uid="{E83E6FB7-F051-2740-B49A-A6DD9CF9EDCF}"/>
    <hyperlink ref="B725" r:id="rId727" xr:uid="{3F9B7DFA-F003-E143-AB49-BB9C7C2B0842}"/>
    <hyperlink ref="B726" r:id="rId728" xr:uid="{4A7A0A53-D65B-0741-861F-3124288F7122}"/>
    <hyperlink ref="B727" r:id="rId729" xr:uid="{4AD78670-C9B8-744B-BBC9-97144D9D7339}"/>
    <hyperlink ref="B728" r:id="rId730" xr:uid="{1359D8E5-DD6C-214E-B5FE-DB3C92EF5BB6}"/>
    <hyperlink ref="B729" r:id="rId731" xr:uid="{F07B4E76-0489-7648-A585-28C2D4806CC3}"/>
    <hyperlink ref="B730" r:id="rId732" xr:uid="{2B3460AB-6D14-4D44-AB35-25458F25D8C7}"/>
    <hyperlink ref="B731" r:id="rId733" xr:uid="{124FD977-55C8-EF4A-AC99-C8A717FCBEF0}"/>
    <hyperlink ref="B732" r:id="rId734" xr:uid="{4B0D05A8-6277-4D42-BEC5-7B372C3661DC}"/>
    <hyperlink ref="B733" r:id="rId735" xr:uid="{4B11FA55-7C50-D648-888C-677901655FF6}"/>
    <hyperlink ref="B734" r:id="rId736" xr:uid="{67C8335F-F811-5E44-A143-0E2E7CCA2DEE}"/>
    <hyperlink ref="B735" r:id="rId737" xr:uid="{AB3DDA4A-CA05-D44A-B025-1B2019C5D3F5}"/>
    <hyperlink ref="B736" r:id="rId738" xr:uid="{5E47839D-D0D8-5E48-B020-EB2119885842}"/>
    <hyperlink ref="B737" r:id="rId739" xr:uid="{EA14016A-F236-2646-BF11-C5D71DBA318C}"/>
    <hyperlink ref="B738" r:id="rId740" xr:uid="{861A84DE-24C3-B543-B69E-26B0C1188D35}"/>
    <hyperlink ref="B739" r:id="rId741" xr:uid="{246B2796-4B54-074B-BAC5-B43516EE76B8}"/>
    <hyperlink ref="B740" r:id="rId742" xr:uid="{A479714C-18FC-0840-B21E-C8B0D1A8DF4E}"/>
    <hyperlink ref="B741" r:id="rId743" xr:uid="{0A115202-2B26-7B46-B70B-F985A6F2DB30}"/>
    <hyperlink ref="B742" r:id="rId744" xr:uid="{EDC890BD-258C-934F-A0D9-25F4BCDBB2F0}"/>
    <hyperlink ref="B743" r:id="rId745" xr:uid="{83576C11-FC1E-EC4A-A597-F68BC198049B}"/>
    <hyperlink ref="B744" r:id="rId746" xr:uid="{8DCF862E-EAF0-8D4F-98E8-8C4F5D4C8F18}"/>
    <hyperlink ref="B745" r:id="rId747" xr:uid="{CC895427-1F5D-8748-987D-A4E1755357B9}"/>
    <hyperlink ref="B747" r:id="rId748" xr:uid="{678E9119-DA70-0443-B4E9-9CDBAE2A3B1E}"/>
    <hyperlink ref="B748" r:id="rId749" xr:uid="{0037740A-0DDD-A342-B97D-8F1C12B5C182}"/>
    <hyperlink ref="B749" r:id="rId750" xr:uid="{255526BB-CA9A-9348-A9FA-C841E4950153}"/>
    <hyperlink ref="B750" r:id="rId751" xr:uid="{B320F4E9-8556-8840-BB5F-27599BACD303}"/>
    <hyperlink ref="B751" r:id="rId752" xr:uid="{7CBBCDBE-BF74-694B-B262-06C4A8B620D9}"/>
    <hyperlink ref="K751" r:id="rId753" xr:uid="{F3A1A92A-0AB1-4A45-BF20-0D60AF5999A4}"/>
    <hyperlink ref="B752" r:id="rId754" xr:uid="{1F9A965E-4603-EC4A-89E0-CEAB6C0D1812}"/>
    <hyperlink ref="B753" r:id="rId755" xr:uid="{023B318A-3C67-F348-866F-534F28F4753B}"/>
    <hyperlink ref="B754" r:id="rId756" xr:uid="{1DEA239E-EC24-EE4A-AE15-7CB7C2E1D90A}"/>
    <hyperlink ref="B755" r:id="rId757" xr:uid="{8EBC24A1-AE66-F74D-AB64-D7E9951F3D75}"/>
    <hyperlink ref="B756" r:id="rId758" xr:uid="{65F84979-BBEC-974B-BA4C-7FF690309292}"/>
    <hyperlink ref="B757" r:id="rId759" xr:uid="{EF16883D-2E2B-D340-A625-11DFBBC22982}"/>
    <hyperlink ref="B758" r:id="rId760" xr:uid="{AA3BE912-3FE5-C344-9594-39883FF5AD5B}"/>
    <hyperlink ref="B759" r:id="rId761" xr:uid="{6C6E22DB-0F61-AF48-BC22-D845A886784F}"/>
    <hyperlink ref="B760" r:id="rId762" xr:uid="{0A3CE649-B55D-9848-98BF-27FAE2C7A3FB}"/>
    <hyperlink ref="B762" r:id="rId763" xr:uid="{F1D4DB38-8885-BD44-87EE-4EB9AF80D369}"/>
    <hyperlink ref="B763" r:id="rId764" xr:uid="{6C9D163B-150D-AB4A-A3AD-37E14DDE42D1}"/>
    <hyperlink ref="B764" r:id="rId765" xr:uid="{63CC076F-7E13-514A-A3FE-54E75B5F1B32}"/>
    <hyperlink ref="B765" r:id="rId766" xr:uid="{1FBD0173-B332-3C49-A834-90331A295502}"/>
    <hyperlink ref="B766" r:id="rId767" xr:uid="{8928AFF0-F89D-4A4C-A258-FC8483892BE1}"/>
    <hyperlink ref="B767" r:id="rId768" xr:uid="{F626AFA5-5A55-D04D-ABC3-2F37570E2E0D}"/>
    <hyperlink ref="B768" r:id="rId769" xr:uid="{FAD78416-50B1-6747-9F52-ECE589991B95}"/>
    <hyperlink ref="B769" r:id="rId770" xr:uid="{6722D5EC-97E3-A04D-A299-3BCCE1DD6B29}"/>
    <hyperlink ref="B770" r:id="rId771" xr:uid="{DEBE180E-AAAC-9E4A-BEAE-633CE5720715}"/>
    <hyperlink ref="B771" r:id="rId772" xr:uid="{625F6EC8-054E-3442-B16D-1800ACCBD6CA}"/>
    <hyperlink ref="B772" r:id="rId773" xr:uid="{38FFC9E6-43CA-8648-B316-C9E2604CCF58}"/>
    <hyperlink ref="B773" r:id="rId774" xr:uid="{7A3921CF-A51E-844D-807C-6E7AEAD09387}"/>
    <hyperlink ref="B774" r:id="rId775" xr:uid="{417A51BD-F4D9-A748-BB14-66DA33F023EC}"/>
    <hyperlink ref="B775" r:id="rId776" xr:uid="{E56B5150-FBCC-7549-B84C-3C5B3FA09A2A}"/>
    <hyperlink ref="B776" r:id="rId777" xr:uid="{F93C0C7C-54A6-7943-B5DE-22FCAE0D7170}"/>
    <hyperlink ref="B777" r:id="rId778" xr:uid="{4A0E6E2F-9CDF-CC4A-86FC-C447419963B6}"/>
    <hyperlink ref="B778" r:id="rId779" xr:uid="{837677AA-D17E-034F-997B-3F436A63F9B3}"/>
    <hyperlink ref="B779" r:id="rId780" xr:uid="{D364C997-F083-7F44-8E86-B7E40B7A20D8}"/>
    <hyperlink ref="B780" r:id="rId781" xr:uid="{374924E1-344D-B743-83A3-1DAD01C23EAE}"/>
    <hyperlink ref="B781" r:id="rId782" xr:uid="{66AF458B-F736-C944-A174-B1E6BEE31F4F}"/>
    <hyperlink ref="B782" r:id="rId783" xr:uid="{CD220EF7-961C-444C-AAC7-F8F82BABE0A5}"/>
    <hyperlink ref="B783" r:id="rId784" xr:uid="{36DA2C7E-D79A-2F40-9669-8DA71FFF2FD9}"/>
    <hyperlink ref="B784" r:id="rId785" xr:uid="{62A1F0A1-44B2-8147-B934-93FF754B199F}"/>
    <hyperlink ref="B785" r:id="rId786" xr:uid="{82ED600B-F9D8-D54F-9445-3370BD9C8D9E}"/>
    <hyperlink ref="B786" r:id="rId787" xr:uid="{79690543-CD83-E24D-9B5E-AECBD53E8AC7}"/>
    <hyperlink ref="B787" r:id="rId788" xr:uid="{CF5B8092-BA16-854B-AC45-E9531AEA0A96}"/>
    <hyperlink ref="B788" r:id="rId789" xr:uid="{BC69EA80-DC38-8445-A7F2-4C2F1A946A6F}"/>
    <hyperlink ref="B789" r:id="rId790" xr:uid="{35E6C014-CD70-8A47-B2DB-F037C7884464}"/>
    <hyperlink ref="B790" r:id="rId791" xr:uid="{BB3B1C04-4350-5441-8FC6-43E98D54A938}"/>
    <hyperlink ref="B791" r:id="rId792" xr:uid="{326528D2-178D-AB4C-9B8D-224F7F1344D5}"/>
    <hyperlink ref="B792" r:id="rId793" xr:uid="{8AC580E6-C94E-7641-9D41-5695FF6B32A9}"/>
    <hyperlink ref="B793" r:id="rId794" xr:uid="{84DE7AC0-03F8-B84F-9EF8-18DA4D63651A}"/>
    <hyperlink ref="B794" r:id="rId795" xr:uid="{5C2238FF-2F5F-4C4E-9982-CE0C6AAE6F16}"/>
    <hyperlink ref="B795" r:id="rId796" xr:uid="{7D995316-6884-EB48-9014-4AC1820EDFF4}"/>
    <hyperlink ref="B796" r:id="rId797" xr:uid="{9560195E-1262-FD47-BFB1-82133540FF21}"/>
    <hyperlink ref="B797" r:id="rId798" xr:uid="{AF215797-68AE-214F-B4D4-E952A928E34C}"/>
    <hyperlink ref="B798" r:id="rId799" xr:uid="{7CF2B518-E5F1-D347-8899-EC14E894564C}"/>
    <hyperlink ref="B799" r:id="rId800" xr:uid="{F44C71B4-6AFF-4443-9211-D1619DA50C5E}"/>
    <hyperlink ref="B800" r:id="rId801" xr:uid="{1D2F2F55-FD5E-9345-8FA3-E31510506E3A}"/>
    <hyperlink ref="B801" r:id="rId802" xr:uid="{5E7D86FC-9076-CC49-BD76-3BDD03FFD88A}"/>
    <hyperlink ref="B802" r:id="rId803" xr:uid="{6A2CCE28-C92A-834E-AD2C-69FF53F5F046}"/>
    <hyperlink ref="B803" r:id="rId804" xr:uid="{ABC00986-7B59-C249-9528-390B7221DF9C}"/>
    <hyperlink ref="B804" r:id="rId805" xr:uid="{F0C56C77-1BFD-1348-9A84-2299F0FB972A}"/>
    <hyperlink ref="B805" r:id="rId806" xr:uid="{D4EAB55C-8948-CA46-A7E1-2151C6870DCE}"/>
    <hyperlink ref="B806" r:id="rId807" xr:uid="{94F9A6EB-BAB0-DD4A-90FF-34868CE2862D}"/>
    <hyperlink ref="B807" r:id="rId808" xr:uid="{98E6AA81-E101-FB44-9D69-924662E2AEA0}"/>
    <hyperlink ref="B808" r:id="rId809" xr:uid="{543C2438-4CB5-2C49-A3D7-673B4E4AE56E}"/>
    <hyperlink ref="B809" r:id="rId810" xr:uid="{38EA7364-9941-8542-94C3-D62B7B6EF718}"/>
    <hyperlink ref="B810" r:id="rId811" xr:uid="{32693D7E-369A-1347-BEA1-C03D56DEE97B}"/>
    <hyperlink ref="B811" r:id="rId812" xr:uid="{237B5A89-984E-C943-B222-B464338DB2B3}"/>
    <hyperlink ref="B812" r:id="rId813" xr:uid="{940C847A-9478-CF47-B07F-AD3887DA9945}"/>
    <hyperlink ref="B813" r:id="rId814" xr:uid="{274B4AE6-FE20-6D41-A697-720201A5C045}"/>
    <hyperlink ref="B814" r:id="rId815" xr:uid="{F5DB2353-4760-5E40-A9D0-D909F4ED2AA9}"/>
    <hyperlink ref="B815" r:id="rId816" xr:uid="{894D251D-AD10-DA43-9D96-54EBC04AE64E}"/>
    <hyperlink ref="B816" r:id="rId817" xr:uid="{8EA1D909-EEBC-AF44-82D2-F4C04FBC7015}"/>
    <hyperlink ref="B817" r:id="rId818" xr:uid="{6704D45A-A14A-B640-A52E-35225C472565}"/>
    <hyperlink ref="B818" r:id="rId819" xr:uid="{A4AAB9D5-D3D8-3D4B-B8C7-35A1D3A09D91}"/>
    <hyperlink ref="B819" r:id="rId820" xr:uid="{A2BA50CC-3C72-B04D-AECA-65F99F250C66}"/>
    <hyperlink ref="B820" r:id="rId821" xr:uid="{21A729E6-C986-8647-9C36-928BAC97AA37}"/>
    <hyperlink ref="B821" r:id="rId822" xr:uid="{8D3802A6-FA66-ED4D-AC2F-CAA9EACF9A4D}"/>
    <hyperlink ref="B822" r:id="rId823" xr:uid="{EBDCDA33-CE1F-6246-B54D-C96AACD55A97}"/>
    <hyperlink ref="B823" r:id="rId824" xr:uid="{06978212-F1CF-9A44-A3BD-12C5E2DE50D1}"/>
    <hyperlink ref="B824" r:id="rId825" xr:uid="{B563CCCC-E8B0-E645-B632-F791339055F6}"/>
    <hyperlink ref="B825" r:id="rId826" xr:uid="{51DA836F-5514-7D43-ABD5-77FAC5E1A428}"/>
    <hyperlink ref="B826" r:id="rId827" xr:uid="{D3D7ABAB-399C-8B45-B940-0FDBDBF60E6C}"/>
    <hyperlink ref="B827" r:id="rId828" xr:uid="{9AD24EB0-B032-5044-8651-360D80D45C45}"/>
    <hyperlink ref="B828" r:id="rId829" xr:uid="{BBC10547-FFA5-5347-B9A8-E8BFA0B26A36}"/>
    <hyperlink ref="B829" r:id="rId830" xr:uid="{62E756FE-3E1B-CB4E-B549-42FDDA2ED244}"/>
    <hyperlink ref="B830" r:id="rId831" xr:uid="{6D827E9E-A59E-0E4B-9D24-4B0D5E4810C7}"/>
    <hyperlink ref="B831" r:id="rId832" xr:uid="{E5280323-CA15-BF4A-AA2C-4784E53098FC}"/>
    <hyperlink ref="B832" r:id="rId833" xr:uid="{595A7C35-E55B-754A-B941-865FDC158943}"/>
    <hyperlink ref="B833" r:id="rId834" xr:uid="{9A0D4EF1-95A6-6A46-B690-7C8960632C29}"/>
    <hyperlink ref="B834" r:id="rId835" xr:uid="{1121471D-04A4-9241-B185-86B1C86DD099}"/>
    <hyperlink ref="B835" r:id="rId836" xr:uid="{EBEEB3ED-41F7-7E4C-AA97-5D4B71406E2E}"/>
    <hyperlink ref="B836" r:id="rId837" xr:uid="{104C0444-3BCC-6C40-8C7F-2F35FA50B0A2}"/>
    <hyperlink ref="B837" r:id="rId838" xr:uid="{F1899925-8D37-334A-8106-2A6D7D994F9F}"/>
    <hyperlink ref="B838" r:id="rId839" xr:uid="{11A6C21C-948D-1C41-A598-943CAA90072F}"/>
    <hyperlink ref="B839" r:id="rId840" xr:uid="{C73F2E02-AD82-A248-875A-F94E3F95D01E}"/>
    <hyperlink ref="B840" r:id="rId841" xr:uid="{E301EB8C-67FE-AE42-8888-DB0D2A8EF4E8}"/>
    <hyperlink ref="B841" r:id="rId842" xr:uid="{2D03AC43-095E-4B4C-A800-F28F4AE51E6E}"/>
    <hyperlink ref="B842" r:id="rId843" xr:uid="{6F45D02E-7E09-4747-B3A0-C23B12B4DDF9}"/>
    <hyperlink ref="B843" r:id="rId844" xr:uid="{D844AD38-32CD-8D45-93F7-84079172FAE3}"/>
    <hyperlink ref="B844" r:id="rId845" xr:uid="{7FEF2658-8763-994C-BB9D-8A22899526F4}"/>
    <hyperlink ref="B845" r:id="rId846" xr:uid="{05377999-17FE-F84B-9A48-4E806CF1C2D7}"/>
    <hyperlink ref="B846" r:id="rId847" xr:uid="{65E1012F-B4D1-7444-BFCF-7CB7E1516EA3}"/>
    <hyperlink ref="B847" r:id="rId848" xr:uid="{FE483A41-D75C-524C-BAA9-3A88BAB0D7C1}"/>
    <hyperlink ref="B848" r:id="rId849" xr:uid="{7E92D993-5641-6E44-95EE-A0F131C7F1A4}"/>
    <hyperlink ref="B849" r:id="rId850" xr:uid="{9809ACF6-2EFD-4D4D-A77C-928494248130}"/>
    <hyperlink ref="B850" r:id="rId851" xr:uid="{CF3BF676-083C-1E43-8C7E-DAA5BCC8D20E}"/>
    <hyperlink ref="B851" r:id="rId852" xr:uid="{7CCF0FE4-3080-414D-B080-0725022FD8C3}"/>
    <hyperlink ref="B852" r:id="rId853" xr:uid="{FC399CF3-4291-DB42-9B87-61927F1353DA}"/>
    <hyperlink ref="B853" r:id="rId854" xr:uid="{4781ABD6-E52D-2547-BA65-3C36B69B3E22}"/>
    <hyperlink ref="B854" r:id="rId855" xr:uid="{4D7F1597-4BD7-204F-B612-12EA8F8A8D22}"/>
    <hyperlink ref="B855" r:id="rId856" xr:uid="{257BEB84-0EF5-BC48-9BA7-B6C2C5D6ADFD}"/>
    <hyperlink ref="B856" r:id="rId857" xr:uid="{D92F148A-4EA5-2342-9C28-9C5A1F99B056}"/>
    <hyperlink ref="B857" r:id="rId858" xr:uid="{A9FB2D21-40F6-D847-82B5-B8D12D4F959F}"/>
    <hyperlink ref="B858" r:id="rId859" xr:uid="{23733293-A952-7D4F-9B2A-8C13F8FF4C37}"/>
    <hyperlink ref="B859" r:id="rId860" xr:uid="{9D16A486-793F-7E4E-BFE5-2E849D44A4DC}"/>
    <hyperlink ref="B860" r:id="rId861" xr:uid="{EC1E09CC-B6AB-4943-910D-0FD6DC1ABE10}"/>
    <hyperlink ref="B861" r:id="rId862" xr:uid="{D04CBC9A-027B-1849-BF91-90F0A04390FA}"/>
    <hyperlink ref="B862" r:id="rId863" xr:uid="{5F70843E-3196-384A-9F7E-5EB542BE40DD}"/>
    <hyperlink ref="B863" r:id="rId864" xr:uid="{31481DFA-1E41-5C48-891B-38B5430AC2D5}"/>
    <hyperlink ref="B864" r:id="rId865" xr:uid="{C7C08DAF-B4F7-EB4A-A274-2770C3A87B73}"/>
    <hyperlink ref="B865" r:id="rId866" xr:uid="{556DA4A3-AAD3-4C41-9E48-A60B619DEC8C}"/>
    <hyperlink ref="B866" r:id="rId867" xr:uid="{43A91177-7A2F-C94D-9D8F-5156BC9B2181}"/>
    <hyperlink ref="B867" r:id="rId868" xr:uid="{52B875E2-04CF-604B-9B31-27514525BA73}"/>
    <hyperlink ref="B868" r:id="rId869" xr:uid="{D8E3B6B8-AB6A-9D4A-988B-044A618094AB}"/>
    <hyperlink ref="B869" r:id="rId870" xr:uid="{A580832C-9C41-0340-9D04-52F74003DA19}"/>
    <hyperlink ref="B870" r:id="rId871" xr:uid="{2DDB9279-7A85-B341-9B7C-BE1E4147D47B}"/>
    <hyperlink ref="B871" r:id="rId872" xr:uid="{7465D5D7-B59D-2643-810E-98735DBD3135}"/>
    <hyperlink ref="B872" r:id="rId873" xr:uid="{F647519A-5F83-3D47-9F11-B1090BE9BADB}"/>
    <hyperlink ref="B873" r:id="rId874" xr:uid="{D0B6C135-3BA8-384A-9DAE-2ADF82A480DE}"/>
    <hyperlink ref="B874" r:id="rId875" xr:uid="{61865AA2-278B-424C-90FB-74AA4D6BB7AD}"/>
    <hyperlink ref="B875" r:id="rId876" xr:uid="{500F14AF-8165-334E-BC94-73347BA91E41}"/>
    <hyperlink ref="B876" r:id="rId877" xr:uid="{14232281-101B-F948-A876-CFF4851BEABA}"/>
    <hyperlink ref="B877" r:id="rId878" xr:uid="{976A46BA-EA83-B342-A041-3410522439A4}"/>
    <hyperlink ref="B878" r:id="rId879" xr:uid="{A4874232-17A6-5A47-B230-6755D88BB65E}"/>
    <hyperlink ref="B879" r:id="rId880" xr:uid="{0899582E-BC4B-8342-BD13-32A95FB20402}"/>
    <hyperlink ref="B880" r:id="rId881" xr:uid="{78F70215-DEEB-5640-A29F-7BEDDC1E137D}"/>
    <hyperlink ref="B881" r:id="rId882" xr:uid="{2F7DD164-6D5C-1E49-A251-F07F10B32652}"/>
    <hyperlink ref="B882" r:id="rId883" xr:uid="{8BB7C839-62D6-3A45-84F8-141A05E7897E}"/>
    <hyperlink ref="B883" r:id="rId884" xr:uid="{BDB34172-C166-5944-8FDD-E9BF36658DCE}"/>
    <hyperlink ref="B884" r:id="rId885" xr:uid="{8D4E3E79-57DD-5848-B6E9-924497BA23D7}"/>
    <hyperlink ref="B885" r:id="rId886" xr:uid="{47998D50-696A-A649-ACE8-9135AE134598}"/>
    <hyperlink ref="B886" r:id="rId887" xr:uid="{1B78305F-A899-9045-BF41-FE841B3DC6CF}"/>
    <hyperlink ref="B887" r:id="rId888" xr:uid="{1422C318-6734-664E-99F1-D3C9EEDE6291}"/>
    <hyperlink ref="B888" r:id="rId889" xr:uid="{BD5C563F-F49C-364A-BC64-7E1C957B3C24}"/>
    <hyperlink ref="B889" r:id="rId890" xr:uid="{5B8AFDAB-8BDE-D24B-A6AF-76A6613CC191}"/>
    <hyperlink ref="B890" r:id="rId891" xr:uid="{DB1DBC03-DF40-6D4C-AE00-A5294827F40F}"/>
    <hyperlink ref="B891" r:id="rId892" xr:uid="{8C7C8A0F-BDCC-7B4F-BDA4-8382CBC44035}"/>
    <hyperlink ref="B892" r:id="rId893" xr:uid="{59A9C747-3DDC-C245-AA70-22EFA1D4EFD9}"/>
    <hyperlink ref="B893" r:id="rId894" xr:uid="{7E8D3269-BA53-F444-8A28-128C82776ECD}"/>
    <hyperlink ref="B894" r:id="rId895" xr:uid="{13C43F18-4E9A-094C-84FC-AFAA7978239C}"/>
    <hyperlink ref="B895" r:id="rId896" xr:uid="{9FFC3DFD-F365-ED4A-A002-E47930496978}"/>
    <hyperlink ref="K895" r:id="rId897" xr:uid="{A11D247B-22CA-FD49-9CE0-304CFCA3F2E6}"/>
    <hyperlink ref="B896" r:id="rId898" xr:uid="{3F086FC7-3297-E942-8D3C-E48FC32A3130}"/>
    <hyperlink ref="B897" r:id="rId899" xr:uid="{712AD64B-1146-AE45-9046-C33A7CB5F237}"/>
    <hyperlink ref="B898" r:id="rId900" xr:uid="{E6FCAF44-357C-E747-B034-85E7BC00B8F0}"/>
    <hyperlink ref="B899" r:id="rId901" xr:uid="{55217141-1867-FE4A-8900-D06F394C73A1}"/>
    <hyperlink ref="B900" r:id="rId902" xr:uid="{DEA7E924-B63B-644B-AF99-F472FCD1D79A}"/>
    <hyperlink ref="B901" r:id="rId903" xr:uid="{71848707-333C-5B40-9021-6130FB74D5CA}"/>
    <hyperlink ref="B902" r:id="rId904" xr:uid="{E6E06F5F-6F41-AD4F-8D4D-C6B3ECD6485D}"/>
    <hyperlink ref="B903" r:id="rId905" xr:uid="{78640CD0-9743-3D45-B33B-6C866C93FF57}"/>
    <hyperlink ref="B904" r:id="rId906" xr:uid="{36417177-4D70-7D46-8C13-67BCB7E41EE1}"/>
    <hyperlink ref="B905" r:id="rId907" xr:uid="{24919CB8-B9CE-8E43-ADE6-F87902320162}"/>
    <hyperlink ref="B906" r:id="rId908" xr:uid="{5838438A-58DD-C445-80A2-FB183F3A4B8E}"/>
    <hyperlink ref="B907" r:id="rId909" xr:uid="{F29A032F-F6C3-D846-81D2-D6629EE9C095}"/>
    <hyperlink ref="B908" r:id="rId910" xr:uid="{8F95A088-D196-7340-99FC-2E65E5018763}"/>
    <hyperlink ref="B909" r:id="rId911" xr:uid="{C68C8A35-FD44-4E42-B113-A76C5CFDD67A}"/>
    <hyperlink ref="B910" r:id="rId912" xr:uid="{9756F70E-6BA8-BF4E-9EDA-B98817444C57}"/>
    <hyperlink ref="B911" r:id="rId913" xr:uid="{FECF844E-744B-D44F-9234-3265DAE218AD}"/>
    <hyperlink ref="B912" r:id="rId914" xr:uid="{6A433DA8-9F5C-B84C-A6D8-3DF14D74D0E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English</vt:lpstr>
      <vt:lpstr>For_Fine_Tune</vt:lpstr>
      <vt:lpstr>Hebrew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Asaf Delmedigo</dc:creator>
  <cp:lastModifiedBy>Asaf Delmedigo</cp:lastModifiedBy>
  <dcterms:created xsi:type="dcterms:W3CDTF">2025-11-24T12:26:45Z</dcterms:created>
  <dcterms:modified xsi:type="dcterms:W3CDTF">2025-11-24T14:41:52Z</dcterms:modified>
</cp:coreProperties>
</file>